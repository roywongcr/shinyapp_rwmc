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R_ANALYSIS\ShinyApp\data\"/>
    </mc:Choice>
  </mc:AlternateContent>
  <xr:revisionPtr revIDLastSave="0" documentId="13_ncr:1_{8E006619-FCA3-4C5F-97E0-6CA7910B19D5}" xr6:coauthVersionLast="47" xr6:coauthVersionMax="47" xr10:uidLastSave="{00000000-0000-0000-0000-000000000000}"/>
  <bookViews>
    <workbookView xWindow="28690" yWindow="30" windowWidth="29020" windowHeight="15700" firstSheet="3" activeTab="3" xr2:uid="{B0D3F25D-3E5E-429C-95E8-6F94348882B0}"/>
  </bookViews>
  <sheets>
    <sheet name="CORAZÓN" sheetId="1" r:id="rId1"/>
    <sheet name="PULMÓN" sheetId="2" r:id="rId2"/>
    <sheet name="DINAMICA HI" sheetId="8" r:id="rId3"/>
    <sheet name="HIGADO" sheetId="9" r:id="rId4"/>
    <sheet name="DINAMICA RE" sheetId="7" r:id="rId5"/>
    <sheet name="RIÑON" sheetId="4" r:id="rId6"/>
    <sheet name="MÉDULA ÓSEA" sheetId="5" r:id="rId7"/>
    <sheet name="CÓRNEAS" sheetId="6" r:id="rId8"/>
  </sheets>
  <calcPr calcId="191028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239" i="9" l="1"/>
  <c r="I237" i="9"/>
  <c r="I205" i="9"/>
  <c r="I202" i="9"/>
  <c r="I197" i="9"/>
  <c r="I181" i="9"/>
  <c r="I177" i="9"/>
  <c r="I175" i="9"/>
  <c r="I173" i="9"/>
  <c r="I170" i="9"/>
  <c r="I162" i="9"/>
  <c r="I158" i="9"/>
  <c r="I153" i="9"/>
  <c r="I152" i="9"/>
  <c r="I151" i="9"/>
  <c r="I150" i="9"/>
  <c r="I148" i="9"/>
  <c r="I143" i="9"/>
  <c r="I142" i="9"/>
  <c r="I139" i="9"/>
  <c r="I132" i="9"/>
  <c r="I128" i="9"/>
  <c r="I126" i="9"/>
  <c r="I120" i="9"/>
  <c r="I118" i="9"/>
  <c r="I117" i="9"/>
  <c r="I114" i="9"/>
  <c r="I110" i="9"/>
  <c r="I108" i="9"/>
  <c r="I106" i="9"/>
  <c r="I105" i="9"/>
  <c r="I104" i="9"/>
  <c r="I102" i="9"/>
  <c r="I101" i="9"/>
  <c r="I94" i="9"/>
  <c r="I93" i="9"/>
  <c r="I92" i="9"/>
  <c r="I91" i="9"/>
  <c r="I90" i="9"/>
  <c r="I87" i="9"/>
  <c r="I83" i="9"/>
  <c r="I81" i="9"/>
  <c r="I79" i="9"/>
  <c r="I76" i="9"/>
  <c r="I75" i="9"/>
  <c r="I71" i="9"/>
  <c r="I68" i="9"/>
  <c r="I65" i="9"/>
  <c r="I59" i="9"/>
  <c r="I58" i="9"/>
  <c r="I57" i="9"/>
  <c r="I54" i="9"/>
  <c r="I49" i="9"/>
  <c r="I48" i="9"/>
  <c r="I36" i="9"/>
  <c r="I35" i="9"/>
  <c r="I34" i="9"/>
  <c r="I33" i="9"/>
  <c r="I32" i="9"/>
  <c r="I31" i="9"/>
  <c r="I30" i="9"/>
  <c r="I29" i="9"/>
  <c r="I27" i="9"/>
  <c r="I25" i="9"/>
  <c r="I23" i="9"/>
  <c r="I22" i="9"/>
  <c r="I21" i="9"/>
  <c r="I19" i="9"/>
  <c r="I17" i="9"/>
  <c r="I16" i="9"/>
  <c r="I15" i="9"/>
  <c r="I14" i="9"/>
  <c r="I12" i="9"/>
  <c r="I11" i="9"/>
  <c r="I10" i="9"/>
  <c r="I4" i="9"/>
  <c r="I3" i="9"/>
  <c r="I2" i="9"/>
  <c r="BS227" i="9" l="1"/>
  <c r="BS228" i="9"/>
  <c r="BS229" i="9"/>
  <c r="BS230" i="9"/>
  <c r="BS231" i="9"/>
  <c r="BS232" i="9"/>
  <c r="BS233" i="9"/>
  <c r="BS234" i="9"/>
  <c r="BS235" i="9"/>
  <c r="BS236" i="9"/>
  <c r="BS237" i="9"/>
  <c r="BS238" i="9"/>
  <c r="BS239" i="9"/>
  <c r="BS240" i="9"/>
  <c r="BS3" i="9"/>
  <c r="BS4" i="9"/>
  <c r="BS5" i="9"/>
  <c r="BS6" i="9"/>
  <c r="BS7" i="9"/>
  <c r="BS8" i="9"/>
  <c r="BS9" i="9"/>
  <c r="BS10" i="9"/>
  <c r="BS11" i="9"/>
  <c r="BS12" i="9"/>
  <c r="BS13" i="9"/>
  <c r="BS14" i="9"/>
  <c r="BS15" i="9"/>
  <c r="BS16" i="9"/>
  <c r="BS17" i="9"/>
  <c r="BS18" i="9"/>
  <c r="BS19" i="9"/>
  <c r="BS20" i="9"/>
  <c r="BS21" i="9"/>
  <c r="BS22" i="9"/>
  <c r="BS23" i="9"/>
  <c r="BS24" i="9"/>
  <c r="BS25" i="9"/>
  <c r="BS26" i="9"/>
  <c r="BS27" i="9"/>
  <c r="BS28" i="9"/>
  <c r="BS29" i="9"/>
  <c r="BS30" i="9"/>
  <c r="BS31" i="9"/>
  <c r="BS32" i="9"/>
  <c r="BS33" i="9"/>
  <c r="BS34" i="9"/>
  <c r="BS35" i="9"/>
  <c r="BS36" i="9"/>
  <c r="BS37" i="9"/>
  <c r="BS38" i="9"/>
  <c r="BS39" i="9"/>
  <c r="BS40" i="9"/>
  <c r="BS41" i="9"/>
  <c r="BS42" i="9"/>
  <c r="BS43" i="9"/>
  <c r="BS44" i="9"/>
  <c r="BS45" i="9"/>
  <c r="BS46" i="9"/>
  <c r="BS47" i="9"/>
  <c r="BS48" i="9"/>
  <c r="BS49" i="9"/>
  <c r="BS50" i="9"/>
  <c r="BS51" i="9"/>
  <c r="BS52" i="9"/>
  <c r="BS53" i="9"/>
  <c r="BS54" i="9"/>
  <c r="BS55" i="9"/>
  <c r="BS56" i="9"/>
  <c r="BS57" i="9"/>
  <c r="BS58" i="9"/>
  <c r="BS59" i="9"/>
  <c r="BS60" i="9"/>
  <c r="BS61" i="9"/>
  <c r="BS62" i="9"/>
  <c r="BS63" i="9"/>
  <c r="BS64" i="9"/>
  <c r="BS65" i="9"/>
  <c r="BS66" i="9"/>
  <c r="BS67" i="9"/>
  <c r="BS68" i="9"/>
  <c r="BS69" i="9"/>
  <c r="BS70" i="9"/>
  <c r="BS71" i="9"/>
  <c r="BS72" i="9"/>
  <c r="BS73" i="9"/>
  <c r="BS74" i="9"/>
  <c r="BS75" i="9"/>
  <c r="BS76" i="9"/>
  <c r="BS77" i="9"/>
  <c r="BS78" i="9"/>
  <c r="BS79" i="9"/>
  <c r="BS80" i="9"/>
  <c r="BS81" i="9"/>
  <c r="BS82" i="9"/>
  <c r="BS83" i="9"/>
  <c r="BS84" i="9"/>
  <c r="BS85" i="9"/>
  <c r="BS86" i="9"/>
  <c r="BS87" i="9"/>
  <c r="BS88" i="9"/>
  <c r="BS89" i="9"/>
  <c r="BS90" i="9"/>
  <c r="BS91" i="9"/>
  <c r="BS92" i="9"/>
  <c r="BS93" i="9"/>
  <c r="BS94" i="9"/>
  <c r="BS95" i="9"/>
  <c r="BS96" i="9"/>
  <c r="BS97" i="9"/>
  <c r="BS98" i="9"/>
  <c r="BS99" i="9"/>
  <c r="BS100" i="9"/>
  <c r="BS101" i="9"/>
  <c r="BS102" i="9"/>
  <c r="BS103" i="9"/>
  <c r="BS104" i="9"/>
  <c r="BS105" i="9"/>
  <c r="BS106" i="9"/>
  <c r="BS107" i="9"/>
  <c r="BS108" i="9"/>
  <c r="BS109" i="9"/>
  <c r="BS110" i="9"/>
  <c r="BS111" i="9"/>
  <c r="BS112" i="9"/>
  <c r="BS113" i="9"/>
  <c r="BS114" i="9"/>
  <c r="BS115" i="9"/>
  <c r="BS116" i="9"/>
  <c r="BS117" i="9"/>
  <c r="BS118" i="9"/>
  <c r="BS119" i="9"/>
  <c r="BS120" i="9"/>
  <c r="BS121" i="9"/>
  <c r="BS122" i="9"/>
  <c r="BS123" i="9"/>
  <c r="BS124" i="9"/>
  <c r="BS125" i="9"/>
  <c r="BS126" i="9"/>
  <c r="BS127" i="9"/>
  <c r="BS128" i="9"/>
  <c r="BS129" i="9"/>
  <c r="BS130" i="9"/>
  <c r="BS131" i="9"/>
  <c r="BS132" i="9"/>
  <c r="BS133" i="9"/>
  <c r="BS134" i="9"/>
  <c r="BS135" i="9"/>
  <c r="BS136" i="9"/>
  <c r="BS137" i="9"/>
  <c r="BS138" i="9"/>
  <c r="BS139" i="9"/>
  <c r="BS140" i="9"/>
  <c r="BS141" i="9"/>
  <c r="BS142" i="9"/>
  <c r="BS143" i="9"/>
  <c r="BS144" i="9"/>
  <c r="BS145" i="9"/>
  <c r="BS146" i="9"/>
  <c r="BS147" i="9"/>
  <c r="BS148" i="9"/>
  <c r="BS149" i="9"/>
  <c r="BS150" i="9"/>
  <c r="BS151" i="9"/>
  <c r="BS152" i="9"/>
  <c r="BS153" i="9"/>
  <c r="BS154" i="9"/>
  <c r="BS155" i="9"/>
  <c r="BS156" i="9"/>
  <c r="BS157" i="9"/>
  <c r="BS158" i="9"/>
  <c r="BS159" i="9"/>
  <c r="BS160" i="9"/>
  <c r="BS161" i="9"/>
  <c r="BS162" i="9"/>
  <c r="BS163" i="9"/>
  <c r="BS164" i="9"/>
  <c r="BS165" i="9"/>
  <c r="BS166" i="9"/>
  <c r="BS167" i="9"/>
  <c r="BS168" i="9"/>
  <c r="BS169" i="9"/>
  <c r="BS170" i="9"/>
  <c r="BS171" i="9"/>
  <c r="BS172" i="9"/>
  <c r="BS173" i="9"/>
  <c r="BS174" i="9"/>
  <c r="BS175" i="9"/>
  <c r="BS176" i="9"/>
  <c r="BS177" i="9"/>
  <c r="BS178" i="9"/>
  <c r="BS179" i="9"/>
  <c r="BS180" i="9"/>
  <c r="BS181" i="9"/>
  <c r="BS182" i="9"/>
  <c r="BS183" i="9"/>
  <c r="BS184" i="9"/>
  <c r="BS185" i="9"/>
  <c r="BS186" i="9"/>
  <c r="BS187" i="9"/>
  <c r="BS188" i="9"/>
  <c r="BS189" i="9"/>
  <c r="BS190" i="9"/>
  <c r="BS191" i="9"/>
  <c r="BS192" i="9"/>
  <c r="BS193" i="9"/>
  <c r="BS194" i="9"/>
  <c r="BS195" i="9"/>
  <c r="BS196" i="9"/>
  <c r="BS197" i="9"/>
  <c r="BS198" i="9"/>
  <c r="BS199" i="9"/>
  <c r="BS200" i="9"/>
  <c r="BS201" i="9"/>
  <c r="BS202" i="9"/>
  <c r="BS203" i="9"/>
  <c r="BS204" i="9"/>
  <c r="BS205" i="9"/>
  <c r="BS206" i="9"/>
  <c r="BS207" i="9"/>
  <c r="BS208" i="9"/>
  <c r="BS209" i="9"/>
  <c r="BS210" i="9"/>
  <c r="BS211" i="9"/>
  <c r="BS212" i="9"/>
  <c r="BS213" i="9"/>
  <c r="BS214" i="9"/>
  <c r="BS215" i="9"/>
  <c r="BS216" i="9"/>
  <c r="BS217" i="9"/>
  <c r="BS218" i="9"/>
  <c r="BS219" i="9"/>
  <c r="BS220" i="9"/>
  <c r="BS221" i="9"/>
  <c r="BS222" i="9"/>
  <c r="BS223" i="9"/>
  <c r="BS224" i="9"/>
  <c r="BS225" i="9"/>
  <c r="BS226" i="9"/>
  <c r="BS2" i="9"/>
  <c r="BT2" i="9"/>
  <c r="BV2" i="9" s="1"/>
  <c r="BT3" i="9"/>
  <c r="BV3" i="9" s="1"/>
  <c r="BT4" i="9"/>
  <c r="BV4" i="9" s="1"/>
  <c r="BT5" i="9"/>
  <c r="BV5" i="9" s="1"/>
  <c r="BT6" i="9"/>
  <c r="BV6" i="9" s="1"/>
  <c r="BT7" i="9"/>
  <c r="BV7" i="9" s="1"/>
  <c r="BT8" i="9"/>
  <c r="BV8" i="9" s="1"/>
  <c r="BT9" i="9"/>
  <c r="BV9" i="9" s="1"/>
  <c r="BT10" i="9"/>
  <c r="BV10" i="9" s="1"/>
  <c r="BT11" i="9"/>
  <c r="BV11" i="9" s="1"/>
  <c r="BT12" i="9"/>
  <c r="BV12" i="9" s="1"/>
  <c r="BT13" i="9"/>
  <c r="BV13" i="9" s="1"/>
  <c r="BT14" i="9"/>
  <c r="BV14" i="9" s="1"/>
  <c r="BT15" i="9"/>
  <c r="BV15" i="9" s="1"/>
  <c r="BT16" i="9"/>
  <c r="BV16" i="9" s="1"/>
  <c r="BT17" i="9"/>
  <c r="BV17" i="9" s="1"/>
  <c r="BT18" i="9"/>
  <c r="BV18" i="9" s="1"/>
  <c r="BT19" i="9"/>
  <c r="BV19" i="9" s="1"/>
  <c r="BT20" i="9"/>
  <c r="BV20" i="9" s="1"/>
  <c r="BT21" i="9"/>
  <c r="BV21" i="9" s="1"/>
  <c r="BT22" i="9"/>
  <c r="BV22" i="9" s="1"/>
  <c r="BT23" i="9"/>
  <c r="BV23" i="9" s="1"/>
  <c r="BT24" i="9"/>
  <c r="BV24" i="9" s="1"/>
  <c r="BT25" i="9"/>
  <c r="BV25" i="9" s="1"/>
  <c r="BT26" i="9"/>
  <c r="BV26" i="9" s="1"/>
  <c r="BT27" i="9"/>
  <c r="BV27" i="9" s="1"/>
  <c r="BT28" i="9"/>
  <c r="BV28" i="9" s="1"/>
  <c r="BT29" i="9"/>
  <c r="BV29" i="9" s="1"/>
  <c r="BT30" i="9"/>
  <c r="BV30" i="9" s="1"/>
  <c r="BT31" i="9"/>
  <c r="BV31" i="9" s="1"/>
  <c r="BT32" i="9"/>
  <c r="BV32" i="9" s="1"/>
  <c r="BT33" i="9"/>
  <c r="BV33" i="9" s="1"/>
  <c r="BT34" i="9"/>
  <c r="BV34" i="9" s="1"/>
  <c r="BT35" i="9"/>
  <c r="BV35" i="9" s="1"/>
  <c r="BT36" i="9"/>
  <c r="BV36" i="9" s="1"/>
  <c r="BT37" i="9"/>
  <c r="BV37" i="9" s="1"/>
  <c r="BT38" i="9"/>
  <c r="BV38" i="9" s="1"/>
  <c r="BT39" i="9"/>
  <c r="BV39" i="9" s="1"/>
  <c r="BT40" i="9"/>
  <c r="BV40" i="9" s="1"/>
  <c r="BT41" i="9"/>
  <c r="BV41" i="9" s="1"/>
  <c r="BT42" i="9"/>
  <c r="BV42" i="9" s="1"/>
  <c r="BT43" i="9"/>
  <c r="BV43" i="9" s="1"/>
  <c r="BT44" i="9"/>
  <c r="BV44" i="9" s="1"/>
  <c r="BT45" i="9"/>
  <c r="BV45" i="9" s="1"/>
  <c r="BT46" i="9"/>
  <c r="BV46" i="9" s="1"/>
  <c r="BT47" i="9"/>
  <c r="BV47" i="9" s="1"/>
  <c r="BT48" i="9"/>
  <c r="BV48" i="9" s="1"/>
  <c r="BT49" i="9"/>
  <c r="BV49" i="9" s="1"/>
  <c r="BT50" i="9"/>
  <c r="BV50" i="9" s="1"/>
  <c r="BT51" i="9"/>
  <c r="BV51" i="9" s="1"/>
  <c r="BT52" i="9"/>
  <c r="BV52" i="9" s="1"/>
  <c r="BT53" i="9"/>
  <c r="BV53" i="9" s="1"/>
  <c r="BT54" i="9"/>
  <c r="BV54" i="9" s="1"/>
  <c r="BT55" i="9"/>
  <c r="BV55" i="9" s="1"/>
  <c r="BT56" i="9"/>
  <c r="BV56" i="9" s="1"/>
  <c r="BT57" i="9"/>
  <c r="BV57" i="9" s="1"/>
  <c r="BT58" i="9"/>
  <c r="BV58" i="9" s="1"/>
  <c r="BT59" i="9"/>
  <c r="BV59" i="9" s="1"/>
  <c r="BT60" i="9"/>
  <c r="BV60" i="9" s="1"/>
  <c r="BT61" i="9"/>
  <c r="BV61" i="9" s="1"/>
  <c r="BT62" i="9"/>
  <c r="BV62" i="9" s="1"/>
  <c r="BT63" i="9"/>
  <c r="BV63" i="9" s="1"/>
  <c r="BT64" i="9"/>
  <c r="BV64" i="9" s="1"/>
  <c r="BT65" i="9"/>
  <c r="BV65" i="9" s="1"/>
  <c r="BT66" i="9"/>
  <c r="BV66" i="9" s="1"/>
  <c r="BT67" i="9"/>
  <c r="BV67" i="9" s="1"/>
  <c r="BT68" i="9"/>
  <c r="BV68" i="9" s="1"/>
  <c r="BT69" i="9"/>
  <c r="BV69" i="9" s="1"/>
  <c r="BT70" i="9"/>
  <c r="BV70" i="9" s="1"/>
  <c r="BT71" i="9"/>
  <c r="BV71" i="9" s="1"/>
  <c r="BT72" i="9"/>
  <c r="BV72" i="9" s="1"/>
  <c r="BT73" i="9"/>
  <c r="BV73" i="9" s="1"/>
  <c r="BT74" i="9"/>
  <c r="BV74" i="9" s="1"/>
  <c r="BT75" i="9"/>
  <c r="BV75" i="9" s="1"/>
  <c r="BT76" i="9"/>
  <c r="BV76" i="9" s="1"/>
  <c r="BT77" i="9"/>
  <c r="BT78" i="9"/>
  <c r="BV78" i="9" s="1"/>
  <c r="BT79" i="9"/>
  <c r="BT80" i="9"/>
  <c r="BT81" i="9"/>
  <c r="BT82" i="9"/>
  <c r="BW82" i="9" s="1"/>
  <c r="BT83" i="9"/>
  <c r="BV83" i="9" s="1"/>
  <c r="BT84" i="9"/>
  <c r="BV84" i="9" s="1"/>
  <c r="BT85" i="9"/>
  <c r="BT86" i="9"/>
  <c r="BT87" i="9"/>
  <c r="BT88" i="9"/>
  <c r="BT89" i="9"/>
  <c r="BT90" i="9"/>
  <c r="BW90" i="9" s="1"/>
  <c r="BT91" i="9"/>
  <c r="BV91" i="9" s="1"/>
  <c r="BT92" i="9"/>
  <c r="BT93" i="9"/>
  <c r="BT94" i="9"/>
  <c r="BT95" i="9"/>
  <c r="BT96" i="9"/>
  <c r="BT97" i="9"/>
  <c r="BT98" i="9"/>
  <c r="BW98" i="9" s="1"/>
  <c r="BT99" i="9"/>
  <c r="BT100" i="9"/>
  <c r="BT101" i="9"/>
  <c r="BT102" i="9"/>
  <c r="BT103" i="9"/>
  <c r="BT104" i="9"/>
  <c r="BT105" i="9"/>
  <c r="BT106" i="9"/>
  <c r="BW106" i="9" s="1"/>
  <c r="BT107" i="9"/>
  <c r="BT108" i="9"/>
  <c r="BT109" i="9"/>
  <c r="BT110" i="9"/>
  <c r="BT111" i="9"/>
  <c r="BT112" i="9"/>
  <c r="BT113" i="9"/>
  <c r="BT114" i="9"/>
  <c r="BW114" i="9" s="1"/>
  <c r="BT115" i="9"/>
  <c r="BT116" i="9"/>
  <c r="BT117" i="9"/>
  <c r="BT118" i="9"/>
  <c r="BT119" i="9"/>
  <c r="BT120" i="9"/>
  <c r="BT121" i="9"/>
  <c r="BT122" i="9"/>
  <c r="BW122" i="9" s="1"/>
  <c r="BT123" i="9"/>
  <c r="BT124" i="9"/>
  <c r="BT125" i="9"/>
  <c r="BT126" i="9"/>
  <c r="BT127" i="9"/>
  <c r="BT128" i="9"/>
  <c r="BT129" i="9"/>
  <c r="BT130" i="9"/>
  <c r="BW130" i="9" s="1"/>
  <c r="BT131" i="9"/>
  <c r="BT132" i="9"/>
  <c r="BT133" i="9"/>
  <c r="BT134" i="9"/>
  <c r="BT135" i="9"/>
  <c r="BT136" i="9"/>
  <c r="BT137" i="9"/>
  <c r="BT138" i="9"/>
  <c r="BW138" i="9" s="1"/>
  <c r="BT139" i="9"/>
  <c r="BT140" i="9"/>
  <c r="BT141" i="9"/>
  <c r="BT142" i="9"/>
  <c r="BT143" i="9"/>
  <c r="BT144" i="9"/>
  <c r="BT145" i="9"/>
  <c r="BT146" i="9"/>
  <c r="BW146" i="9" s="1"/>
  <c r="BT147" i="9"/>
  <c r="BT148" i="9"/>
  <c r="BW148" i="9" s="1"/>
  <c r="BT149" i="9"/>
  <c r="BW149" i="9" s="1"/>
  <c r="BT150" i="9"/>
  <c r="BW150" i="9" s="1"/>
  <c r="BT151" i="9"/>
  <c r="BW151" i="9" s="1"/>
  <c r="BT152" i="9"/>
  <c r="BW152" i="9" s="1"/>
  <c r="BT153" i="9"/>
  <c r="BW153" i="9" s="1"/>
  <c r="BT154" i="9"/>
  <c r="BW154" i="9" s="1"/>
  <c r="BT155" i="9"/>
  <c r="BW155" i="9" s="1"/>
  <c r="BT156" i="9"/>
  <c r="BW156" i="9" s="1"/>
  <c r="BT157" i="9"/>
  <c r="BW157" i="9" s="1"/>
  <c r="BT158" i="9"/>
  <c r="BT159" i="9"/>
  <c r="BT160" i="9"/>
  <c r="BT161" i="9"/>
  <c r="BT162" i="9"/>
  <c r="BT163" i="9"/>
  <c r="BT164" i="9"/>
  <c r="BT165" i="9"/>
  <c r="BT166" i="9"/>
  <c r="BT167" i="9"/>
  <c r="BT168" i="9"/>
  <c r="BT169" i="9"/>
  <c r="BT170" i="9"/>
  <c r="BT171" i="9"/>
  <c r="BT172" i="9"/>
  <c r="BT173" i="9"/>
  <c r="BT174" i="9"/>
  <c r="BT175" i="9"/>
  <c r="BT176" i="9"/>
  <c r="BT177" i="9"/>
  <c r="BT178" i="9"/>
  <c r="BT179" i="9"/>
  <c r="BT180" i="9"/>
  <c r="BT181" i="9"/>
  <c r="BT182" i="9"/>
  <c r="BT183" i="9"/>
  <c r="BT184" i="9"/>
  <c r="BT185" i="9"/>
  <c r="BT186" i="9"/>
  <c r="BT187" i="9"/>
  <c r="BT188" i="9"/>
  <c r="BT189" i="9"/>
  <c r="BT190" i="9"/>
  <c r="BT191" i="9"/>
  <c r="BT192" i="9"/>
  <c r="BT193" i="9"/>
  <c r="BT194" i="9"/>
  <c r="BT195" i="9"/>
  <c r="BT196" i="9"/>
  <c r="BT197" i="9"/>
  <c r="BT198" i="9"/>
  <c r="BT199" i="9"/>
  <c r="BT200" i="9"/>
  <c r="BT201" i="9"/>
  <c r="BT202" i="9"/>
  <c r="BT203" i="9"/>
  <c r="BT204" i="9"/>
  <c r="BT205" i="9"/>
  <c r="BT206" i="9"/>
  <c r="BT207" i="9"/>
  <c r="BT208" i="9"/>
  <c r="BT209" i="9"/>
  <c r="BT210" i="9"/>
  <c r="BT211" i="9"/>
  <c r="BW3" i="9"/>
  <c r="BW5" i="9"/>
  <c r="BW9" i="9"/>
  <c r="BW12" i="9"/>
  <c r="BW13" i="9"/>
  <c r="BW14" i="9"/>
  <c r="BW16" i="9"/>
  <c r="BW17" i="9"/>
  <c r="BW19" i="9"/>
  <c r="BW20" i="9"/>
  <c r="BW21" i="9"/>
  <c r="BW22" i="9"/>
  <c r="BW23" i="9"/>
  <c r="BW24" i="9"/>
  <c r="BW25" i="9"/>
  <c r="BW27" i="9"/>
  <c r="BW28" i="9"/>
  <c r="BW29" i="9"/>
  <c r="BW30" i="9"/>
  <c r="BW31" i="9"/>
  <c r="BW32" i="9"/>
  <c r="BW33" i="9"/>
  <c r="BW35" i="9"/>
  <c r="BW36" i="9"/>
  <c r="BW37" i="9"/>
  <c r="BW38" i="9"/>
  <c r="BW39" i="9"/>
  <c r="BW40" i="9"/>
  <c r="BW41" i="9"/>
  <c r="BW43" i="9"/>
  <c r="BW44" i="9"/>
  <c r="BW45" i="9"/>
  <c r="BW46" i="9"/>
  <c r="BW47" i="9"/>
  <c r="BW48" i="9"/>
  <c r="BW49" i="9"/>
  <c r="BW51" i="9"/>
  <c r="BW52" i="9"/>
  <c r="BW53" i="9"/>
  <c r="BW54" i="9"/>
  <c r="BW55" i="9"/>
  <c r="BW56" i="9"/>
  <c r="BW57" i="9"/>
  <c r="BW59" i="9"/>
  <c r="BW60" i="9"/>
  <c r="BW61" i="9"/>
  <c r="BW62" i="9"/>
  <c r="BW63" i="9"/>
  <c r="BW64" i="9"/>
  <c r="BW65" i="9"/>
  <c r="BW67" i="9"/>
  <c r="BW68" i="9"/>
  <c r="BW69" i="9"/>
  <c r="BW71" i="9"/>
  <c r="BW72" i="9"/>
  <c r="BW73" i="9"/>
  <c r="BW75" i="9"/>
  <c r="BW76" i="9"/>
  <c r="BW77" i="9"/>
  <c r="BW78" i="9"/>
  <c r="BW79" i="9"/>
  <c r="BW80" i="9"/>
  <c r="BW81" i="9"/>
  <c r="BW83" i="9"/>
  <c r="BW84" i="9"/>
  <c r="BW85" i="9"/>
  <c r="BW86" i="9"/>
  <c r="BW87" i="9"/>
  <c r="BW88" i="9"/>
  <c r="BW89" i="9"/>
  <c r="BW91" i="9"/>
  <c r="BW92" i="9"/>
  <c r="BW93" i="9"/>
  <c r="BW94" i="9"/>
  <c r="BW95" i="9"/>
  <c r="BW96" i="9"/>
  <c r="BW97" i="9"/>
  <c r="BW99" i="9"/>
  <c r="BW100" i="9"/>
  <c r="BW101" i="9"/>
  <c r="BW102" i="9"/>
  <c r="BW103" i="9"/>
  <c r="BW104" i="9"/>
  <c r="BW105" i="9"/>
  <c r="BW107" i="9"/>
  <c r="BW108" i="9"/>
  <c r="BW109" i="9"/>
  <c r="BW110" i="9"/>
  <c r="BW111" i="9"/>
  <c r="BW112" i="9"/>
  <c r="BW113" i="9"/>
  <c r="BW115" i="9"/>
  <c r="BW116" i="9"/>
  <c r="BW117" i="9"/>
  <c r="BW118" i="9"/>
  <c r="BW119" i="9"/>
  <c r="BW120" i="9"/>
  <c r="BW121" i="9"/>
  <c r="BW123" i="9"/>
  <c r="BW124" i="9"/>
  <c r="BW125" i="9"/>
  <c r="BW126" i="9"/>
  <c r="BW127" i="9"/>
  <c r="BW128" i="9"/>
  <c r="BW129" i="9"/>
  <c r="BW131" i="9"/>
  <c r="BW132" i="9"/>
  <c r="BW133" i="9"/>
  <c r="BW134" i="9"/>
  <c r="BW135" i="9"/>
  <c r="BW136" i="9"/>
  <c r="BW137" i="9"/>
  <c r="BW139" i="9"/>
  <c r="BW140" i="9"/>
  <c r="BW141" i="9"/>
  <c r="BW142" i="9"/>
  <c r="BW143" i="9"/>
  <c r="BW144" i="9"/>
  <c r="BW145" i="9"/>
  <c r="BW147" i="9"/>
  <c r="BV77" i="9"/>
  <c r="BV79" i="9"/>
  <c r="BV80" i="9"/>
  <c r="BV81" i="9"/>
  <c r="BV85" i="9"/>
  <c r="BV86" i="9"/>
  <c r="BV87" i="9"/>
  <c r="BV88" i="9"/>
  <c r="BV89" i="9"/>
  <c r="BV92" i="9"/>
  <c r="BV93" i="9"/>
  <c r="BV94" i="9"/>
  <c r="BV95" i="9"/>
  <c r="BV96" i="9"/>
  <c r="BV97" i="9"/>
  <c r="BV99" i="9"/>
  <c r="BV100" i="9"/>
  <c r="BV101" i="9"/>
  <c r="BV102" i="9"/>
  <c r="BV103" i="9"/>
  <c r="BV104" i="9"/>
  <c r="BV105" i="9"/>
  <c r="BV107" i="9"/>
  <c r="BV108" i="9"/>
  <c r="BV109" i="9"/>
  <c r="BV110" i="9"/>
  <c r="BV111" i="9"/>
  <c r="BV112" i="9"/>
  <c r="BV113" i="9"/>
  <c r="BV115" i="9"/>
  <c r="BV116" i="9"/>
  <c r="BV117" i="9"/>
  <c r="BV118" i="9"/>
  <c r="BV119" i="9"/>
  <c r="BV120" i="9"/>
  <c r="BV121" i="9"/>
  <c r="BV123" i="9"/>
  <c r="BV124" i="9"/>
  <c r="BV125" i="9"/>
  <c r="BV126" i="9"/>
  <c r="BV127" i="9"/>
  <c r="BV128" i="9"/>
  <c r="BV129" i="9"/>
  <c r="BV131" i="9"/>
  <c r="BV132" i="9"/>
  <c r="BV133" i="9"/>
  <c r="BV134" i="9"/>
  <c r="BV135" i="9"/>
  <c r="BV136" i="9"/>
  <c r="BV137" i="9"/>
  <c r="BV139" i="9"/>
  <c r="BV140" i="9"/>
  <c r="BV141" i="9"/>
  <c r="BV142" i="9"/>
  <c r="BV143" i="9"/>
  <c r="BV144" i="9"/>
  <c r="BV145" i="9"/>
  <c r="BV147" i="9"/>
  <c r="BV148" i="9"/>
  <c r="BV149" i="9"/>
  <c r="BV150" i="9"/>
  <c r="BV151" i="9"/>
  <c r="BV152" i="9"/>
  <c r="BV153" i="9"/>
  <c r="BV155" i="9"/>
  <c r="BV156" i="9"/>
  <c r="BV157" i="9"/>
  <c r="BV158" i="9"/>
  <c r="BV159" i="9"/>
  <c r="BV160" i="9"/>
  <c r="BV161" i="9"/>
  <c r="BU3" i="9"/>
  <c r="BU4" i="9"/>
  <c r="BU5" i="9"/>
  <c r="BU6" i="9"/>
  <c r="BU7" i="9"/>
  <c r="BU8" i="9"/>
  <c r="BU9" i="9"/>
  <c r="BU11" i="9"/>
  <c r="BU12" i="9"/>
  <c r="BU13" i="9"/>
  <c r="BU14" i="9"/>
  <c r="BU15" i="9"/>
  <c r="BU16" i="9"/>
  <c r="BU17" i="9"/>
  <c r="BU19" i="9"/>
  <c r="BU20" i="9"/>
  <c r="BU21" i="9"/>
  <c r="BU22" i="9"/>
  <c r="BU23" i="9"/>
  <c r="BU24" i="9"/>
  <c r="BU25" i="9"/>
  <c r="BU27" i="9"/>
  <c r="BU28" i="9"/>
  <c r="BU29" i="9"/>
  <c r="BU30" i="9"/>
  <c r="BU31" i="9"/>
  <c r="BU32" i="9"/>
  <c r="BU33" i="9"/>
  <c r="BU35" i="9"/>
  <c r="BU36" i="9"/>
  <c r="BU37" i="9"/>
  <c r="BU38" i="9"/>
  <c r="BU39" i="9"/>
  <c r="BU40" i="9"/>
  <c r="BU41" i="9"/>
  <c r="BU43" i="9"/>
  <c r="BU44" i="9"/>
  <c r="BU45" i="9"/>
  <c r="BU46" i="9"/>
  <c r="BU47" i="9"/>
  <c r="BU48" i="9"/>
  <c r="BU49" i="9"/>
  <c r="BU51" i="9"/>
  <c r="BU52" i="9"/>
  <c r="BU53" i="9"/>
  <c r="BU54" i="9"/>
  <c r="BU55" i="9"/>
  <c r="BU56" i="9"/>
  <c r="BU57" i="9"/>
  <c r="BU59" i="9"/>
  <c r="BU60" i="9"/>
  <c r="BU61" i="9"/>
  <c r="BU62" i="9"/>
  <c r="BU63" i="9"/>
  <c r="BU64" i="9"/>
  <c r="BU65" i="9"/>
  <c r="BU67" i="9"/>
  <c r="BU68" i="9"/>
  <c r="BU69" i="9"/>
  <c r="BU70" i="9"/>
  <c r="BU71" i="9"/>
  <c r="BU72" i="9"/>
  <c r="BU73" i="9"/>
  <c r="BU75" i="9"/>
  <c r="BU76" i="9"/>
  <c r="BU77" i="9"/>
  <c r="BU78" i="9"/>
  <c r="BU79" i="9"/>
  <c r="BU80" i="9"/>
  <c r="BU81" i="9"/>
  <c r="BU83" i="9"/>
  <c r="BU84" i="9"/>
  <c r="BU85" i="9"/>
  <c r="BU86" i="9"/>
  <c r="BU87" i="9"/>
  <c r="BU88" i="9"/>
  <c r="BU89" i="9"/>
  <c r="BU91" i="9"/>
  <c r="BU92" i="9"/>
  <c r="BU93" i="9"/>
  <c r="BU94" i="9"/>
  <c r="BU95" i="9"/>
  <c r="BU96" i="9"/>
  <c r="BU97" i="9"/>
  <c r="BU99" i="9"/>
  <c r="BU100" i="9"/>
  <c r="BU101" i="9"/>
  <c r="BU102" i="9"/>
  <c r="BU103" i="9"/>
  <c r="BU104" i="9"/>
  <c r="BU105" i="9"/>
  <c r="BU107" i="9"/>
  <c r="BU108" i="9"/>
  <c r="BU109" i="9"/>
  <c r="BU110" i="9"/>
  <c r="BU111" i="9"/>
  <c r="BU112" i="9"/>
  <c r="BU113" i="9"/>
  <c r="BU115" i="9"/>
  <c r="BU116" i="9"/>
  <c r="BU117" i="9"/>
  <c r="BU118" i="9"/>
  <c r="BU119" i="9"/>
  <c r="BU120" i="9"/>
  <c r="BU121" i="9"/>
  <c r="BU123" i="9"/>
  <c r="BU124" i="9"/>
  <c r="BU125" i="9"/>
  <c r="BU126" i="9"/>
  <c r="BU127" i="9"/>
  <c r="BU128" i="9"/>
  <c r="BU129" i="9"/>
  <c r="BU131" i="9"/>
  <c r="BU132" i="9"/>
  <c r="BU133" i="9"/>
  <c r="BU134" i="9"/>
  <c r="BU135" i="9"/>
  <c r="BU136" i="9"/>
  <c r="BU137" i="9"/>
  <c r="BU139" i="9"/>
  <c r="BU140" i="9"/>
  <c r="BU141" i="9"/>
  <c r="BU142" i="9"/>
  <c r="BU143" i="9"/>
  <c r="BU144" i="9"/>
  <c r="BU145" i="9"/>
  <c r="BU147" i="9"/>
  <c r="BU148" i="9"/>
  <c r="BU149" i="9"/>
  <c r="BU150" i="9"/>
  <c r="BU151" i="9"/>
  <c r="BU152" i="9"/>
  <c r="BU153" i="9"/>
  <c r="BU155" i="9"/>
  <c r="BU156" i="9"/>
  <c r="BU157" i="9"/>
  <c r="BU158" i="9"/>
  <c r="BU159" i="9"/>
  <c r="BU160" i="9"/>
  <c r="BU161" i="9"/>
  <c r="BT240" i="9"/>
  <c r="R240" i="9"/>
  <c r="BT239" i="9"/>
  <c r="R239" i="9"/>
  <c r="BT238" i="9"/>
  <c r="R238" i="9"/>
  <c r="BT237" i="9"/>
  <c r="R237" i="9"/>
  <c r="BT236" i="9"/>
  <c r="R236" i="9"/>
  <c r="BT235" i="9"/>
  <c r="R235" i="9"/>
  <c r="BT234" i="9"/>
  <c r="R234" i="9"/>
  <c r="BT233" i="9"/>
  <c r="R233" i="9"/>
  <c r="BT232" i="9"/>
  <c r="R232" i="9"/>
  <c r="BT231" i="9"/>
  <c r="R231" i="9"/>
  <c r="BT230" i="9"/>
  <c r="R230" i="9"/>
  <c r="BT229" i="9"/>
  <c r="R229" i="9"/>
  <c r="BT228" i="9"/>
  <c r="R228" i="9"/>
  <c r="BT227" i="9"/>
  <c r="R227" i="9"/>
  <c r="BT226" i="9"/>
  <c r="R226" i="9"/>
  <c r="BT225" i="9"/>
  <c r="R225" i="9"/>
  <c r="BT224" i="9"/>
  <c r="R224" i="9"/>
  <c r="BT223" i="9"/>
  <c r="R223" i="9"/>
  <c r="BT222" i="9"/>
  <c r="R222" i="9"/>
  <c r="BT221" i="9"/>
  <c r="R221" i="9"/>
  <c r="BT220" i="9"/>
  <c r="R220" i="9"/>
  <c r="BT219" i="9"/>
  <c r="R219" i="9"/>
  <c r="BT218" i="9"/>
  <c r="R218" i="9"/>
  <c r="BT217" i="9"/>
  <c r="R217" i="9"/>
  <c r="BT216" i="9"/>
  <c r="R216" i="9"/>
  <c r="BT215" i="9"/>
  <c r="R215" i="9"/>
  <c r="BT214" i="9"/>
  <c r="R214" i="9"/>
  <c r="BT213" i="9"/>
  <c r="BW213" i="9" s="1"/>
  <c r="R213" i="9"/>
  <c r="BT212" i="9"/>
  <c r="R212" i="9"/>
  <c r="R211" i="9"/>
  <c r="R210" i="9"/>
  <c r="R209" i="9"/>
  <c r="R208" i="9"/>
  <c r="R207" i="9"/>
  <c r="R206" i="9"/>
  <c r="R205" i="9"/>
  <c r="R204" i="9"/>
  <c r="R203" i="9"/>
  <c r="R202" i="9"/>
  <c r="R201" i="9"/>
  <c r="R200" i="9"/>
  <c r="R199" i="9"/>
  <c r="R198" i="9"/>
  <c r="R197" i="9"/>
  <c r="R196" i="9"/>
  <c r="R195" i="9"/>
  <c r="R194" i="9"/>
  <c r="BU193" i="9"/>
  <c r="R193" i="9"/>
  <c r="R192" i="9"/>
  <c r="R191" i="9"/>
  <c r="R190" i="9"/>
  <c r="R189" i="9"/>
  <c r="R188" i="9"/>
  <c r="R187" i="9"/>
  <c r="R186" i="9"/>
  <c r="BW185" i="9"/>
  <c r="R185" i="9"/>
  <c r="R184" i="9"/>
  <c r="R183" i="9"/>
  <c r="R182" i="9"/>
  <c r="R181" i="9"/>
  <c r="R180" i="9"/>
  <c r="R179" i="9"/>
  <c r="R178" i="9"/>
  <c r="R177" i="9"/>
  <c r="R176" i="9"/>
  <c r="BW175" i="9"/>
  <c r="BV175" i="9"/>
  <c r="BU175" i="9"/>
  <c r="R175" i="9"/>
  <c r="R174" i="9"/>
  <c r="R173" i="9"/>
  <c r="R172" i="9"/>
  <c r="R171" i="9"/>
  <c r="R170" i="9"/>
  <c r="R169" i="9"/>
  <c r="R168" i="9"/>
  <c r="R167" i="9"/>
  <c r="R166" i="9"/>
  <c r="R165" i="9"/>
  <c r="R164" i="9"/>
  <c r="R163" i="9"/>
  <c r="R162" i="9"/>
  <c r="R161" i="9"/>
  <c r="R160" i="9"/>
  <c r="R159" i="9"/>
  <c r="R158" i="9"/>
  <c r="R157" i="9"/>
  <c r="R156" i="9"/>
  <c r="R155" i="9"/>
  <c r="R154" i="9"/>
  <c r="R153" i="9"/>
  <c r="R152" i="9"/>
  <c r="R151" i="9"/>
  <c r="R150" i="9"/>
  <c r="R149" i="9"/>
  <c r="R148" i="9"/>
  <c r="R147" i="9"/>
  <c r="R146" i="9"/>
  <c r="R145" i="9"/>
  <c r="R144" i="9"/>
  <c r="R143" i="9"/>
  <c r="R142" i="9"/>
  <c r="R141" i="9"/>
  <c r="R140" i="9"/>
  <c r="R139" i="9"/>
  <c r="R138" i="9"/>
  <c r="R137" i="9"/>
  <c r="R136" i="9"/>
  <c r="R135" i="9"/>
  <c r="R134" i="9"/>
  <c r="R133" i="9"/>
  <c r="R132" i="9"/>
  <c r="R131" i="9"/>
  <c r="R130" i="9"/>
  <c r="R129" i="9"/>
  <c r="R128" i="9"/>
  <c r="R127" i="9"/>
  <c r="R126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9" i="9"/>
  <c r="R98" i="9"/>
  <c r="R97" i="9"/>
  <c r="R96" i="9"/>
  <c r="R95" i="9"/>
  <c r="R94" i="9"/>
  <c r="R93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R3" i="9"/>
  <c r="R2" i="9"/>
  <c r="BT2" i="4"/>
  <c r="BT3" i="4"/>
  <c r="BT4" i="4"/>
  <c r="BT5" i="4"/>
  <c r="BT6" i="4"/>
  <c r="BT7" i="4"/>
  <c r="BT8" i="4"/>
  <c r="BT9" i="4"/>
  <c r="BT10" i="4"/>
  <c r="BT11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41" i="4"/>
  <c r="BT42" i="4"/>
  <c r="BT43" i="4"/>
  <c r="BT44" i="4"/>
  <c r="BT45" i="4"/>
  <c r="BT46" i="4"/>
  <c r="BT47" i="4"/>
  <c r="BT48" i="4"/>
  <c r="BT49" i="4"/>
  <c r="BT50" i="4"/>
  <c r="BT51" i="4"/>
  <c r="BT52" i="4"/>
  <c r="BT53" i="4"/>
  <c r="BT54" i="4"/>
  <c r="BT55" i="4"/>
  <c r="BT56" i="4"/>
  <c r="BT57" i="4"/>
  <c r="BT58" i="4"/>
  <c r="BT59" i="4"/>
  <c r="BT60" i="4"/>
  <c r="BT61" i="4"/>
  <c r="BT62" i="4"/>
  <c r="BT63" i="4"/>
  <c r="BT64" i="4"/>
  <c r="BT65" i="4"/>
  <c r="BT66" i="4"/>
  <c r="BT67" i="4"/>
  <c r="BT68" i="4"/>
  <c r="BT69" i="4"/>
  <c r="BT70" i="4"/>
  <c r="BT71" i="4"/>
  <c r="BT72" i="4"/>
  <c r="BT73" i="4"/>
  <c r="BT74" i="4"/>
  <c r="BT75" i="4"/>
  <c r="BT76" i="4"/>
  <c r="BT77" i="4"/>
  <c r="BT78" i="4"/>
  <c r="BT79" i="4"/>
  <c r="BT80" i="4"/>
  <c r="BT81" i="4"/>
  <c r="BT82" i="4"/>
  <c r="BT83" i="4"/>
  <c r="BT84" i="4"/>
  <c r="BT85" i="4"/>
  <c r="BT86" i="4"/>
  <c r="BT87" i="4"/>
  <c r="BT88" i="4"/>
  <c r="BT89" i="4"/>
  <c r="BT90" i="4"/>
  <c r="BT91" i="4"/>
  <c r="BT92" i="4"/>
  <c r="BT93" i="4"/>
  <c r="BT94" i="4"/>
  <c r="BT95" i="4"/>
  <c r="BT96" i="4"/>
  <c r="BT97" i="4"/>
  <c r="BT98" i="4"/>
  <c r="BT99" i="4"/>
  <c r="BT100" i="4"/>
  <c r="BT101" i="4"/>
  <c r="BT102" i="4"/>
  <c r="BT103" i="4"/>
  <c r="BT104" i="4"/>
  <c r="BT105" i="4"/>
  <c r="BT106" i="4"/>
  <c r="BT107" i="4"/>
  <c r="BT108" i="4"/>
  <c r="BT109" i="4"/>
  <c r="BT110" i="4"/>
  <c r="BT111" i="4"/>
  <c r="BT112" i="4"/>
  <c r="BT113" i="4"/>
  <c r="BT114" i="4"/>
  <c r="BT115" i="4"/>
  <c r="BT116" i="4"/>
  <c r="BT117" i="4"/>
  <c r="BT118" i="4"/>
  <c r="BT119" i="4"/>
  <c r="BT120" i="4"/>
  <c r="BT121" i="4"/>
  <c r="BT122" i="4"/>
  <c r="BT123" i="4"/>
  <c r="BT124" i="4"/>
  <c r="BT125" i="4"/>
  <c r="BT126" i="4"/>
  <c r="BT127" i="4"/>
  <c r="BT128" i="4"/>
  <c r="BT129" i="4"/>
  <c r="BT130" i="4"/>
  <c r="BT131" i="4"/>
  <c r="BT132" i="4"/>
  <c r="BT133" i="4"/>
  <c r="BT134" i="4"/>
  <c r="BT135" i="4"/>
  <c r="BT136" i="4"/>
  <c r="BT137" i="4"/>
  <c r="BT138" i="4"/>
  <c r="BT139" i="4"/>
  <c r="BT140" i="4"/>
  <c r="BT141" i="4"/>
  <c r="BT142" i="4"/>
  <c r="BT143" i="4"/>
  <c r="BT144" i="4"/>
  <c r="BT145" i="4"/>
  <c r="BT146" i="4"/>
  <c r="BT147" i="4"/>
  <c r="BT148" i="4"/>
  <c r="BT149" i="4"/>
  <c r="BT150" i="4"/>
  <c r="BT151" i="4"/>
  <c r="BT152" i="4"/>
  <c r="BT153" i="4"/>
  <c r="BT154" i="4"/>
  <c r="BT155" i="4"/>
  <c r="BT156" i="4"/>
  <c r="BT157" i="4"/>
  <c r="BT158" i="4"/>
  <c r="BT159" i="4"/>
  <c r="BT160" i="4"/>
  <c r="BT161" i="4"/>
  <c r="BT162" i="4"/>
  <c r="BT163" i="4"/>
  <c r="BT164" i="4"/>
  <c r="BT165" i="4"/>
  <c r="BT166" i="4"/>
  <c r="BT167" i="4"/>
  <c r="BT168" i="4"/>
  <c r="BT169" i="4"/>
  <c r="BT170" i="4"/>
  <c r="BT171" i="4"/>
  <c r="BT172" i="4"/>
  <c r="BT173" i="4"/>
  <c r="BT174" i="4"/>
  <c r="BT175" i="4"/>
  <c r="BT176" i="4"/>
  <c r="BT177" i="4"/>
  <c r="BT178" i="4"/>
  <c r="BT179" i="4"/>
  <c r="BT180" i="4"/>
  <c r="BT181" i="4"/>
  <c r="BT182" i="4"/>
  <c r="BT183" i="4"/>
  <c r="BT184" i="4"/>
  <c r="BT185" i="4"/>
  <c r="BT186" i="4"/>
  <c r="BT187" i="4"/>
  <c r="BT188" i="4"/>
  <c r="BT189" i="4"/>
  <c r="BT190" i="4"/>
  <c r="BT191" i="4"/>
  <c r="BT192" i="4"/>
  <c r="BT193" i="4"/>
  <c r="BT194" i="4"/>
  <c r="BT195" i="4"/>
  <c r="BT196" i="4"/>
  <c r="BT197" i="4"/>
  <c r="BT198" i="4"/>
  <c r="BT199" i="4"/>
  <c r="BT200" i="4"/>
  <c r="BT201" i="4"/>
  <c r="BT202" i="4"/>
  <c r="BT203" i="4"/>
  <c r="BT204" i="4"/>
  <c r="BT205" i="4"/>
  <c r="BT206" i="4"/>
  <c r="BT207" i="4"/>
  <c r="BT208" i="4"/>
  <c r="BT209" i="4"/>
  <c r="BT210" i="4"/>
  <c r="BT211" i="4"/>
  <c r="BT212" i="4"/>
  <c r="BT213" i="4"/>
  <c r="BT214" i="4"/>
  <c r="BT215" i="4"/>
  <c r="BT216" i="4"/>
  <c r="BT217" i="4"/>
  <c r="BT218" i="4"/>
  <c r="BT219" i="4"/>
  <c r="BT220" i="4"/>
  <c r="BT221" i="4"/>
  <c r="BT222" i="4"/>
  <c r="BT223" i="4"/>
  <c r="BT224" i="4"/>
  <c r="BT225" i="4"/>
  <c r="BT226" i="4"/>
  <c r="BT227" i="4"/>
  <c r="BT228" i="4"/>
  <c r="BT229" i="4"/>
  <c r="BT230" i="4"/>
  <c r="BT231" i="4"/>
  <c r="BT232" i="4"/>
  <c r="BT233" i="4"/>
  <c r="BT234" i="4"/>
  <c r="BT235" i="4"/>
  <c r="BT236" i="4"/>
  <c r="BT237" i="4"/>
  <c r="BT238" i="4"/>
  <c r="BT239" i="4"/>
  <c r="BT240" i="4"/>
  <c r="BT241" i="4"/>
  <c r="BT242" i="4"/>
  <c r="BT243" i="4"/>
  <c r="BT244" i="4"/>
  <c r="BT245" i="4"/>
  <c r="BT246" i="4"/>
  <c r="BT247" i="4"/>
  <c r="BT248" i="4"/>
  <c r="BT249" i="4"/>
  <c r="BT250" i="4"/>
  <c r="BT251" i="4"/>
  <c r="BT252" i="4"/>
  <c r="BT253" i="4"/>
  <c r="BT254" i="4"/>
  <c r="BT255" i="4"/>
  <c r="BT256" i="4"/>
  <c r="BT257" i="4"/>
  <c r="BT258" i="4"/>
  <c r="BT259" i="4"/>
  <c r="BT260" i="4"/>
  <c r="BT261" i="4"/>
  <c r="BT262" i="4"/>
  <c r="BT263" i="4"/>
  <c r="BT264" i="4"/>
  <c r="BT265" i="4"/>
  <c r="BT266" i="4"/>
  <c r="BT267" i="4"/>
  <c r="BT268" i="4"/>
  <c r="BT269" i="4"/>
  <c r="BT270" i="4"/>
  <c r="BT271" i="4"/>
  <c r="BT272" i="4"/>
  <c r="BT273" i="4"/>
  <c r="BT274" i="4"/>
  <c r="BT275" i="4"/>
  <c r="BT276" i="4"/>
  <c r="BT277" i="4"/>
  <c r="BT278" i="4"/>
  <c r="BT279" i="4"/>
  <c r="BT280" i="4"/>
  <c r="BT281" i="4"/>
  <c r="BT282" i="4"/>
  <c r="BT283" i="4"/>
  <c r="BT284" i="4"/>
  <c r="BT285" i="4"/>
  <c r="BT286" i="4"/>
  <c r="BT287" i="4"/>
  <c r="BT288" i="4"/>
  <c r="BT289" i="4"/>
  <c r="BT290" i="4"/>
  <c r="BT291" i="4"/>
  <c r="BT292" i="4"/>
  <c r="BT293" i="4"/>
  <c r="BT294" i="4"/>
  <c r="BT295" i="4"/>
  <c r="BT296" i="4"/>
  <c r="BT297" i="4"/>
  <c r="BT298" i="4"/>
  <c r="BT299" i="4"/>
  <c r="BT300" i="4"/>
  <c r="BT301" i="4"/>
  <c r="BT302" i="4"/>
  <c r="BT303" i="4"/>
  <c r="BT304" i="4"/>
  <c r="BT305" i="4"/>
  <c r="BT306" i="4"/>
  <c r="BT307" i="4"/>
  <c r="BT308" i="4"/>
  <c r="BT309" i="4"/>
  <c r="BT310" i="4"/>
  <c r="BT311" i="4"/>
  <c r="BT312" i="4"/>
  <c r="BT313" i="4"/>
  <c r="BT314" i="4"/>
  <c r="BT315" i="4"/>
  <c r="BT316" i="4"/>
  <c r="BT317" i="4"/>
  <c r="BT318" i="4"/>
  <c r="BT319" i="4"/>
  <c r="BT320" i="4"/>
  <c r="BT321" i="4"/>
  <c r="BT322" i="4"/>
  <c r="BT323" i="4"/>
  <c r="BT324" i="4"/>
  <c r="BT325" i="4"/>
  <c r="BT326" i="4"/>
  <c r="BT327" i="4"/>
  <c r="BT328" i="4"/>
  <c r="BT329" i="4"/>
  <c r="BT330" i="4"/>
  <c r="BT331" i="4"/>
  <c r="BT332" i="4"/>
  <c r="BT333" i="4"/>
  <c r="BT334" i="4"/>
  <c r="BT335" i="4"/>
  <c r="BT336" i="4"/>
  <c r="BT337" i="4"/>
  <c r="BT338" i="4"/>
  <c r="BT339" i="4"/>
  <c r="BT340" i="4"/>
  <c r="BT341" i="4"/>
  <c r="BT342" i="4"/>
  <c r="BT343" i="4"/>
  <c r="BT344" i="4"/>
  <c r="BT345" i="4"/>
  <c r="BT346" i="4"/>
  <c r="BT347" i="4"/>
  <c r="BT348" i="4"/>
  <c r="BT349" i="4"/>
  <c r="BT350" i="4"/>
  <c r="BT351" i="4"/>
  <c r="BT352" i="4"/>
  <c r="BT353" i="4"/>
  <c r="BT354" i="4"/>
  <c r="BT355" i="4"/>
  <c r="BT356" i="4"/>
  <c r="BT357" i="4"/>
  <c r="BT358" i="4"/>
  <c r="BT359" i="4"/>
  <c r="BT360" i="4"/>
  <c r="BT361" i="4"/>
  <c r="BT362" i="4"/>
  <c r="BT363" i="4"/>
  <c r="BT364" i="4"/>
  <c r="BT365" i="4"/>
  <c r="BT366" i="4"/>
  <c r="BT367" i="4"/>
  <c r="BT368" i="4"/>
  <c r="BT369" i="4"/>
  <c r="BT370" i="4"/>
  <c r="BT371" i="4"/>
  <c r="BT372" i="4"/>
  <c r="BT373" i="4"/>
  <c r="BT374" i="4"/>
  <c r="BT375" i="4"/>
  <c r="BT376" i="4"/>
  <c r="BT377" i="4"/>
  <c r="BT378" i="4"/>
  <c r="BT379" i="4"/>
  <c r="BT380" i="4"/>
  <c r="BT381" i="4"/>
  <c r="BT382" i="4"/>
  <c r="BT383" i="4"/>
  <c r="BT384" i="4"/>
  <c r="BT385" i="4"/>
  <c r="BT386" i="4"/>
  <c r="BT387" i="4"/>
  <c r="BT388" i="4"/>
  <c r="BT389" i="4"/>
  <c r="BT390" i="4"/>
  <c r="BT391" i="4"/>
  <c r="BT392" i="4"/>
  <c r="BT393" i="4"/>
  <c r="BT394" i="4"/>
  <c r="BT395" i="4"/>
  <c r="BT396" i="4"/>
  <c r="BT397" i="4"/>
  <c r="BT398" i="4"/>
  <c r="BT399" i="4"/>
  <c r="BT400" i="4"/>
  <c r="BT401" i="4"/>
  <c r="BT402" i="4"/>
  <c r="BT403" i="4"/>
  <c r="BT404" i="4"/>
  <c r="BT405" i="4"/>
  <c r="BT406" i="4"/>
  <c r="BT407" i="4"/>
  <c r="BT408" i="4"/>
  <c r="BT409" i="4"/>
  <c r="BT410" i="4"/>
  <c r="BT411" i="4"/>
  <c r="BT412" i="4"/>
  <c r="BT413" i="4"/>
  <c r="BT414" i="4"/>
  <c r="BT415" i="4"/>
  <c r="BT416" i="4"/>
  <c r="BT417" i="4"/>
  <c r="BT418" i="4"/>
  <c r="BT419" i="4"/>
  <c r="BT420" i="4"/>
  <c r="BT421" i="4"/>
  <c r="BT422" i="4"/>
  <c r="BT423" i="4"/>
  <c r="BT424" i="4"/>
  <c r="BT425" i="4"/>
  <c r="BT426" i="4"/>
  <c r="BT427" i="4"/>
  <c r="BT428" i="4"/>
  <c r="BT429" i="4"/>
  <c r="BT430" i="4"/>
  <c r="BT431" i="4"/>
  <c r="BT432" i="4"/>
  <c r="BT433" i="4"/>
  <c r="BT434" i="4"/>
  <c r="BT435" i="4"/>
  <c r="BT436" i="4"/>
  <c r="BT437" i="4"/>
  <c r="BT438" i="4"/>
  <c r="BT439" i="4"/>
  <c r="BT440" i="4"/>
  <c r="BT441" i="4"/>
  <c r="BT442" i="4"/>
  <c r="BT443" i="4"/>
  <c r="BT444" i="4"/>
  <c r="BT445" i="4"/>
  <c r="BT446" i="4"/>
  <c r="BT447" i="4"/>
  <c r="BT448" i="4"/>
  <c r="BT449" i="4"/>
  <c r="BT450" i="4"/>
  <c r="BT451" i="4"/>
  <c r="BT452" i="4"/>
  <c r="BT453" i="4"/>
  <c r="BT454" i="4"/>
  <c r="BT455" i="4"/>
  <c r="BT456" i="4"/>
  <c r="BT457" i="4"/>
  <c r="BT458" i="4"/>
  <c r="BT459" i="4"/>
  <c r="BT460" i="4"/>
  <c r="BT461" i="4"/>
  <c r="BT462" i="4"/>
  <c r="BT463" i="4"/>
  <c r="BT464" i="4"/>
  <c r="BT465" i="4"/>
  <c r="BT466" i="4"/>
  <c r="BT467" i="4"/>
  <c r="BT468" i="4"/>
  <c r="BT469" i="4"/>
  <c r="BT470" i="4"/>
  <c r="BT471" i="4"/>
  <c r="BT472" i="4"/>
  <c r="BT473" i="4"/>
  <c r="BT474" i="4"/>
  <c r="BT475" i="4"/>
  <c r="BT476" i="4"/>
  <c r="BT477" i="4"/>
  <c r="BT478" i="4"/>
  <c r="BT479" i="4"/>
  <c r="BT480" i="4"/>
  <c r="BT481" i="4"/>
  <c r="BT482" i="4"/>
  <c r="BT483" i="4"/>
  <c r="BT484" i="4"/>
  <c r="BT485" i="4"/>
  <c r="BT486" i="4"/>
  <c r="BT487" i="4"/>
  <c r="BT488" i="4"/>
  <c r="BT489" i="4"/>
  <c r="BT490" i="4"/>
  <c r="BT491" i="4"/>
  <c r="BT492" i="4"/>
  <c r="BT493" i="4"/>
  <c r="BT494" i="4"/>
  <c r="BT495" i="4"/>
  <c r="BT496" i="4"/>
  <c r="BT497" i="4"/>
  <c r="BT498" i="4"/>
  <c r="BT499" i="4"/>
  <c r="BT500" i="4"/>
  <c r="BT501" i="4"/>
  <c r="BT502" i="4"/>
  <c r="BT503" i="4"/>
  <c r="BT504" i="4"/>
  <c r="BT505" i="4"/>
  <c r="BT506" i="4"/>
  <c r="BT507" i="4"/>
  <c r="BT508" i="4"/>
  <c r="BT509" i="4"/>
  <c r="BT510" i="4"/>
  <c r="BT511" i="4"/>
  <c r="BT512" i="4"/>
  <c r="BT513" i="4"/>
  <c r="BT514" i="4"/>
  <c r="BT515" i="4"/>
  <c r="BT516" i="4"/>
  <c r="BT517" i="4"/>
  <c r="BT518" i="4"/>
  <c r="BT519" i="4"/>
  <c r="BT520" i="4"/>
  <c r="BT521" i="4"/>
  <c r="BT522" i="4"/>
  <c r="BT523" i="4"/>
  <c r="BT524" i="4"/>
  <c r="BT525" i="4"/>
  <c r="BT526" i="4"/>
  <c r="BT527" i="4"/>
  <c r="BT528" i="4"/>
  <c r="BT529" i="4"/>
  <c r="BT530" i="4"/>
  <c r="BT531" i="4"/>
  <c r="BT532" i="4"/>
  <c r="BT533" i="4"/>
  <c r="BT534" i="4"/>
  <c r="BT535" i="4"/>
  <c r="BT536" i="4"/>
  <c r="BT537" i="4"/>
  <c r="BT538" i="4"/>
  <c r="BT539" i="4"/>
  <c r="BT540" i="4"/>
  <c r="BT541" i="4"/>
  <c r="BT542" i="4"/>
  <c r="BT543" i="4"/>
  <c r="BT544" i="4"/>
  <c r="BT545" i="4"/>
  <c r="BT546" i="4"/>
  <c r="BT547" i="4"/>
  <c r="BT548" i="4"/>
  <c r="BT549" i="4"/>
  <c r="BT550" i="4"/>
  <c r="BT551" i="4"/>
  <c r="BT552" i="4"/>
  <c r="BT553" i="4"/>
  <c r="BT554" i="4"/>
  <c r="BT555" i="4"/>
  <c r="BT556" i="4"/>
  <c r="BT557" i="4"/>
  <c r="BT558" i="4"/>
  <c r="BT559" i="4"/>
  <c r="BT560" i="4"/>
  <c r="BT561" i="4"/>
  <c r="BT562" i="4"/>
  <c r="BT563" i="4"/>
  <c r="BT564" i="4"/>
  <c r="BT565" i="4"/>
  <c r="BT566" i="4"/>
  <c r="BT567" i="4"/>
  <c r="BT568" i="4"/>
  <c r="BT569" i="4"/>
  <c r="BT570" i="4"/>
  <c r="BT571" i="4"/>
  <c r="BT572" i="4"/>
  <c r="BT573" i="4"/>
  <c r="BT574" i="4"/>
  <c r="BT575" i="4"/>
  <c r="BT576" i="4"/>
  <c r="BT577" i="4"/>
  <c r="BT578" i="4"/>
  <c r="BT579" i="4"/>
  <c r="BT580" i="4"/>
  <c r="BT581" i="4"/>
  <c r="BT582" i="4"/>
  <c r="BT583" i="4"/>
  <c r="BT584" i="4"/>
  <c r="BT585" i="4"/>
  <c r="BT586" i="4"/>
  <c r="BT587" i="4"/>
  <c r="BT588" i="4"/>
  <c r="BT589" i="4"/>
  <c r="BT590" i="4"/>
  <c r="BT591" i="4"/>
  <c r="BT592" i="4"/>
  <c r="BT593" i="4"/>
  <c r="BT594" i="4"/>
  <c r="BT595" i="4"/>
  <c r="BT596" i="4"/>
  <c r="BT597" i="4"/>
  <c r="BT598" i="4"/>
  <c r="BT599" i="4"/>
  <c r="BT600" i="4"/>
  <c r="BT601" i="4"/>
  <c r="BT602" i="4"/>
  <c r="BT603" i="4"/>
  <c r="BT604" i="4"/>
  <c r="BT605" i="4"/>
  <c r="BT606" i="4"/>
  <c r="BT607" i="4"/>
  <c r="BT608" i="4"/>
  <c r="BT609" i="4"/>
  <c r="BT610" i="4"/>
  <c r="BT611" i="4"/>
  <c r="BT612" i="4"/>
  <c r="BT613" i="4"/>
  <c r="BT614" i="4"/>
  <c r="BT615" i="4"/>
  <c r="BT616" i="4"/>
  <c r="BT617" i="4"/>
  <c r="BT618" i="4"/>
  <c r="BT619" i="4"/>
  <c r="BT620" i="4"/>
  <c r="BT621" i="4"/>
  <c r="BT622" i="4"/>
  <c r="BT623" i="4"/>
  <c r="BT624" i="4"/>
  <c r="BT625" i="4"/>
  <c r="BT626" i="4"/>
  <c r="BT627" i="4"/>
  <c r="BT628" i="4"/>
  <c r="BT629" i="4"/>
  <c r="BT630" i="4"/>
  <c r="BT631" i="4"/>
  <c r="BT632" i="4"/>
  <c r="BT633" i="4"/>
  <c r="BT634" i="4"/>
  <c r="BT635" i="4"/>
  <c r="BT636" i="4"/>
  <c r="BT637" i="4"/>
  <c r="BT638" i="4"/>
  <c r="BT639" i="4"/>
  <c r="BT640" i="4"/>
  <c r="BT641" i="4"/>
  <c r="BT642" i="4"/>
  <c r="BT643" i="4"/>
  <c r="BT644" i="4"/>
  <c r="BT645" i="4"/>
  <c r="BT646" i="4"/>
  <c r="BT647" i="4"/>
  <c r="BT648" i="4"/>
  <c r="BT649" i="4"/>
  <c r="BT650" i="4"/>
  <c r="BT651" i="4"/>
  <c r="BT652" i="4"/>
  <c r="BT653" i="4"/>
  <c r="BT654" i="4"/>
  <c r="BT655" i="4"/>
  <c r="BT656" i="4"/>
  <c r="BT657" i="4"/>
  <c r="BT658" i="4"/>
  <c r="BT659" i="4"/>
  <c r="BT660" i="4"/>
  <c r="BT661" i="4"/>
  <c r="BT662" i="4"/>
  <c r="BT663" i="4"/>
  <c r="BT664" i="4"/>
  <c r="BT665" i="4"/>
  <c r="BT666" i="4"/>
  <c r="BT667" i="4"/>
  <c r="BT668" i="4"/>
  <c r="BT669" i="4"/>
  <c r="BT670" i="4"/>
  <c r="BT671" i="4"/>
  <c r="BT672" i="4"/>
  <c r="BT673" i="4"/>
  <c r="BT674" i="4"/>
  <c r="BT675" i="4"/>
  <c r="BT676" i="4"/>
  <c r="BT677" i="4"/>
  <c r="BT678" i="4"/>
  <c r="BT679" i="4"/>
  <c r="BT680" i="4"/>
  <c r="BT681" i="4"/>
  <c r="BT682" i="4"/>
  <c r="BT683" i="4"/>
  <c r="BT684" i="4"/>
  <c r="BT685" i="4"/>
  <c r="BT686" i="4"/>
  <c r="BT687" i="4"/>
  <c r="BT688" i="4"/>
  <c r="BT689" i="4"/>
  <c r="BT690" i="4"/>
  <c r="BT691" i="4"/>
  <c r="BT692" i="4"/>
  <c r="BT693" i="4"/>
  <c r="BT694" i="4"/>
  <c r="BT695" i="4"/>
  <c r="BT696" i="4"/>
  <c r="BT697" i="4"/>
  <c r="BT698" i="4"/>
  <c r="BT699" i="4"/>
  <c r="BT700" i="4"/>
  <c r="BT701" i="4"/>
  <c r="BT702" i="4"/>
  <c r="BT703" i="4"/>
  <c r="BT704" i="4"/>
  <c r="BT705" i="4"/>
  <c r="BT706" i="4"/>
  <c r="BT707" i="4"/>
  <c r="BT708" i="4"/>
  <c r="BT709" i="4"/>
  <c r="BV82" i="9" l="1"/>
  <c r="BV90" i="9"/>
  <c r="BV98" i="9"/>
  <c r="BU154" i="9"/>
  <c r="BU146" i="9"/>
  <c r="BU138" i="9"/>
  <c r="BU130" i="9"/>
  <c r="BU122" i="9"/>
  <c r="BU114" i="9"/>
  <c r="BU106" i="9"/>
  <c r="BU98" i="9"/>
  <c r="BU90" i="9"/>
  <c r="BU82" i="9"/>
  <c r="BU74" i="9"/>
  <c r="BU66" i="9"/>
  <c r="BU58" i="9"/>
  <c r="BU50" i="9"/>
  <c r="BU42" i="9"/>
  <c r="BU34" i="9"/>
  <c r="BU26" i="9"/>
  <c r="BU18" i="9"/>
  <c r="BU10" i="9"/>
  <c r="BU2" i="9"/>
  <c r="BV154" i="9"/>
  <c r="BV146" i="9"/>
  <c r="BV138" i="9"/>
  <c r="BV130" i="9"/>
  <c r="BV122" i="9"/>
  <c r="BV114" i="9"/>
  <c r="BV106" i="9"/>
  <c r="BW66" i="9"/>
  <c r="BW58" i="9"/>
  <c r="BW50" i="9"/>
  <c r="BW42" i="9"/>
  <c r="BW34" i="9"/>
  <c r="BW26" i="9"/>
  <c r="BW2" i="9"/>
  <c r="BW74" i="9"/>
  <c r="BW10" i="9"/>
  <c r="BW18" i="9"/>
  <c r="BW6" i="9"/>
  <c r="BW15" i="9"/>
  <c r="BW70" i="9"/>
  <c r="BW11" i="9"/>
  <c r="BW8" i="9"/>
  <c r="BW7" i="9"/>
  <c r="BW4" i="9"/>
  <c r="BW240" i="9"/>
  <c r="BV240" i="9"/>
  <c r="BU240" i="9"/>
  <c r="BW239" i="9"/>
  <c r="BU239" i="9"/>
  <c r="BW238" i="9"/>
  <c r="BV238" i="9"/>
  <c r="BU238" i="9"/>
  <c r="BW237" i="9"/>
  <c r="BV237" i="9"/>
  <c r="BU237" i="9"/>
  <c r="BW236" i="9"/>
  <c r="BV236" i="9"/>
  <c r="BU236" i="9"/>
  <c r="BW235" i="9"/>
  <c r="BV235" i="9"/>
  <c r="BU235" i="9"/>
  <c r="BW234" i="9"/>
  <c r="BV234" i="9"/>
  <c r="BU234" i="9"/>
  <c r="BW233" i="9"/>
  <c r="BV233" i="9"/>
  <c r="BU233" i="9"/>
  <c r="BW232" i="9"/>
  <c r="BV232" i="9"/>
  <c r="BU232" i="9"/>
  <c r="BW231" i="9"/>
  <c r="BV231" i="9"/>
  <c r="BU231" i="9"/>
  <c r="BW230" i="9"/>
  <c r="BV230" i="9"/>
  <c r="BU230" i="9"/>
  <c r="BW229" i="9"/>
  <c r="BV229" i="9"/>
  <c r="BU229" i="9"/>
  <c r="BW228" i="9"/>
  <c r="BV228" i="9"/>
  <c r="BU228" i="9"/>
  <c r="BW227" i="9"/>
  <c r="BU227" i="9"/>
  <c r="BV227" i="9"/>
  <c r="BU226" i="9"/>
  <c r="BW226" i="9"/>
  <c r="BV226" i="9"/>
  <c r="BW225" i="9"/>
  <c r="BV225" i="9"/>
  <c r="BU225" i="9"/>
  <c r="BW224" i="9"/>
  <c r="BU224" i="9"/>
  <c r="BV224" i="9"/>
  <c r="BW223" i="9"/>
  <c r="BU223" i="9"/>
  <c r="BV223" i="9"/>
  <c r="BV222" i="9"/>
  <c r="BU222" i="9"/>
  <c r="BW222" i="9"/>
  <c r="BW221" i="9"/>
  <c r="BU221" i="9"/>
  <c r="BV221" i="9"/>
  <c r="BV220" i="9"/>
  <c r="BU220" i="9"/>
  <c r="BW220" i="9"/>
  <c r="BU219" i="9"/>
  <c r="BW219" i="9"/>
  <c r="BV219" i="9"/>
  <c r="BU218" i="9"/>
  <c r="BV218" i="9"/>
  <c r="BW218" i="9"/>
  <c r="BV217" i="9"/>
  <c r="BU217" i="9"/>
  <c r="BW217" i="9"/>
  <c r="BV216" i="9"/>
  <c r="BU216" i="9"/>
  <c r="BW216" i="9"/>
  <c r="BU215" i="9"/>
  <c r="BV215" i="9"/>
  <c r="BW215" i="9"/>
  <c r="BW214" i="9"/>
  <c r="BU214" i="9"/>
  <c r="BV214" i="9"/>
  <c r="BU213" i="9"/>
  <c r="BV213" i="9"/>
  <c r="BW212" i="9"/>
  <c r="BV212" i="9"/>
  <c r="BU212" i="9"/>
  <c r="BW211" i="9"/>
  <c r="BV211" i="9"/>
  <c r="BU211" i="9"/>
  <c r="BW210" i="9"/>
  <c r="BV210" i="9"/>
  <c r="BU210" i="9"/>
  <c r="BW209" i="9"/>
  <c r="BV209" i="9"/>
  <c r="BU209" i="9"/>
  <c r="BU208" i="9"/>
  <c r="BV208" i="9"/>
  <c r="BW208" i="9"/>
  <c r="BW207" i="9"/>
  <c r="BV207" i="9"/>
  <c r="BU207" i="9"/>
  <c r="BW206" i="9"/>
  <c r="BV206" i="9"/>
  <c r="BU206" i="9"/>
  <c r="BW205" i="9"/>
  <c r="BU205" i="9"/>
  <c r="BV205" i="9"/>
  <c r="BU204" i="9"/>
  <c r="BV204" i="9"/>
  <c r="BW204" i="9"/>
  <c r="BV203" i="9"/>
  <c r="BU203" i="9"/>
  <c r="BW203" i="9"/>
  <c r="BU202" i="9"/>
  <c r="BV202" i="9"/>
  <c r="BW202" i="9"/>
  <c r="BV201" i="9"/>
  <c r="BW201" i="9"/>
  <c r="BU201" i="9"/>
  <c r="BV200" i="9"/>
  <c r="BU200" i="9"/>
  <c r="BW200" i="9"/>
  <c r="BU199" i="9"/>
  <c r="BW199" i="9"/>
  <c r="BV199" i="9"/>
  <c r="BW198" i="9"/>
  <c r="BU198" i="9"/>
  <c r="BV198" i="9"/>
  <c r="BW197" i="9"/>
  <c r="BV197" i="9"/>
  <c r="BU197" i="9"/>
  <c r="BU196" i="9"/>
  <c r="BV196" i="9"/>
  <c r="BW196" i="9"/>
  <c r="BV195" i="9"/>
  <c r="BU195" i="9"/>
  <c r="BW195" i="9"/>
  <c r="BU194" i="9"/>
  <c r="BW194" i="9"/>
  <c r="BV194" i="9"/>
  <c r="BV193" i="9"/>
  <c r="BW193" i="9"/>
  <c r="BV192" i="9"/>
  <c r="BU192" i="9"/>
  <c r="BW192" i="9"/>
  <c r="BV191" i="9"/>
  <c r="BU191" i="9"/>
  <c r="BW191" i="9"/>
  <c r="BW190" i="9"/>
  <c r="BV190" i="9"/>
  <c r="BU190" i="9"/>
  <c r="BW189" i="9"/>
  <c r="BV189" i="9"/>
  <c r="BU189" i="9"/>
  <c r="BU188" i="9"/>
  <c r="BW188" i="9"/>
  <c r="BV188" i="9"/>
  <c r="BU187" i="9"/>
  <c r="BV187" i="9"/>
  <c r="BW187" i="9"/>
  <c r="BU186" i="9"/>
  <c r="BV186" i="9"/>
  <c r="BW186" i="9"/>
  <c r="BV185" i="9"/>
  <c r="BU185" i="9"/>
  <c r="BU184" i="9"/>
  <c r="BV184" i="9"/>
  <c r="BW184" i="9"/>
  <c r="BU183" i="9"/>
  <c r="BV183" i="9"/>
  <c r="BW183" i="9"/>
  <c r="BU182" i="9"/>
  <c r="BV182" i="9"/>
  <c r="BW182" i="9"/>
  <c r="BW181" i="9"/>
  <c r="BV181" i="9"/>
  <c r="BU181" i="9"/>
  <c r="BV180" i="9"/>
  <c r="BW180" i="9"/>
  <c r="BU180" i="9"/>
  <c r="BW179" i="9"/>
  <c r="BU179" i="9"/>
  <c r="BV179" i="9"/>
  <c r="BW178" i="9"/>
  <c r="BU178" i="9"/>
  <c r="BV178" i="9"/>
  <c r="BW177" i="9"/>
  <c r="BV177" i="9"/>
  <c r="BU177" i="9"/>
  <c r="BW176" i="9"/>
  <c r="BU176" i="9"/>
  <c r="BV176" i="9"/>
  <c r="BW174" i="9"/>
  <c r="BV174" i="9"/>
  <c r="BU174" i="9"/>
  <c r="BW173" i="9"/>
  <c r="BV173" i="9"/>
  <c r="BU173" i="9"/>
  <c r="BU172" i="9"/>
  <c r="BW172" i="9"/>
  <c r="BV172" i="9"/>
  <c r="BV171" i="9"/>
  <c r="BU171" i="9"/>
  <c r="BW171" i="9"/>
  <c r="BW170" i="9"/>
  <c r="BV170" i="9"/>
  <c r="BU170" i="9"/>
  <c r="BW169" i="9"/>
  <c r="BV169" i="9"/>
  <c r="BU169" i="9"/>
  <c r="BW168" i="9"/>
  <c r="BU168" i="9"/>
  <c r="BV168" i="9"/>
  <c r="BU167" i="9"/>
  <c r="BV167" i="9"/>
  <c r="BW167" i="9"/>
  <c r="BU166" i="9"/>
  <c r="BV166" i="9"/>
  <c r="BW166" i="9"/>
  <c r="BU165" i="9"/>
  <c r="BW165" i="9"/>
  <c r="BV165" i="9"/>
  <c r="BW164" i="9"/>
  <c r="BV164" i="9"/>
  <c r="BU164" i="9"/>
  <c r="BW163" i="9"/>
  <c r="BV163" i="9"/>
  <c r="BU163" i="9"/>
  <c r="BW162" i="9"/>
  <c r="BU162" i="9"/>
  <c r="BV162" i="9"/>
  <c r="BW161" i="9"/>
  <c r="BW160" i="9"/>
  <c r="BW159" i="9"/>
  <c r="BW158" i="9"/>
  <c r="BU709" i="4"/>
  <c r="BV709" i="4" s="1"/>
  <c r="R709" i="4"/>
  <c r="R707" i="4"/>
  <c r="BV707" i="4"/>
  <c r="BW707" i="4"/>
  <c r="BX707" i="4"/>
  <c r="BU699" i="4"/>
  <c r="BW699" i="4" s="1"/>
  <c r="R699" i="4"/>
  <c r="BU698" i="4"/>
  <c r="BU596" i="4"/>
  <c r="BU591" i="4"/>
  <c r="BX709" i="4" l="1"/>
  <c r="BW709" i="4"/>
  <c r="BX699" i="4"/>
  <c r="BV699" i="4"/>
  <c r="BU697" i="4" l="1"/>
  <c r="BX697" i="4" s="1"/>
  <c r="BU696" i="4"/>
  <c r="BW696" i="4" s="1"/>
  <c r="BU695" i="4"/>
  <c r="BW695" i="4" s="1"/>
  <c r="BU694" i="4"/>
  <c r="BX694" i="4" s="1"/>
  <c r="BU693" i="4"/>
  <c r="BW693" i="4" s="1"/>
  <c r="BU682" i="4"/>
  <c r="R697" i="4"/>
  <c r="R693" i="4"/>
  <c r="R694" i="4"/>
  <c r="R695" i="4"/>
  <c r="R696" i="4"/>
  <c r="R704" i="4"/>
  <c r="R692" i="4"/>
  <c r="R691" i="4"/>
  <c r="R690" i="4"/>
  <c r="R689" i="4"/>
  <c r="R688" i="4"/>
  <c r="R672" i="4"/>
  <c r="R669" i="4"/>
  <c r="BU704" i="4"/>
  <c r="BU692" i="4"/>
  <c r="BU691" i="4"/>
  <c r="BX691" i="4" s="1"/>
  <c r="BU690" i="4"/>
  <c r="BU689" i="4"/>
  <c r="BU688" i="4"/>
  <c r="BW688" i="4" s="1"/>
  <c r="R687" i="4"/>
  <c r="R686" i="4"/>
  <c r="BU687" i="4"/>
  <c r="BV687" i="4" s="1"/>
  <c r="BU686" i="4"/>
  <c r="BX686" i="4" s="1"/>
  <c r="R683" i="4"/>
  <c r="BU683" i="4"/>
  <c r="BW683" i="4" s="1"/>
  <c r="R685" i="4"/>
  <c r="R684" i="4"/>
  <c r="R681" i="4"/>
  <c r="R680" i="4"/>
  <c r="BU685" i="4"/>
  <c r="BX685" i="4" s="1"/>
  <c r="BU684" i="4"/>
  <c r="BW684" i="4" s="1"/>
  <c r="BU95" i="4"/>
  <c r="BU96" i="4"/>
  <c r="BU97" i="4"/>
  <c r="BU98" i="4"/>
  <c r="BU99" i="4"/>
  <c r="BU100" i="4"/>
  <c r="BU101" i="4"/>
  <c r="BU102" i="4"/>
  <c r="BU103" i="4"/>
  <c r="BU104" i="4"/>
  <c r="BU105" i="4"/>
  <c r="BU106" i="4"/>
  <c r="BU107" i="4"/>
  <c r="BU108" i="4"/>
  <c r="BU109" i="4"/>
  <c r="BU110" i="4"/>
  <c r="BU111" i="4"/>
  <c r="BU112" i="4"/>
  <c r="BU113" i="4"/>
  <c r="BU114" i="4"/>
  <c r="BU115" i="4"/>
  <c r="BU116" i="4"/>
  <c r="BU117" i="4"/>
  <c r="BU118" i="4"/>
  <c r="BU119" i="4"/>
  <c r="BU120" i="4"/>
  <c r="BU121" i="4"/>
  <c r="BU122" i="4"/>
  <c r="BU123" i="4"/>
  <c r="BU124" i="4"/>
  <c r="BU125" i="4"/>
  <c r="BU126" i="4"/>
  <c r="BU127" i="4"/>
  <c r="BU128" i="4"/>
  <c r="BU129" i="4"/>
  <c r="BU130" i="4"/>
  <c r="BU131" i="4"/>
  <c r="BU132" i="4"/>
  <c r="BU133" i="4"/>
  <c r="BU134" i="4"/>
  <c r="BU135" i="4"/>
  <c r="BU136" i="4"/>
  <c r="BU137" i="4"/>
  <c r="BU138" i="4"/>
  <c r="BU139" i="4"/>
  <c r="BU140" i="4"/>
  <c r="BU141" i="4"/>
  <c r="BU142" i="4"/>
  <c r="BU143" i="4"/>
  <c r="BU144" i="4"/>
  <c r="BU145" i="4"/>
  <c r="BU146" i="4"/>
  <c r="BU147" i="4"/>
  <c r="BU148" i="4"/>
  <c r="BU149" i="4"/>
  <c r="BU150" i="4"/>
  <c r="BU151" i="4"/>
  <c r="BU152" i="4"/>
  <c r="BU153" i="4"/>
  <c r="BU154" i="4"/>
  <c r="BU155" i="4"/>
  <c r="BU156" i="4"/>
  <c r="BU157" i="4"/>
  <c r="BU158" i="4"/>
  <c r="BU159" i="4"/>
  <c r="BU160" i="4"/>
  <c r="BU161" i="4"/>
  <c r="BU162" i="4"/>
  <c r="BU163" i="4"/>
  <c r="BU164" i="4"/>
  <c r="BU165" i="4"/>
  <c r="BU166" i="4"/>
  <c r="BU167" i="4"/>
  <c r="BU168" i="4"/>
  <c r="BU169" i="4"/>
  <c r="BU170" i="4"/>
  <c r="BU171" i="4"/>
  <c r="BU172" i="4"/>
  <c r="BU173" i="4"/>
  <c r="BU174" i="4"/>
  <c r="BU175" i="4"/>
  <c r="BU176" i="4"/>
  <c r="BU177" i="4"/>
  <c r="BU178" i="4"/>
  <c r="BU179" i="4"/>
  <c r="BU180" i="4"/>
  <c r="BU181" i="4"/>
  <c r="BU182" i="4"/>
  <c r="BU183" i="4"/>
  <c r="BU184" i="4"/>
  <c r="BU185" i="4"/>
  <c r="BU186" i="4"/>
  <c r="BU187" i="4"/>
  <c r="BU188" i="4"/>
  <c r="BU189" i="4"/>
  <c r="BU190" i="4"/>
  <c r="BU191" i="4"/>
  <c r="BU192" i="4"/>
  <c r="BU193" i="4"/>
  <c r="BU194" i="4"/>
  <c r="BU195" i="4"/>
  <c r="BU196" i="4"/>
  <c r="BU197" i="4"/>
  <c r="BU198" i="4"/>
  <c r="BU199" i="4"/>
  <c r="BU200" i="4"/>
  <c r="BU201" i="4"/>
  <c r="BU202" i="4"/>
  <c r="BU203" i="4"/>
  <c r="BU204" i="4"/>
  <c r="BU205" i="4"/>
  <c r="BU206" i="4"/>
  <c r="BU207" i="4"/>
  <c r="BU208" i="4"/>
  <c r="BU209" i="4"/>
  <c r="BU210" i="4"/>
  <c r="BU211" i="4"/>
  <c r="BU212" i="4"/>
  <c r="BU213" i="4"/>
  <c r="BU214" i="4"/>
  <c r="BU215" i="4"/>
  <c r="BU216" i="4"/>
  <c r="BU217" i="4"/>
  <c r="BU218" i="4"/>
  <c r="BU219" i="4"/>
  <c r="BU220" i="4"/>
  <c r="BU221" i="4"/>
  <c r="BU222" i="4"/>
  <c r="BU223" i="4"/>
  <c r="BU224" i="4"/>
  <c r="BU225" i="4"/>
  <c r="BU226" i="4"/>
  <c r="BU227" i="4"/>
  <c r="BU228" i="4"/>
  <c r="BU229" i="4"/>
  <c r="BU230" i="4"/>
  <c r="BU231" i="4"/>
  <c r="BU232" i="4"/>
  <c r="BU233" i="4"/>
  <c r="BU234" i="4"/>
  <c r="BU235" i="4"/>
  <c r="BU236" i="4"/>
  <c r="BU237" i="4"/>
  <c r="BU238" i="4"/>
  <c r="BU239" i="4"/>
  <c r="BU240" i="4"/>
  <c r="BU241" i="4"/>
  <c r="BU242" i="4"/>
  <c r="BU243" i="4"/>
  <c r="BU244" i="4"/>
  <c r="BU245" i="4"/>
  <c r="BU246" i="4"/>
  <c r="BU247" i="4"/>
  <c r="BU248" i="4"/>
  <c r="BU249" i="4"/>
  <c r="BU250" i="4"/>
  <c r="BU251" i="4"/>
  <c r="BU252" i="4"/>
  <c r="BU253" i="4"/>
  <c r="BU254" i="4"/>
  <c r="BU255" i="4"/>
  <c r="BU256" i="4"/>
  <c r="BU257" i="4"/>
  <c r="BU258" i="4"/>
  <c r="BU259" i="4"/>
  <c r="BU260" i="4"/>
  <c r="BU261" i="4"/>
  <c r="BU262" i="4"/>
  <c r="BU263" i="4"/>
  <c r="BU264" i="4"/>
  <c r="BU265" i="4"/>
  <c r="BU266" i="4"/>
  <c r="BU267" i="4"/>
  <c r="BU268" i="4"/>
  <c r="BU269" i="4"/>
  <c r="BU270" i="4"/>
  <c r="BU271" i="4"/>
  <c r="BU272" i="4"/>
  <c r="BU273" i="4"/>
  <c r="BU274" i="4"/>
  <c r="BU275" i="4"/>
  <c r="BU276" i="4"/>
  <c r="BU277" i="4"/>
  <c r="BU278" i="4"/>
  <c r="BU279" i="4"/>
  <c r="BU280" i="4"/>
  <c r="BU281" i="4"/>
  <c r="BU282" i="4"/>
  <c r="BU283" i="4"/>
  <c r="BU284" i="4"/>
  <c r="BU285" i="4"/>
  <c r="BU286" i="4"/>
  <c r="BU287" i="4"/>
  <c r="BU288" i="4"/>
  <c r="BU289" i="4"/>
  <c r="BU290" i="4"/>
  <c r="BU291" i="4"/>
  <c r="BU292" i="4"/>
  <c r="BU293" i="4"/>
  <c r="BU294" i="4"/>
  <c r="BU295" i="4"/>
  <c r="BU296" i="4"/>
  <c r="BU297" i="4"/>
  <c r="BU298" i="4"/>
  <c r="BU299" i="4"/>
  <c r="BU300" i="4"/>
  <c r="BU301" i="4"/>
  <c r="BU302" i="4"/>
  <c r="BU303" i="4"/>
  <c r="BU304" i="4"/>
  <c r="BU305" i="4"/>
  <c r="BU306" i="4"/>
  <c r="BU307" i="4"/>
  <c r="BU308" i="4"/>
  <c r="BU309" i="4"/>
  <c r="BU310" i="4"/>
  <c r="BU311" i="4"/>
  <c r="BU312" i="4"/>
  <c r="BU313" i="4"/>
  <c r="BU314" i="4"/>
  <c r="BU315" i="4"/>
  <c r="BU316" i="4"/>
  <c r="BU317" i="4"/>
  <c r="BU318" i="4"/>
  <c r="BU319" i="4"/>
  <c r="BU320" i="4"/>
  <c r="BU321" i="4"/>
  <c r="BU322" i="4"/>
  <c r="BU323" i="4"/>
  <c r="BU324" i="4"/>
  <c r="BU325" i="4"/>
  <c r="BU326" i="4"/>
  <c r="BU327" i="4"/>
  <c r="BU328" i="4"/>
  <c r="BU329" i="4"/>
  <c r="BU330" i="4"/>
  <c r="BU331" i="4"/>
  <c r="BU332" i="4"/>
  <c r="BU333" i="4"/>
  <c r="BU334" i="4"/>
  <c r="BU335" i="4"/>
  <c r="BU336" i="4"/>
  <c r="BU337" i="4"/>
  <c r="BU338" i="4"/>
  <c r="BU339" i="4"/>
  <c r="BU340" i="4"/>
  <c r="BU341" i="4"/>
  <c r="BU342" i="4"/>
  <c r="BU343" i="4"/>
  <c r="BU344" i="4"/>
  <c r="BU345" i="4"/>
  <c r="BU346" i="4"/>
  <c r="BU347" i="4"/>
  <c r="BU348" i="4"/>
  <c r="BU349" i="4"/>
  <c r="BU350" i="4"/>
  <c r="BU351" i="4"/>
  <c r="BU352" i="4"/>
  <c r="BU353" i="4"/>
  <c r="BU354" i="4"/>
  <c r="BU355" i="4"/>
  <c r="BU356" i="4"/>
  <c r="BU357" i="4"/>
  <c r="BU358" i="4"/>
  <c r="BU359" i="4"/>
  <c r="BU360" i="4"/>
  <c r="BU361" i="4"/>
  <c r="BU362" i="4"/>
  <c r="BU363" i="4"/>
  <c r="BU364" i="4"/>
  <c r="BU365" i="4"/>
  <c r="BU366" i="4"/>
  <c r="BU367" i="4"/>
  <c r="BU368" i="4"/>
  <c r="BU369" i="4"/>
  <c r="BU370" i="4"/>
  <c r="BU371" i="4"/>
  <c r="BU372" i="4"/>
  <c r="BU373" i="4"/>
  <c r="BU374" i="4"/>
  <c r="BU375" i="4"/>
  <c r="BU376" i="4"/>
  <c r="BU377" i="4"/>
  <c r="BU378" i="4"/>
  <c r="BU379" i="4"/>
  <c r="BU380" i="4"/>
  <c r="BU381" i="4"/>
  <c r="BU382" i="4"/>
  <c r="BU383" i="4"/>
  <c r="BU384" i="4"/>
  <c r="BU385" i="4"/>
  <c r="BU386" i="4"/>
  <c r="BU387" i="4"/>
  <c r="BU388" i="4"/>
  <c r="BU389" i="4"/>
  <c r="BU390" i="4"/>
  <c r="BU391" i="4"/>
  <c r="BU392" i="4"/>
  <c r="BU393" i="4"/>
  <c r="BU394" i="4"/>
  <c r="BU395" i="4"/>
  <c r="BU396" i="4"/>
  <c r="BU397" i="4"/>
  <c r="BU398" i="4"/>
  <c r="BU399" i="4"/>
  <c r="BU400" i="4"/>
  <c r="BU401" i="4"/>
  <c r="BU402" i="4"/>
  <c r="BU403" i="4"/>
  <c r="BU404" i="4"/>
  <c r="BU405" i="4"/>
  <c r="BU406" i="4"/>
  <c r="BU407" i="4"/>
  <c r="BU408" i="4"/>
  <c r="BU409" i="4"/>
  <c r="BU410" i="4"/>
  <c r="BU411" i="4"/>
  <c r="BU412" i="4"/>
  <c r="BU413" i="4"/>
  <c r="BU414" i="4"/>
  <c r="BU415" i="4"/>
  <c r="BU416" i="4"/>
  <c r="BU417" i="4"/>
  <c r="BU418" i="4"/>
  <c r="BU419" i="4"/>
  <c r="BU420" i="4"/>
  <c r="BU421" i="4"/>
  <c r="BU422" i="4"/>
  <c r="BU423" i="4"/>
  <c r="BU424" i="4"/>
  <c r="BU425" i="4"/>
  <c r="BU426" i="4"/>
  <c r="BU427" i="4"/>
  <c r="BU428" i="4"/>
  <c r="BU429" i="4"/>
  <c r="BU430" i="4"/>
  <c r="BU431" i="4"/>
  <c r="BU432" i="4"/>
  <c r="BU433" i="4"/>
  <c r="BU434" i="4"/>
  <c r="BU435" i="4"/>
  <c r="BU436" i="4"/>
  <c r="BU437" i="4"/>
  <c r="BU438" i="4"/>
  <c r="BU439" i="4"/>
  <c r="BU440" i="4"/>
  <c r="BU441" i="4"/>
  <c r="BU442" i="4"/>
  <c r="BU443" i="4"/>
  <c r="BU444" i="4"/>
  <c r="BU445" i="4"/>
  <c r="BU446" i="4"/>
  <c r="BU447" i="4"/>
  <c r="BU448" i="4"/>
  <c r="BU449" i="4"/>
  <c r="BU450" i="4"/>
  <c r="BU451" i="4"/>
  <c r="BU452" i="4"/>
  <c r="BU453" i="4"/>
  <c r="BU454" i="4"/>
  <c r="BU455" i="4"/>
  <c r="BU456" i="4"/>
  <c r="BU457" i="4"/>
  <c r="BU458" i="4"/>
  <c r="BU459" i="4"/>
  <c r="BU460" i="4"/>
  <c r="BU461" i="4"/>
  <c r="BU462" i="4"/>
  <c r="BU463" i="4"/>
  <c r="BU464" i="4"/>
  <c r="BU465" i="4"/>
  <c r="BU466" i="4"/>
  <c r="BU467" i="4"/>
  <c r="BU468" i="4"/>
  <c r="BU469" i="4"/>
  <c r="BU470" i="4"/>
  <c r="BU471" i="4"/>
  <c r="BU472" i="4"/>
  <c r="BU473" i="4"/>
  <c r="BU474" i="4"/>
  <c r="BU475" i="4"/>
  <c r="BU476" i="4"/>
  <c r="BU477" i="4"/>
  <c r="BU478" i="4"/>
  <c r="BU479" i="4"/>
  <c r="BU480" i="4"/>
  <c r="BU481" i="4"/>
  <c r="BU482" i="4"/>
  <c r="BU483" i="4"/>
  <c r="BU484" i="4"/>
  <c r="BU485" i="4"/>
  <c r="BU486" i="4"/>
  <c r="BU487" i="4"/>
  <c r="BU488" i="4"/>
  <c r="BU489" i="4"/>
  <c r="BU490" i="4"/>
  <c r="BU491" i="4"/>
  <c r="BU492" i="4"/>
  <c r="BU493" i="4"/>
  <c r="BU494" i="4"/>
  <c r="BU495" i="4"/>
  <c r="BU496" i="4"/>
  <c r="BU497" i="4"/>
  <c r="BU498" i="4"/>
  <c r="BU499" i="4"/>
  <c r="BU500" i="4"/>
  <c r="BU501" i="4"/>
  <c r="BU502" i="4"/>
  <c r="BU503" i="4"/>
  <c r="BU504" i="4"/>
  <c r="BU505" i="4"/>
  <c r="BU506" i="4"/>
  <c r="BU507" i="4"/>
  <c r="BU508" i="4"/>
  <c r="BU509" i="4"/>
  <c r="BU510" i="4"/>
  <c r="BU511" i="4"/>
  <c r="BU512" i="4"/>
  <c r="BU513" i="4"/>
  <c r="BU514" i="4"/>
  <c r="BU515" i="4"/>
  <c r="BU516" i="4"/>
  <c r="BU517" i="4"/>
  <c r="BU518" i="4"/>
  <c r="BU519" i="4"/>
  <c r="BU520" i="4"/>
  <c r="BU521" i="4"/>
  <c r="BU522" i="4"/>
  <c r="BU523" i="4"/>
  <c r="BU524" i="4"/>
  <c r="BU525" i="4"/>
  <c r="BU526" i="4"/>
  <c r="BU527" i="4"/>
  <c r="BU528" i="4"/>
  <c r="BU529" i="4"/>
  <c r="BU530" i="4"/>
  <c r="BU531" i="4"/>
  <c r="BU532" i="4"/>
  <c r="BU533" i="4"/>
  <c r="BU534" i="4"/>
  <c r="BU535" i="4"/>
  <c r="BU536" i="4"/>
  <c r="BU537" i="4"/>
  <c r="BU538" i="4"/>
  <c r="BU539" i="4"/>
  <c r="BU540" i="4"/>
  <c r="BU541" i="4"/>
  <c r="BU542" i="4"/>
  <c r="BU543" i="4"/>
  <c r="BU544" i="4"/>
  <c r="BU545" i="4"/>
  <c r="BU546" i="4"/>
  <c r="BU547" i="4"/>
  <c r="BU548" i="4"/>
  <c r="BU549" i="4"/>
  <c r="BU550" i="4"/>
  <c r="BU551" i="4"/>
  <c r="BU552" i="4"/>
  <c r="BU553" i="4"/>
  <c r="BU554" i="4"/>
  <c r="BU555" i="4"/>
  <c r="BU556" i="4"/>
  <c r="BU557" i="4"/>
  <c r="BU558" i="4"/>
  <c r="BU569" i="4"/>
  <c r="BU560" i="4"/>
  <c r="BU561" i="4"/>
  <c r="BU565" i="4"/>
  <c r="BU563" i="4"/>
  <c r="BU708" i="4"/>
  <c r="BU703" i="4"/>
  <c r="BU567" i="4"/>
  <c r="BU566" i="4"/>
  <c r="BU586" i="4"/>
  <c r="BU568" i="4"/>
  <c r="BU559" i="4"/>
  <c r="BU570" i="4"/>
  <c r="BU571" i="4"/>
  <c r="BU572" i="4"/>
  <c r="BU631" i="4"/>
  <c r="BU573" i="4"/>
  <c r="BU574" i="4"/>
  <c r="BU575" i="4"/>
  <c r="BU576" i="4"/>
  <c r="BU577" i="4"/>
  <c r="BU578" i="4"/>
  <c r="BU562" i="4"/>
  <c r="BU580" i="4"/>
  <c r="BU702" i="4"/>
  <c r="BU701" i="4"/>
  <c r="BU582" i="4"/>
  <c r="BU583" i="4"/>
  <c r="BU584" i="4"/>
  <c r="BU585" i="4"/>
  <c r="BU581" i="4"/>
  <c r="BU599" i="4"/>
  <c r="BU588" i="4"/>
  <c r="BU589" i="4"/>
  <c r="BU705" i="4"/>
  <c r="BU592" i="4"/>
  <c r="BU706" i="4"/>
  <c r="BU593" i="4"/>
  <c r="BU594" i="4"/>
  <c r="BU595" i="4"/>
  <c r="BU597" i="4"/>
  <c r="BU632" i="4"/>
  <c r="BU700" i="4"/>
  <c r="BU630" i="4"/>
  <c r="BU600" i="4"/>
  <c r="BU601" i="4"/>
  <c r="BU602" i="4"/>
  <c r="BU617" i="4"/>
  <c r="BU616" i="4"/>
  <c r="BU579" i="4"/>
  <c r="BU606" i="4"/>
  <c r="BU607" i="4"/>
  <c r="BU608" i="4"/>
  <c r="BU564" i="4"/>
  <c r="BU609" i="4"/>
  <c r="BU610" i="4"/>
  <c r="BU611" i="4"/>
  <c r="BU612" i="4"/>
  <c r="BU613" i="4"/>
  <c r="BU614" i="4"/>
  <c r="BU615" i="4"/>
  <c r="BU590" i="4"/>
  <c r="BU603" i="4"/>
  <c r="BU618" i="4"/>
  <c r="BU619" i="4"/>
  <c r="BU620" i="4"/>
  <c r="BU587" i="4"/>
  <c r="BU621" i="4"/>
  <c r="BU622" i="4"/>
  <c r="BU623" i="4"/>
  <c r="BU624" i="4"/>
  <c r="BU625" i="4"/>
  <c r="BU626" i="4"/>
  <c r="BU627" i="4"/>
  <c r="BU628" i="4"/>
  <c r="BU629" i="4"/>
  <c r="BU605" i="4"/>
  <c r="BU598" i="4"/>
  <c r="BU604" i="4"/>
  <c r="BU633" i="4"/>
  <c r="BU634" i="4"/>
  <c r="BU635" i="4"/>
  <c r="BU636" i="4"/>
  <c r="BU637" i="4"/>
  <c r="BU638" i="4"/>
  <c r="BU639" i="4"/>
  <c r="BU640" i="4"/>
  <c r="BU641" i="4"/>
  <c r="BU642" i="4"/>
  <c r="BU643" i="4"/>
  <c r="BU644" i="4"/>
  <c r="BU645" i="4"/>
  <c r="BU646" i="4"/>
  <c r="BU647" i="4"/>
  <c r="BU648" i="4"/>
  <c r="BU649" i="4"/>
  <c r="BU650" i="4"/>
  <c r="BU651" i="4"/>
  <c r="BU652" i="4"/>
  <c r="BU653" i="4"/>
  <c r="BU654" i="4"/>
  <c r="BU655" i="4"/>
  <c r="BU656" i="4"/>
  <c r="BU657" i="4"/>
  <c r="BU658" i="4"/>
  <c r="BU659" i="4"/>
  <c r="BU660" i="4"/>
  <c r="BU661" i="4"/>
  <c r="BU662" i="4"/>
  <c r="BU663" i="4"/>
  <c r="BU664" i="4"/>
  <c r="BU665" i="4"/>
  <c r="BU666" i="4"/>
  <c r="BU667" i="4"/>
  <c r="BU668" i="4"/>
  <c r="BU669" i="4"/>
  <c r="BU670" i="4"/>
  <c r="BU671" i="4"/>
  <c r="BU672" i="4"/>
  <c r="BU673" i="4"/>
  <c r="BU674" i="4"/>
  <c r="BU675" i="4"/>
  <c r="BU676" i="4"/>
  <c r="BU677" i="4"/>
  <c r="BU678" i="4"/>
  <c r="BU679" i="4"/>
  <c r="BU680" i="4"/>
  <c r="BU681" i="4"/>
  <c r="BV681" i="4" s="1"/>
  <c r="R613" i="4"/>
  <c r="R614" i="4"/>
  <c r="R615" i="4"/>
  <c r="R603" i="4"/>
  <c r="R406" i="4"/>
  <c r="R618" i="4"/>
  <c r="R619" i="4"/>
  <c r="R620" i="4"/>
  <c r="R587" i="4"/>
  <c r="R621" i="4"/>
  <c r="R622" i="4"/>
  <c r="R623" i="4"/>
  <c r="R624" i="4"/>
  <c r="R625" i="4"/>
  <c r="R626" i="4"/>
  <c r="R627" i="4"/>
  <c r="R698" i="4"/>
  <c r="R628" i="4"/>
  <c r="R629" i="4"/>
  <c r="R605" i="4"/>
  <c r="R598" i="4"/>
  <c r="R604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70" i="4"/>
  <c r="R671" i="4"/>
  <c r="R673" i="4"/>
  <c r="R674" i="4"/>
  <c r="R488" i="4"/>
  <c r="R676" i="4"/>
  <c r="R677" i="4"/>
  <c r="R678" i="4"/>
  <c r="R679" i="4"/>
  <c r="R632" i="4"/>
  <c r="R68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81" i="4"/>
  <c r="R351" i="4"/>
  <c r="R353" i="4"/>
  <c r="R354" i="4"/>
  <c r="R568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565" i="4"/>
  <c r="R369" i="4"/>
  <c r="R371" i="4"/>
  <c r="R370" i="4"/>
  <c r="R373" i="4"/>
  <c r="R567" i="4"/>
  <c r="R375" i="4"/>
  <c r="R376" i="4"/>
  <c r="R377" i="4"/>
  <c r="R378" i="4"/>
  <c r="R543" i="4"/>
  <c r="R380" i="4"/>
  <c r="R579" i="4"/>
  <c r="R382" i="4"/>
  <c r="R471" i="4"/>
  <c r="R494" i="4"/>
  <c r="R385" i="4"/>
  <c r="R386" i="4"/>
  <c r="R387" i="4"/>
  <c r="R388" i="4"/>
  <c r="R521" i="4"/>
  <c r="R390" i="4"/>
  <c r="R391" i="4"/>
  <c r="R392" i="4"/>
  <c r="R393" i="4"/>
  <c r="R394" i="4"/>
  <c r="R395" i="4"/>
  <c r="R396" i="4"/>
  <c r="R586" i="4"/>
  <c r="R398" i="4"/>
  <c r="R399" i="4"/>
  <c r="R400" i="4"/>
  <c r="R401" i="4"/>
  <c r="R402" i="4"/>
  <c r="R403" i="4"/>
  <c r="R404" i="4"/>
  <c r="R405" i="4"/>
  <c r="R352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590" i="4"/>
  <c r="R438" i="4"/>
  <c r="R439" i="4"/>
  <c r="R440" i="4"/>
  <c r="R441" i="4"/>
  <c r="R442" i="4"/>
  <c r="R443" i="4"/>
  <c r="R384" i="4"/>
  <c r="R444" i="4"/>
  <c r="R445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607" i="4"/>
  <c r="R468" i="4"/>
  <c r="R469" i="4"/>
  <c r="R470" i="4"/>
  <c r="R612" i="4"/>
  <c r="R472" i="4"/>
  <c r="R479" i="4"/>
  <c r="R474" i="4"/>
  <c r="R475" i="4"/>
  <c r="R476" i="4"/>
  <c r="R477" i="4"/>
  <c r="R478" i="4"/>
  <c r="R616" i="4"/>
  <c r="R480" i="4"/>
  <c r="R481" i="4"/>
  <c r="R482" i="4"/>
  <c r="R483" i="4"/>
  <c r="R484" i="4"/>
  <c r="R485" i="4"/>
  <c r="R486" i="4"/>
  <c r="R487" i="4"/>
  <c r="R473" i="4"/>
  <c r="R372" i="4"/>
  <c r="R490" i="4"/>
  <c r="R491" i="4"/>
  <c r="R492" i="4"/>
  <c r="R493" i="4"/>
  <c r="R383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675" i="4"/>
  <c r="R511" i="4"/>
  <c r="R512" i="4"/>
  <c r="R513" i="4"/>
  <c r="R702" i="4"/>
  <c r="R514" i="4"/>
  <c r="R516" i="4"/>
  <c r="R517" i="4"/>
  <c r="R518" i="4"/>
  <c r="R519" i="4"/>
  <c r="R520" i="4"/>
  <c r="R355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467" i="4"/>
  <c r="R536" i="4"/>
  <c r="R537" i="4"/>
  <c r="R538" i="4"/>
  <c r="R539" i="4"/>
  <c r="R540" i="4"/>
  <c r="R541" i="4"/>
  <c r="R542" i="4"/>
  <c r="R389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489" i="4"/>
  <c r="R556" i="4"/>
  <c r="R558" i="4"/>
  <c r="R569" i="4"/>
  <c r="R560" i="4"/>
  <c r="R561" i="4"/>
  <c r="R535" i="4"/>
  <c r="R563" i="4"/>
  <c r="R510" i="4"/>
  <c r="R708" i="4"/>
  <c r="R515" i="4"/>
  <c r="R566" i="4"/>
  <c r="R379" i="4"/>
  <c r="R446" i="4"/>
  <c r="R559" i="4"/>
  <c r="R570" i="4"/>
  <c r="R571" i="4"/>
  <c r="R572" i="4"/>
  <c r="R631" i="4"/>
  <c r="R573" i="4"/>
  <c r="R574" i="4"/>
  <c r="R575" i="4"/>
  <c r="R576" i="4"/>
  <c r="R577" i="4"/>
  <c r="R578" i="4"/>
  <c r="R562" i="4"/>
  <c r="R580" i="4"/>
  <c r="R374" i="4"/>
  <c r="R701" i="4"/>
  <c r="R582" i="4"/>
  <c r="R583" i="4"/>
  <c r="R584" i="4"/>
  <c r="R585" i="4"/>
  <c r="R581" i="4"/>
  <c r="R599" i="4"/>
  <c r="R588" i="4"/>
  <c r="R589" i="4"/>
  <c r="R705" i="4"/>
  <c r="R591" i="4"/>
  <c r="R592" i="4"/>
  <c r="R706" i="4"/>
  <c r="R593" i="4"/>
  <c r="R594" i="4"/>
  <c r="R595" i="4"/>
  <c r="R596" i="4"/>
  <c r="R597" i="4"/>
  <c r="R397" i="4"/>
  <c r="R700" i="4"/>
  <c r="R630" i="4"/>
  <c r="R600" i="4"/>
  <c r="R601" i="4"/>
  <c r="R602" i="4"/>
  <c r="R617" i="4"/>
  <c r="R703" i="4"/>
  <c r="R557" i="4"/>
  <c r="R606" i="4"/>
  <c r="R437" i="4"/>
  <c r="R608" i="4"/>
  <c r="R564" i="4"/>
  <c r="R609" i="4"/>
  <c r="R610" i="4"/>
  <c r="R611" i="4"/>
  <c r="R2" i="4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5" i="2"/>
  <c r="M2" i="2"/>
  <c r="BX664" i="4" l="1"/>
  <c r="BW664" i="4"/>
  <c r="BV664" i="4"/>
  <c r="BV692" i="4"/>
  <c r="BX692" i="4"/>
  <c r="BW692" i="4"/>
  <c r="BX672" i="4"/>
  <c r="BW672" i="4"/>
  <c r="BV672" i="4"/>
  <c r="BW690" i="4"/>
  <c r="BV690" i="4"/>
  <c r="BX690" i="4"/>
  <c r="BX669" i="4"/>
  <c r="BW669" i="4"/>
  <c r="BV669" i="4"/>
  <c r="BX704" i="4"/>
  <c r="BW704" i="4"/>
  <c r="BV704" i="4"/>
  <c r="BX689" i="4"/>
  <c r="BW689" i="4"/>
  <c r="BV689" i="4"/>
  <c r="BW694" i="4"/>
  <c r="BV694" i="4"/>
  <c r="BV691" i="4"/>
  <c r="BX696" i="4"/>
  <c r="BV696" i="4"/>
  <c r="BV697" i="4"/>
  <c r="BV695" i="4"/>
  <c r="BW697" i="4"/>
  <c r="BX695" i="4"/>
  <c r="BX693" i="4"/>
  <c r="BV693" i="4"/>
  <c r="BW691" i="4"/>
  <c r="BV688" i="4"/>
  <c r="BX688" i="4"/>
  <c r="BX687" i="4"/>
  <c r="BW686" i="4"/>
  <c r="BW687" i="4"/>
  <c r="BV686" i="4"/>
  <c r="BX683" i="4"/>
  <c r="BV683" i="4"/>
  <c r="BW681" i="4"/>
  <c r="BX681" i="4"/>
  <c r="BV685" i="4"/>
  <c r="BW685" i="4"/>
  <c r="BV684" i="4"/>
  <c r="BX684" i="4"/>
  <c r="BV682" i="4"/>
  <c r="BW682" i="4"/>
  <c r="BX682" i="4"/>
  <c r="BV680" i="4"/>
  <c r="BW680" i="4"/>
  <c r="BX680" i="4"/>
  <c r="BV634" i="4" l="1"/>
  <c r="BV640" i="4"/>
  <c r="BV647" i="4"/>
  <c r="BV648" i="4"/>
  <c r="BV650" i="4"/>
  <c r="BV653" i="4"/>
  <c r="BW634" i="4"/>
  <c r="BW640" i="4"/>
  <c r="BW647" i="4"/>
  <c r="BW648" i="4"/>
  <c r="BW650" i="4"/>
  <c r="BW653" i="4"/>
  <c r="BX634" i="4"/>
  <c r="BX640" i="4"/>
  <c r="BX647" i="4"/>
  <c r="BX648" i="4"/>
  <c r="BX650" i="4"/>
  <c r="BX653" i="4"/>
  <c r="BV675" i="4"/>
  <c r="BV666" i="4"/>
  <c r="BV656" i="4"/>
  <c r="BV651" i="4"/>
  <c r="BV644" i="4"/>
  <c r="BV624" i="4"/>
  <c r="BV621" i="4"/>
  <c r="BV613" i="4"/>
  <c r="BV606" i="4"/>
  <c r="BV601" i="4"/>
  <c r="BV595" i="4"/>
  <c r="BV582" i="4"/>
  <c r="BV578" i="4"/>
  <c r="BV574" i="4"/>
  <c r="BV570" i="4"/>
  <c r="BV563" i="4"/>
  <c r="BV555" i="4"/>
  <c r="BV552" i="4"/>
  <c r="BV548" i="4"/>
  <c r="BV546" i="4"/>
  <c r="BV542" i="4"/>
  <c r="BV535" i="4"/>
  <c r="BV534" i="4"/>
  <c r="BV531" i="4"/>
  <c r="BV530" i="4"/>
  <c r="BV519" i="4"/>
  <c r="BV514" i="4"/>
  <c r="BV512" i="4"/>
  <c r="BV509" i="4"/>
  <c r="BV507" i="4"/>
  <c r="BV501" i="4"/>
  <c r="BV491" i="4"/>
  <c r="BV483" i="4"/>
  <c r="BV469" i="4"/>
  <c r="BV468" i="4"/>
  <c r="BV467" i="4"/>
  <c r="BV465" i="4"/>
  <c r="BV461" i="4"/>
  <c r="BV460" i="4"/>
  <c r="BV440" i="4"/>
  <c r="BV439" i="4"/>
  <c r="BV437" i="4"/>
  <c r="BV434" i="4"/>
  <c r="BV424" i="4"/>
  <c r="BV423" i="4"/>
  <c r="BV395" i="4"/>
  <c r="BV389" i="4"/>
  <c r="BV388" i="4"/>
  <c r="BV385" i="4"/>
  <c r="BV384" i="4"/>
  <c r="BV383" i="4"/>
  <c r="BV380" i="4"/>
  <c r="BV376" i="4"/>
  <c r="BV339" i="4"/>
  <c r="BV336" i="4"/>
  <c r="BV319" i="4"/>
  <c r="BV312" i="4"/>
  <c r="BV288" i="4"/>
  <c r="BV278" i="4"/>
  <c r="BV271" i="4"/>
  <c r="BV264" i="4"/>
  <c r="BV259" i="4"/>
  <c r="BV242" i="4"/>
  <c r="BV241" i="4"/>
  <c r="BV239" i="4"/>
  <c r="BV231" i="4"/>
  <c r="BV226" i="4"/>
  <c r="BV218" i="4"/>
  <c r="BV215" i="4"/>
  <c r="BV210" i="4"/>
  <c r="BV186" i="4"/>
  <c r="BV182" i="4"/>
  <c r="BV170" i="4"/>
  <c r="BV171" i="4"/>
  <c r="BV118" i="4"/>
  <c r="BW675" i="4"/>
  <c r="BW666" i="4"/>
  <c r="BW656" i="4"/>
  <c r="BW651" i="4"/>
  <c r="BW644" i="4"/>
  <c r="BW624" i="4"/>
  <c r="BW621" i="4"/>
  <c r="BW613" i="4"/>
  <c r="BW606" i="4"/>
  <c r="BW601" i="4"/>
  <c r="BW595" i="4"/>
  <c r="BW582" i="4"/>
  <c r="BW578" i="4"/>
  <c r="BW574" i="4"/>
  <c r="BW570" i="4"/>
  <c r="BW563" i="4"/>
  <c r="BW555" i="4"/>
  <c r="BW552" i="4"/>
  <c r="BW548" i="4"/>
  <c r="BW546" i="4"/>
  <c r="BW542" i="4"/>
  <c r="BW535" i="4"/>
  <c r="BW534" i="4"/>
  <c r="BW531" i="4"/>
  <c r="BW530" i="4"/>
  <c r="BW519" i="4"/>
  <c r="BW514" i="4"/>
  <c r="BW512" i="4"/>
  <c r="BW509" i="4"/>
  <c r="BW507" i="4"/>
  <c r="BW501" i="4"/>
  <c r="BW491" i="4"/>
  <c r="BW483" i="4"/>
  <c r="BW469" i="4"/>
  <c r="BW468" i="4"/>
  <c r="BW467" i="4"/>
  <c r="BW465" i="4"/>
  <c r="BW461" i="4"/>
  <c r="BW460" i="4"/>
  <c r="BW440" i="4"/>
  <c r="BW439" i="4"/>
  <c r="BW437" i="4"/>
  <c r="BW434" i="4"/>
  <c r="BW424" i="4"/>
  <c r="BW423" i="4"/>
  <c r="BW395" i="4"/>
  <c r="BW389" i="4"/>
  <c r="BW388" i="4"/>
  <c r="BW385" i="4"/>
  <c r="BW384" i="4"/>
  <c r="BW383" i="4"/>
  <c r="BW380" i="4"/>
  <c r="BW376" i="4"/>
  <c r="BW339" i="4"/>
  <c r="BW336" i="4"/>
  <c r="BW319" i="4"/>
  <c r="BW312" i="4"/>
  <c r="BW288" i="4"/>
  <c r="BW278" i="4"/>
  <c r="BW271" i="4"/>
  <c r="BW264" i="4"/>
  <c r="BW259" i="4"/>
  <c r="BW242" i="4"/>
  <c r="BW241" i="4"/>
  <c r="BW239" i="4"/>
  <c r="BW231" i="4"/>
  <c r="BW226" i="4"/>
  <c r="BW218" i="4"/>
  <c r="BW215" i="4"/>
  <c r="BW210" i="4"/>
  <c r="BW186" i="4"/>
  <c r="BW182" i="4"/>
  <c r="BW170" i="4"/>
  <c r="BW171" i="4"/>
  <c r="BW118" i="4"/>
  <c r="BX675" i="4"/>
  <c r="BX666" i="4"/>
  <c r="BX656" i="4"/>
  <c r="BX651" i="4"/>
  <c r="BX644" i="4"/>
  <c r="BX624" i="4"/>
  <c r="BX621" i="4"/>
  <c r="BX613" i="4"/>
  <c r="BX606" i="4"/>
  <c r="BX601" i="4"/>
  <c r="BX595" i="4"/>
  <c r="BX582" i="4"/>
  <c r="BX578" i="4"/>
  <c r="BX574" i="4"/>
  <c r="BX570" i="4"/>
  <c r="BX563" i="4"/>
  <c r="BX555" i="4"/>
  <c r="BX552" i="4"/>
  <c r="BX548" i="4"/>
  <c r="BX546" i="4"/>
  <c r="BX542" i="4"/>
  <c r="BX535" i="4"/>
  <c r="BX534" i="4"/>
  <c r="BX531" i="4"/>
  <c r="BX530" i="4"/>
  <c r="BX519" i="4"/>
  <c r="BX514" i="4"/>
  <c r="BX512" i="4"/>
  <c r="BX509" i="4"/>
  <c r="BX507" i="4"/>
  <c r="BX501" i="4"/>
  <c r="BX491" i="4"/>
  <c r="BX483" i="4"/>
  <c r="BX469" i="4"/>
  <c r="BX468" i="4"/>
  <c r="BX467" i="4"/>
  <c r="BX465" i="4"/>
  <c r="BX461" i="4"/>
  <c r="BX460" i="4"/>
  <c r="BX440" i="4"/>
  <c r="BX439" i="4"/>
  <c r="BX437" i="4"/>
  <c r="BX434" i="4"/>
  <c r="BX424" i="4"/>
  <c r="BX423" i="4"/>
  <c r="BX395" i="4"/>
  <c r="BX389" i="4"/>
  <c r="BX388" i="4"/>
  <c r="BX385" i="4"/>
  <c r="BX384" i="4"/>
  <c r="BX383" i="4"/>
  <c r="BX380" i="4"/>
  <c r="BX376" i="4"/>
  <c r="BX339" i="4"/>
  <c r="BX336" i="4"/>
  <c r="BX319" i="4"/>
  <c r="BX312" i="4"/>
  <c r="BX288" i="4"/>
  <c r="BX278" i="4"/>
  <c r="BX271" i="4"/>
  <c r="BX264" i="4"/>
  <c r="BX259" i="4"/>
  <c r="BX242" i="4"/>
  <c r="BX241" i="4"/>
  <c r="BX239" i="4"/>
  <c r="BX231" i="4"/>
  <c r="BX226" i="4"/>
  <c r="BX218" i="4"/>
  <c r="BX215" i="4"/>
  <c r="BX210" i="4"/>
  <c r="BX186" i="4"/>
  <c r="BX182" i="4"/>
  <c r="BX170" i="4"/>
  <c r="BX171" i="4"/>
  <c r="BX118" i="4"/>
  <c r="BV673" i="4" l="1"/>
  <c r="BV676" i="4"/>
  <c r="BV679" i="4"/>
  <c r="BW673" i="4"/>
  <c r="BW676" i="4"/>
  <c r="BW679" i="4"/>
  <c r="BX673" i="4"/>
  <c r="BX676" i="4"/>
  <c r="BX679" i="4"/>
  <c r="BV633" i="4"/>
  <c r="BV637" i="4"/>
  <c r="BV639" i="4"/>
  <c r="BV641" i="4"/>
  <c r="BV643" i="4"/>
  <c r="BV645" i="4"/>
  <c r="BV646" i="4"/>
  <c r="BV652" i="4"/>
  <c r="BV655" i="4"/>
  <c r="BV657" i="4"/>
  <c r="BV660" i="4"/>
  <c r="BV662" i="4"/>
  <c r="BV663" i="4"/>
  <c r="BV668" i="4"/>
  <c r="BV670" i="4"/>
  <c r="BW633" i="4"/>
  <c r="BW637" i="4"/>
  <c r="BW639" i="4"/>
  <c r="BW641" i="4"/>
  <c r="BW643" i="4"/>
  <c r="BW645" i="4"/>
  <c r="BW646" i="4"/>
  <c r="BW652" i="4"/>
  <c r="BW655" i="4"/>
  <c r="BW657" i="4"/>
  <c r="BW660" i="4"/>
  <c r="BW662" i="4"/>
  <c r="BW663" i="4"/>
  <c r="BW668" i="4"/>
  <c r="BW670" i="4"/>
  <c r="BX633" i="4"/>
  <c r="BX637" i="4"/>
  <c r="BX639" i="4"/>
  <c r="BX641" i="4"/>
  <c r="BX643" i="4"/>
  <c r="BX645" i="4"/>
  <c r="BX646" i="4"/>
  <c r="BX652" i="4"/>
  <c r="BX655" i="4"/>
  <c r="BX657" i="4"/>
  <c r="BX660" i="4"/>
  <c r="BX662" i="4"/>
  <c r="BX663" i="4"/>
  <c r="BX668" i="4"/>
  <c r="BX670" i="4"/>
  <c r="BV671" i="4"/>
  <c r="BW671" i="4"/>
  <c r="BX671" i="4"/>
  <c r="BV654" i="4"/>
  <c r="BV659" i="4"/>
  <c r="BW654" i="4"/>
  <c r="BW659" i="4"/>
  <c r="BX654" i="4"/>
  <c r="BX659" i="4"/>
  <c r="BV678" i="4" l="1"/>
  <c r="BW678" i="4"/>
  <c r="BX678" i="4"/>
  <c r="BV677" i="4"/>
  <c r="BW677" i="4"/>
  <c r="BX677" i="4"/>
  <c r="BV635" i="4"/>
  <c r="BV636" i="4"/>
  <c r="BV638" i="4"/>
  <c r="BV642" i="4"/>
  <c r="BV649" i="4"/>
  <c r="BV658" i="4"/>
  <c r="BV661" i="4"/>
  <c r="BV665" i="4"/>
  <c r="BV667" i="4"/>
  <c r="BV674" i="4"/>
  <c r="BW635" i="4"/>
  <c r="BW636" i="4"/>
  <c r="BW638" i="4"/>
  <c r="BW642" i="4"/>
  <c r="BW649" i="4"/>
  <c r="BW658" i="4"/>
  <c r="BW661" i="4"/>
  <c r="BW665" i="4"/>
  <c r="BW667" i="4"/>
  <c r="BW674" i="4"/>
  <c r="BX635" i="4"/>
  <c r="BX636" i="4"/>
  <c r="BX638" i="4"/>
  <c r="BX642" i="4"/>
  <c r="BX649" i="4"/>
  <c r="BX658" i="4"/>
  <c r="BX661" i="4"/>
  <c r="BX665" i="4"/>
  <c r="BX667" i="4"/>
  <c r="BX674" i="4"/>
  <c r="BX620" i="4"/>
  <c r="BX587" i="4"/>
  <c r="BX622" i="4"/>
  <c r="BX623" i="4"/>
  <c r="BX625" i="4"/>
  <c r="BX626" i="4"/>
  <c r="BX627" i="4"/>
  <c r="BX698" i="4"/>
  <c r="BX628" i="4"/>
  <c r="BX629" i="4"/>
  <c r="BX605" i="4"/>
  <c r="BX598" i="4"/>
  <c r="BX604" i="4"/>
  <c r="BW620" i="4"/>
  <c r="BW587" i="4"/>
  <c r="BW622" i="4"/>
  <c r="BW623" i="4"/>
  <c r="BW625" i="4"/>
  <c r="BW626" i="4"/>
  <c r="BW627" i="4"/>
  <c r="BW698" i="4"/>
  <c r="BW628" i="4"/>
  <c r="BW629" i="4"/>
  <c r="BW605" i="4"/>
  <c r="BW598" i="4"/>
  <c r="BW604" i="4"/>
  <c r="BV620" i="4"/>
  <c r="BV587" i="4"/>
  <c r="BV622" i="4"/>
  <c r="BV623" i="4"/>
  <c r="BV625" i="4"/>
  <c r="BV626" i="4"/>
  <c r="BV627" i="4"/>
  <c r="BV698" i="4"/>
  <c r="BV628" i="4"/>
  <c r="BV629" i="4"/>
  <c r="BV605" i="4"/>
  <c r="BV598" i="4"/>
  <c r="BV604" i="4"/>
  <c r="BU3" i="4"/>
  <c r="BV3" i="4" s="1"/>
  <c r="BU4" i="4"/>
  <c r="BU5" i="4"/>
  <c r="BV5" i="4" s="1"/>
  <c r="BU6" i="4"/>
  <c r="BU7" i="4"/>
  <c r="BU8" i="4"/>
  <c r="BU9" i="4"/>
  <c r="BV9" i="4" s="1"/>
  <c r="BU10" i="4"/>
  <c r="BU11" i="4"/>
  <c r="BV11" i="4" s="1"/>
  <c r="BU12" i="4"/>
  <c r="BU13" i="4"/>
  <c r="BV13" i="4" s="1"/>
  <c r="BU14" i="4"/>
  <c r="BU15" i="4"/>
  <c r="BU16" i="4"/>
  <c r="BU17" i="4"/>
  <c r="BV17" i="4" s="1"/>
  <c r="BU18" i="4"/>
  <c r="BU19" i="4"/>
  <c r="BV19" i="4" s="1"/>
  <c r="BU20" i="4"/>
  <c r="BU21" i="4"/>
  <c r="BV21" i="4" s="1"/>
  <c r="BU22" i="4"/>
  <c r="BU23" i="4"/>
  <c r="BU24" i="4"/>
  <c r="BU25" i="4"/>
  <c r="BV25" i="4" s="1"/>
  <c r="BU26" i="4"/>
  <c r="BU27" i="4"/>
  <c r="BV27" i="4" s="1"/>
  <c r="BU28" i="4"/>
  <c r="BU29" i="4"/>
  <c r="BV29" i="4" s="1"/>
  <c r="BU30" i="4"/>
  <c r="BU31" i="4"/>
  <c r="BU32" i="4"/>
  <c r="BU33" i="4"/>
  <c r="BV33" i="4" s="1"/>
  <c r="BU34" i="4"/>
  <c r="BU35" i="4"/>
  <c r="BV35" i="4" s="1"/>
  <c r="BU36" i="4"/>
  <c r="BU37" i="4"/>
  <c r="BV37" i="4" s="1"/>
  <c r="BU38" i="4"/>
  <c r="BU39" i="4"/>
  <c r="BU40" i="4"/>
  <c r="BU41" i="4"/>
  <c r="BV41" i="4" s="1"/>
  <c r="BU42" i="4"/>
  <c r="BU43" i="4"/>
  <c r="BV43" i="4" s="1"/>
  <c r="BU44" i="4"/>
  <c r="BU45" i="4"/>
  <c r="BV45" i="4" s="1"/>
  <c r="BU46" i="4"/>
  <c r="BU47" i="4"/>
  <c r="BU48" i="4"/>
  <c r="BU49" i="4"/>
  <c r="BV49" i="4" s="1"/>
  <c r="BU50" i="4"/>
  <c r="BU51" i="4"/>
  <c r="BV51" i="4" s="1"/>
  <c r="BU52" i="4"/>
  <c r="BU53" i="4"/>
  <c r="BV53" i="4" s="1"/>
  <c r="BU54" i="4"/>
  <c r="BU55" i="4"/>
  <c r="BU56" i="4"/>
  <c r="BU57" i="4"/>
  <c r="BX57" i="4" s="1"/>
  <c r="BU58" i="4"/>
  <c r="BU59" i="4"/>
  <c r="BV59" i="4" s="1"/>
  <c r="BU60" i="4"/>
  <c r="BU61" i="4"/>
  <c r="BX61" i="4" s="1"/>
  <c r="BU62" i="4"/>
  <c r="BX62" i="4" s="1"/>
  <c r="BU63" i="4"/>
  <c r="BX63" i="4" s="1"/>
  <c r="BU64" i="4"/>
  <c r="BU65" i="4"/>
  <c r="BX65" i="4" s="1"/>
  <c r="BU66" i="4"/>
  <c r="BU67" i="4"/>
  <c r="BV67" i="4" s="1"/>
  <c r="BU68" i="4"/>
  <c r="BU69" i="4"/>
  <c r="BX69" i="4" s="1"/>
  <c r="BU70" i="4"/>
  <c r="BX70" i="4" s="1"/>
  <c r="BU71" i="4"/>
  <c r="BX71" i="4" s="1"/>
  <c r="BU72" i="4"/>
  <c r="BU73" i="4"/>
  <c r="BX73" i="4" s="1"/>
  <c r="BU74" i="4"/>
  <c r="BU75" i="4"/>
  <c r="BV75" i="4" s="1"/>
  <c r="BU76" i="4"/>
  <c r="BU77" i="4"/>
  <c r="BX77" i="4" s="1"/>
  <c r="BU78" i="4"/>
  <c r="BX78" i="4" s="1"/>
  <c r="BU79" i="4"/>
  <c r="BX79" i="4" s="1"/>
  <c r="BU80" i="4"/>
  <c r="BU81" i="4"/>
  <c r="BX81" i="4" s="1"/>
  <c r="BU82" i="4"/>
  <c r="BU83" i="4"/>
  <c r="BV83" i="4" s="1"/>
  <c r="BU84" i="4"/>
  <c r="BU85" i="4"/>
  <c r="BX85" i="4" s="1"/>
  <c r="BU86" i="4"/>
  <c r="BX86" i="4" s="1"/>
  <c r="BU87" i="4"/>
  <c r="BX87" i="4" s="1"/>
  <c r="BU88" i="4"/>
  <c r="BU89" i="4"/>
  <c r="BX89" i="4" s="1"/>
  <c r="BU90" i="4"/>
  <c r="BU91" i="4"/>
  <c r="BV91" i="4" s="1"/>
  <c r="BU92" i="4"/>
  <c r="BU93" i="4"/>
  <c r="BX93" i="4" s="1"/>
  <c r="BU94" i="4"/>
  <c r="BX94" i="4" s="1"/>
  <c r="BX95" i="4"/>
  <c r="BX97" i="4"/>
  <c r="BV99" i="4"/>
  <c r="BX101" i="4"/>
  <c r="BX109" i="4"/>
  <c r="BX110" i="4"/>
  <c r="BX111" i="4"/>
  <c r="BX113" i="4"/>
  <c r="BV115" i="4"/>
  <c r="BX117" i="4"/>
  <c r="BX119" i="4"/>
  <c r="BX121" i="4"/>
  <c r="BV123" i="4"/>
  <c r="BX126" i="4"/>
  <c r="BX127" i="4"/>
  <c r="BX129" i="4"/>
  <c r="BX131" i="4"/>
  <c r="BV133" i="4"/>
  <c r="BX135" i="4"/>
  <c r="BX136" i="4"/>
  <c r="BX137" i="4"/>
  <c r="BX140" i="4"/>
  <c r="BV143" i="4"/>
  <c r="BX145" i="4"/>
  <c r="BX147" i="4"/>
  <c r="BX148" i="4"/>
  <c r="BX151" i="4"/>
  <c r="BV153" i="4"/>
  <c r="BX155" i="4"/>
  <c r="BX156" i="4"/>
  <c r="BX158" i="4"/>
  <c r="BX161" i="4"/>
  <c r="BX163" i="4"/>
  <c r="BX166" i="4"/>
  <c r="BX167" i="4"/>
  <c r="BX168" i="4"/>
  <c r="BV172" i="4"/>
  <c r="BX174" i="4"/>
  <c r="BX175" i="4"/>
  <c r="BX176" i="4"/>
  <c r="BX178" i="4"/>
  <c r="BV181" i="4"/>
  <c r="BX183" i="4"/>
  <c r="BX184" i="4"/>
  <c r="BX189" i="4"/>
  <c r="BV192" i="4"/>
  <c r="BX195" i="4"/>
  <c r="BX196" i="4"/>
  <c r="BX197" i="4"/>
  <c r="BX200" i="4"/>
  <c r="BV201" i="4"/>
  <c r="BX203" i="4"/>
  <c r="BX204" i="4"/>
  <c r="BX205" i="4"/>
  <c r="BX207" i="4"/>
  <c r="BX212" i="4"/>
  <c r="BX213" i="4"/>
  <c r="BX216" i="4"/>
  <c r="BX220" i="4"/>
  <c r="BX221" i="4"/>
  <c r="BX222" i="4"/>
  <c r="BX225" i="4"/>
  <c r="BX227" i="4"/>
  <c r="BX229" i="4"/>
  <c r="BX230" i="4"/>
  <c r="BX233" i="4"/>
  <c r="BX236" i="4"/>
  <c r="BX240" i="4"/>
  <c r="BX243" i="4"/>
  <c r="BX246" i="4"/>
  <c r="BV247" i="4"/>
  <c r="BX249" i="4"/>
  <c r="BX250" i="4"/>
  <c r="BX251" i="4"/>
  <c r="BX254" i="4"/>
  <c r="BX256" i="4"/>
  <c r="BX258" i="4"/>
  <c r="BX260" i="4"/>
  <c r="BX261" i="4"/>
  <c r="BX265" i="4"/>
  <c r="BV266" i="4"/>
  <c r="BX267" i="4"/>
  <c r="BX268" i="4"/>
  <c r="BX270" i="4"/>
  <c r="BX273" i="4"/>
  <c r="BX275" i="4"/>
  <c r="BX276" i="4"/>
  <c r="BX280" i="4"/>
  <c r="BX282" i="4"/>
  <c r="BX285" i="4"/>
  <c r="BX286" i="4"/>
  <c r="BX287" i="4"/>
  <c r="BX289" i="4"/>
  <c r="BX292" i="4"/>
  <c r="BX295" i="4"/>
  <c r="BX296" i="4"/>
  <c r="BX297" i="4"/>
  <c r="BX299" i="4"/>
  <c r="BX301" i="4"/>
  <c r="BX303" i="4"/>
  <c r="BX305" i="4"/>
  <c r="BX306" i="4"/>
  <c r="BX309" i="4"/>
  <c r="BX311" i="4"/>
  <c r="BX313" i="4"/>
  <c r="BX314" i="4"/>
  <c r="BX315" i="4"/>
  <c r="BX320" i="4"/>
  <c r="BV321" i="4"/>
  <c r="BX323" i="4"/>
  <c r="BX324" i="4"/>
  <c r="BX325" i="4"/>
  <c r="BX327" i="4"/>
  <c r="BX329" i="4"/>
  <c r="BX331" i="4"/>
  <c r="BX333" i="4"/>
  <c r="BX334" i="4"/>
  <c r="BX338" i="4"/>
  <c r="BX340" i="4"/>
  <c r="BX341" i="4"/>
  <c r="BX342" i="4"/>
  <c r="BX344" i="4"/>
  <c r="BX346" i="4"/>
  <c r="BX353" i="4"/>
  <c r="BX354" i="4"/>
  <c r="BX355" i="4"/>
  <c r="BX357" i="4"/>
  <c r="BX359" i="4"/>
  <c r="BV360" i="4"/>
  <c r="BX362" i="4"/>
  <c r="BX363" i="4"/>
  <c r="BX364" i="4"/>
  <c r="BX368" i="4"/>
  <c r="BX369" i="4"/>
  <c r="BX373" i="4"/>
  <c r="BX377" i="4"/>
  <c r="BX379" i="4"/>
  <c r="BX381" i="4"/>
  <c r="BX382" i="4"/>
  <c r="BX387" i="4"/>
  <c r="BX391" i="4"/>
  <c r="BX392" i="4"/>
  <c r="BX393" i="4"/>
  <c r="BX397" i="4"/>
  <c r="BV398" i="4"/>
  <c r="BX399" i="4"/>
  <c r="BX400" i="4"/>
  <c r="BX401" i="4"/>
  <c r="BX403" i="4"/>
  <c r="BX405" i="4"/>
  <c r="BX407" i="4"/>
  <c r="BX408" i="4"/>
  <c r="BX409" i="4"/>
  <c r="BX411" i="4"/>
  <c r="BX413" i="4"/>
  <c r="BX415" i="4"/>
  <c r="BX416" i="4"/>
  <c r="BX417" i="4"/>
  <c r="BX419" i="4"/>
  <c r="BX422" i="4"/>
  <c r="BX569" i="4"/>
  <c r="BX425" i="4"/>
  <c r="BX426" i="4"/>
  <c r="BX428" i="4"/>
  <c r="BX430" i="4"/>
  <c r="BX432" i="4"/>
  <c r="BX433" i="4"/>
  <c r="BX561" i="4"/>
  <c r="BX443" i="4"/>
  <c r="BX446" i="4"/>
  <c r="BX444" i="4"/>
  <c r="BX448" i="4"/>
  <c r="BX450" i="4"/>
  <c r="BV451" i="4"/>
  <c r="BX452" i="4"/>
  <c r="BX453" i="4"/>
  <c r="BX454" i="4"/>
  <c r="BX456" i="4"/>
  <c r="BX565" i="4"/>
  <c r="BX462" i="4"/>
  <c r="BX463" i="4"/>
  <c r="BV470" i="4"/>
  <c r="BX473" i="4"/>
  <c r="BX472" i="4"/>
  <c r="BX474" i="4"/>
  <c r="BX476" i="4"/>
  <c r="BX478" i="4"/>
  <c r="BX480" i="4"/>
  <c r="BX481" i="4"/>
  <c r="BX484" i="4"/>
  <c r="BX486" i="4"/>
  <c r="BV487" i="4"/>
  <c r="BX488" i="4"/>
  <c r="BX489" i="4"/>
  <c r="BX490" i="4"/>
  <c r="BX492" i="4"/>
  <c r="BX495" i="4"/>
  <c r="BX497" i="4"/>
  <c r="BX498" i="4"/>
  <c r="BX500" i="4"/>
  <c r="BX502" i="4"/>
  <c r="BX505" i="4"/>
  <c r="BV506" i="4"/>
  <c r="BX508" i="4"/>
  <c r="BX511" i="4"/>
  <c r="BX513" i="4"/>
  <c r="BX516" i="4"/>
  <c r="BX517" i="4"/>
  <c r="BX521" i="4"/>
  <c r="BX523" i="4"/>
  <c r="BX526" i="4"/>
  <c r="BX527" i="4"/>
  <c r="BX528" i="4"/>
  <c r="BX533" i="4"/>
  <c r="BX536" i="4"/>
  <c r="BX537" i="4"/>
  <c r="BX539" i="4"/>
  <c r="BV543" i="4"/>
  <c r="BX544" i="4"/>
  <c r="BX545" i="4"/>
  <c r="BX551" i="4"/>
  <c r="BX553" i="4"/>
  <c r="BX554" i="4"/>
  <c r="BX556" i="4"/>
  <c r="BX703" i="4"/>
  <c r="BX567" i="4"/>
  <c r="BX566" i="4"/>
  <c r="BX586" i="4"/>
  <c r="BX559" i="4"/>
  <c r="BX571" i="4"/>
  <c r="BX631" i="4"/>
  <c r="BX573" i="4"/>
  <c r="BX575" i="4"/>
  <c r="BX577" i="4"/>
  <c r="BX562" i="4"/>
  <c r="BX580" i="4"/>
  <c r="BX701" i="4"/>
  <c r="BX583" i="4"/>
  <c r="BX585" i="4"/>
  <c r="BX581" i="4"/>
  <c r="BX599" i="4"/>
  <c r="BX589" i="4"/>
  <c r="BX591" i="4"/>
  <c r="BV592" i="4"/>
  <c r="BX706" i="4"/>
  <c r="BX593" i="4"/>
  <c r="BX597" i="4"/>
  <c r="BX632" i="4"/>
  <c r="BX700" i="4"/>
  <c r="BX630" i="4"/>
  <c r="BX617" i="4"/>
  <c r="BV616" i="4"/>
  <c r="BX579" i="4"/>
  <c r="BX607" i="4"/>
  <c r="BX608" i="4"/>
  <c r="BX518" i="4"/>
  <c r="BX609" i="4"/>
  <c r="BX610" i="4"/>
  <c r="BX550" i="4"/>
  <c r="BX532" i="4"/>
  <c r="BX361" i="4"/>
  <c r="BX494" i="4"/>
  <c r="BX466" i="4"/>
  <c r="BX367" i="4"/>
  <c r="BX352" i="4"/>
  <c r="BX459" i="4"/>
  <c r="BX365" i="4"/>
  <c r="BX438" i="4"/>
  <c r="BX436" i="4"/>
  <c r="BX349" i="4"/>
  <c r="BX234" i="4"/>
  <c r="BV211" i="4"/>
  <c r="BX332" i="4"/>
  <c r="BX351" i="4"/>
  <c r="BX322" i="4"/>
  <c r="BX308" i="4"/>
  <c r="BX293" i="4"/>
  <c r="BX290" i="4"/>
  <c r="BX614" i="4"/>
  <c r="BX284" i="4"/>
  <c r="BX165" i="4"/>
  <c r="BV257" i="4"/>
  <c r="BX252" i="4"/>
  <c r="BX245" i="4"/>
  <c r="BX238" i="4"/>
  <c r="BX199" i="4"/>
  <c r="BX187" i="4"/>
  <c r="BX515" i="4"/>
  <c r="BX157" i="4"/>
  <c r="BX248" i="4"/>
  <c r="BX374" i="4"/>
  <c r="BX190" i="4"/>
  <c r="BV179" i="4"/>
  <c r="BX160" i="4"/>
  <c r="BX150" i="4"/>
  <c r="BX146" i="4"/>
  <c r="BX525" i="4"/>
  <c r="BX139" i="4"/>
  <c r="BX128" i="4"/>
  <c r="BX615" i="4"/>
  <c r="BX603" i="4"/>
  <c r="BX590" i="4"/>
  <c r="BX619" i="4"/>
  <c r="BU2" i="4"/>
  <c r="BX107" i="4" l="1"/>
  <c r="BV107" i="4"/>
  <c r="BW107" i="4"/>
  <c r="BV106" i="4"/>
  <c r="BW106" i="4"/>
  <c r="BX106" i="4"/>
  <c r="BV108" i="4"/>
  <c r="BW108" i="4"/>
  <c r="BX108" i="4"/>
  <c r="BV105" i="4"/>
  <c r="BW105" i="4"/>
  <c r="BX105" i="4"/>
  <c r="BV104" i="4"/>
  <c r="BX104" i="4"/>
  <c r="BW104" i="4"/>
  <c r="BV103" i="4"/>
  <c r="BW103" i="4"/>
  <c r="BX103" i="4"/>
  <c r="BV102" i="4"/>
  <c r="BW102" i="4"/>
  <c r="BX102" i="4"/>
  <c r="BV256" i="4"/>
  <c r="BW422" i="4"/>
  <c r="BW156" i="4"/>
  <c r="BV65" i="4"/>
  <c r="BV229" i="4"/>
  <c r="BW109" i="4"/>
  <c r="BV583" i="4"/>
  <c r="BV207" i="4"/>
  <c r="BW362" i="4"/>
  <c r="BW86" i="4"/>
  <c r="BV565" i="4"/>
  <c r="BW515" i="4"/>
  <c r="BW314" i="4"/>
  <c r="BV405" i="4"/>
  <c r="BV155" i="4"/>
  <c r="BW632" i="4"/>
  <c r="BW295" i="4"/>
  <c r="BV382" i="4"/>
  <c r="BV131" i="4"/>
  <c r="BW273" i="4"/>
  <c r="BV329" i="4"/>
  <c r="BW462" i="4"/>
  <c r="BW230" i="4"/>
  <c r="BV303" i="4"/>
  <c r="BV85" i="4"/>
  <c r="BW443" i="4"/>
  <c r="BW183" i="4"/>
  <c r="BV352" i="4"/>
  <c r="BV199" i="4"/>
  <c r="BV518" i="4"/>
  <c r="BV575" i="4"/>
  <c r="BV480" i="4"/>
  <c r="BV452" i="4"/>
  <c r="BV422" i="4"/>
  <c r="BV399" i="4"/>
  <c r="BV379" i="4"/>
  <c r="BV346" i="4"/>
  <c r="BV323" i="4"/>
  <c r="BV299" i="4"/>
  <c r="BV273" i="4"/>
  <c r="BV249" i="4"/>
  <c r="BV225" i="4"/>
  <c r="BV174" i="4"/>
  <c r="BV151" i="4"/>
  <c r="BV101" i="4"/>
  <c r="BV81" i="4"/>
  <c r="BW128" i="4"/>
  <c r="BW238" i="4"/>
  <c r="BW436" i="4"/>
  <c r="BW609" i="4"/>
  <c r="BW553" i="4"/>
  <c r="BW528" i="4"/>
  <c r="BW500" i="4"/>
  <c r="BW480" i="4"/>
  <c r="BW565" i="4"/>
  <c r="BW416" i="4"/>
  <c r="BW399" i="4"/>
  <c r="BW377" i="4"/>
  <c r="BW354" i="4"/>
  <c r="BW331" i="4"/>
  <c r="BW311" i="4"/>
  <c r="BW287" i="4"/>
  <c r="BW268" i="4"/>
  <c r="BW249" i="4"/>
  <c r="BW222" i="4"/>
  <c r="BW203" i="4"/>
  <c r="BW175" i="4"/>
  <c r="BW148" i="4"/>
  <c r="BW126" i="4"/>
  <c r="BW79" i="4"/>
  <c r="BW61" i="4"/>
  <c r="BV374" i="4"/>
  <c r="BV492" i="4"/>
  <c r="BV280" i="4"/>
  <c r="BV284" i="4"/>
  <c r="BV608" i="4"/>
  <c r="BV571" i="4"/>
  <c r="BV521" i="4"/>
  <c r="BV478" i="4"/>
  <c r="BV448" i="4"/>
  <c r="BV419" i="4"/>
  <c r="BV397" i="4"/>
  <c r="BV373" i="4"/>
  <c r="BV344" i="4"/>
  <c r="BV320" i="4"/>
  <c r="BV295" i="4"/>
  <c r="BV270" i="4"/>
  <c r="BV246" i="4"/>
  <c r="BV220" i="4"/>
  <c r="BV200" i="4"/>
  <c r="BV145" i="4"/>
  <c r="BV121" i="4"/>
  <c r="BV77" i="4"/>
  <c r="BV57" i="4"/>
  <c r="BW139" i="4"/>
  <c r="BW245" i="4"/>
  <c r="BW438" i="4"/>
  <c r="BW518" i="4"/>
  <c r="BW593" i="4"/>
  <c r="BW573" i="4"/>
  <c r="BW551" i="4"/>
  <c r="BW527" i="4"/>
  <c r="BW498" i="4"/>
  <c r="BW478" i="4"/>
  <c r="BW454" i="4"/>
  <c r="BW433" i="4"/>
  <c r="BW415" i="4"/>
  <c r="BW393" i="4"/>
  <c r="BW353" i="4"/>
  <c r="BW329" i="4"/>
  <c r="BW306" i="4"/>
  <c r="BW286" i="4"/>
  <c r="BW267" i="4"/>
  <c r="BW221" i="4"/>
  <c r="BW197" i="4"/>
  <c r="BW174" i="4"/>
  <c r="BW147" i="4"/>
  <c r="BW119" i="4"/>
  <c r="BW101" i="4"/>
  <c r="BW78" i="4"/>
  <c r="BV539" i="4"/>
  <c r="BV428" i="4"/>
  <c r="BV293" i="4"/>
  <c r="BV559" i="4"/>
  <c r="BV513" i="4"/>
  <c r="BV476" i="4"/>
  <c r="BV443" i="4"/>
  <c r="BV415" i="4"/>
  <c r="BV369" i="4"/>
  <c r="BV340" i="4"/>
  <c r="BV292" i="4"/>
  <c r="BV267" i="4"/>
  <c r="BV243" i="4"/>
  <c r="BV195" i="4"/>
  <c r="BV117" i="4"/>
  <c r="BV97" i="4"/>
  <c r="BW146" i="4"/>
  <c r="BW614" i="4"/>
  <c r="BW365" i="4"/>
  <c r="BW607" i="4"/>
  <c r="BW599" i="4"/>
  <c r="BW631" i="4"/>
  <c r="BW545" i="4"/>
  <c r="BW497" i="4"/>
  <c r="BW474" i="4"/>
  <c r="BW453" i="4"/>
  <c r="BW432" i="4"/>
  <c r="BW409" i="4"/>
  <c r="BW392" i="4"/>
  <c r="BW373" i="4"/>
  <c r="BW346" i="4"/>
  <c r="BW325" i="4"/>
  <c r="BW305" i="4"/>
  <c r="BW285" i="4"/>
  <c r="BW261" i="4"/>
  <c r="BW240" i="4"/>
  <c r="BW220" i="4"/>
  <c r="BW196" i="4"/>
  <c r="BW168" i="4"/>
  <c r="BW145" i="4"/>
  <c r="BW95" i="4"/>
  <c r="BW77" i="4"/>
  <c r="BV590" i="4"/>
  <c r="BV308" i="4"/>
  <c r="BV597" i="4"/>
  <c r="BV556" i="4"/>
  <c r="BV511" i="4"/>
  <c r="BV473" i="4"/>
  <c r="BV561" i="4"/>
  <c r="BV413" i="4"/>
  <c r="BV391" i="4"/>
  <c r="BV368" i="4"/>
  <c r="BV338" i="4"/>
  <c r="BV313" i="4"/>
  <c r="BV289" i="4"/>
  <c r="BV265" i="4"/>
  <c r="BV216" i="4"/>
  <c r="BV166" i="4"/>
  <c r="BV140" i="4"/>
  <c r="BV93" i="4"/>
  <c r="BV73" i="4"/>
  <c r="BW150" i="4"/>
  <c r="BW459" i="4"/>
  <c r="BW581" i="4"/>
  <c r="BW571" i="4"/>
  <c r="BW517" i="4"/>
  <c r="BW495" i="4"/>
  <c r="BW472" i="4"/>
  <c r="BW452" i="4"/>
  <c r="BW426" i="4"/>
  <c r="BW408" i="4"/>
  <c r="BW391" i="4"/>
  <c r="BW369" i="4"/>
  <c r="BW342" i="4"/>
  <c r="BW324" i="4"/>
  <c r="BW303" i="4"/>
  <c r="BW276" i="4"/>
  <c r="BW260" i="4"/>
  <c r="BW195" i="4"/>
  <c r="BW167" i="4"/>
  <c r="BW137" i="4"/>
  <c r="BW117" i="4"/>
  <c r="BW94" i="4"/>
  <c r="BW71" i="4"/>
  <c r="BV139" i="4"/>
  <c r="BV349" i="4"/>
  <c r="BV551" i="4"/>
  <c r="BV502" i="4"/>
  <c r="BV411" i="4"/>
  <c r="BV362" i="4"/>
  <c r="BV311" i="4"/>
  <c r="BV285" i="4"/>
  <c r="BV236" i="4"/>
  <c r="BV212" i="4"/>
  <c r="BV189" i="4"/>
  <c r="BV163" i="4"/>
  <c r="BV135" i="4"/>
  <c r="BV113" i="4"/>
  <c r="BV69" i="4"/>
  <c r="BW248" i="4"/>
  <c r="BW290" i="4"/>
  <c r="BW367" i="4"/>
  <c r="BW630" i="4"/>
  <c r="BW585" i="4"/>
  <c r="BW586" i="4"/>
  <c r="BW537" i="4"/>
  <c r="BW516" i="4"/>
  <c r="BW490" i="4"/>
  <c r="BW473" i="4"/>
  <c r="BW444" i="4"/>
  <c r="BW425" i="4"/>
  <c r="BW407" i="4"/>
  <c r="BW364" i="4"/>
  <c r="BW341" i="4"/>
  <c r="BW323" i="4"/>
  <c r="BW297" i="4"/>
  <c r="BW258" i="4"/>
  <c r="BW236" i="4"/>
  <c r="BW213" i="4"/>
  <c r="BW166" i="4"/>
  <c r="BW136" i="4"/>
  <c r="BW111" i="4"/>
  <c r="BW93" i="4"/>
  <c r="BW70" i="4"/>
  <c r="BV525" i="4"/>
  <c r="BV459" i="4"/>
  <c r="BV589" i="4"/>
  <c r="BV495" i="4"/>
  <c r="BV432" i="4"/>
  <c r="BV407" i="4"/>
  <c r="BV387" i="4"/>
  <c r="BV359" i="4"/>
  <c r="BV331" i="4"/>
  <c r="BV309" i="4"/>
  <c r="BV282" i="4"/>
  <c r="BV258" i="4"/>
  <c r="BV233" i="4"/>
  <c r="BV183" i="4"/>
  <c r="BV161" i="4"/>
  <c r="BV109" i="4"/>
  <c r="BV89" i="4"/>
  <c r="BW157" i="4"/>
  <c r="BW293" i="4"/>
  <c r="BW466" i="4"/>
  <c r="BW700" i="4"/>
  <c r="BW583" i="4"/>
  <c r="BW566" i="4"/>
  <c r="BW536" i="4"/>
  <c r="BW513" i="4"/>
  <c r="BW489" i="4"/>
  <c r="BW463" i="4"/>
  <c r="BW446" i="4"/>
  <c r="BW569" i="4"/>
  <c r="BW405" i="4"/>
  <c r="BW363" i="4"/>
  <c r="BW340" i="4"/>
  <c r="BW315" i="4"/>
  <c r="BW296" i="4"/>
  <c r="BW275" i="4"/>
  <c r="BW256" i="4"/>
  <c r="BW212" i="4"/>
  <c r="BW184" i="4"/>
  <c r="BW158" i="4"/>
  <c r="BW135" i="4"/>
  <c r="BW110" i="4"/>
  <c r="BW87" i="4"/>
  <c r="BW69" i="4"/>
  <c r="BV357" i="4"/>
  <c r="BW603" i="4"/>
  <c r="BW322" i="4"/>
  <c r="BW550" i="4"/>
  <c r="BW580" i="4"/>
  <c r="BW401" i="4"/>
  <c r="BW334" i="4"/>
  <c r="BW251" i="4"/>
  <c r="BW205" i="4"/>
  <c r="BW129" i="4"/>
  <c r="BW63" i="4"/>
  <c r="BV187" i="4"/>
  <c r="BV532" i="4"/>
  <c r="BV701" i="4"/>
  <c r="BV533" i="4"/>
  <c r="BV484" i="4"/>
  <c r="BV456" i="4"/>
  <c r="BV569" i="4"/>
  <c r="BV403" i="4"/>
  <c r="BV381" i="4"/>
  <c r="BV353" i="4"/>
  <c r="BV327" i="4"/>
  <c r="BV301" i="4"/>
  <c r="BV275" i="4"/>
  <c r="BV254" i="4"/>
  <c r="BV227" i="4"/>
  <c r="BV203" i="4"/>
  <c r="BV178" i="4"/>
  <c r="BV126" i="4"/>
  <c r="BV61" i="4"/>
  <c r="BW615" i="4"/>
  <c r="BW187" i="4"/>
  <c r="BW351" i="4"/>
  <c r="BW610" i="4"/>
  <c r="BW597" i="4"/>
  <c r="BW562" i="4"/>
  <c r="BW554" i="4"/>
  <c r="BW533" i="4"/>
  <c r="BW508" i="4"/>
  <c r="BW481" i="4"/>
  <c r="BW561" i="4"/>
  <c r="BW417" i="4"/>
  <c r="BW400" i="4"/>
  <c r="BW382" i="4"/>
  <c r="BW355" i="4"/>
  <c r="BW333" i="4"/>
  <c r="BW313" i="4"/>
  <c r="BW292" i="4"/>
  <c r="BW250" i="4"/>
  <c r="BW229" i="4"/>
  <c r="BW204" i="4"/>
  <c r="BW176" i="4"/>
  <c r="BW155" i="4"/>
  <c r="BW127" i="4"/>
  <c r="BW85" i="4"/>
  <c r="BW62" i="4"/>
  <c r="BX185" i="4"/>
  <c r="BW185" i="4"/>
  <c r="BX503" i="4"/>
  <c r="BW503" i="4"/>
  <c r="BX708" i="4"/>
  <c r="BW708" i="4"/>
  <c r="BX414" i="4"/>
  <c r="BW414" i="4"/>
  <c r="BX302" i="4"/>
  <c r="BW302" i="4"/>
  <c r="BX283" i="4"/>
  <c r="BW283" i="4"/>
  <c r="BX274" i="4"/>
  <c r="BW274" i="4"/>
  <c r="BX228" i="4"/>
  <c r="BW228" i="4"/>
  <c r="BX219" i="4"/>
  <c r="BW219" i="4"/>
  <c r="BX209" i="4"/>
  <c r="BW209" i="4"/>
  <c r="BX202" i="4"/>
  <c r="BW202" i="4"/>
  <c r="BX193" i="4"/>
  <c r="BW193" i="4"/>
  <c r="BX173" i="4"/>
  <c r="BW173" i="4"/>
  <c r="BX164" i="4"/>
  <c r="BW164" i="4"/>
  <c r="BX154" i="4"/>
  <c r="BW154" i="4"/>
  <c r="BX144" i="4"/>
  <c r="BW144" i="4"/>
  <c r="BX134" i="4"/>
  <c r="BW134" i="4"/>
  <c r="BX124" i="4"/>
  <c r="BW124" i="4"/>
  <c r="BX116" i="4"/>
  <c r="BW116" i="4"/>
  <c r="BX100" i="4"/>
  <c r="BW100" i="4"/>
  <c r="BX92" i="4"/>
  <c r="BW92" i="4"/>
  <c r="BX84" i="4"/>
  <c r="BW84" i="4"/>
  <c r="BX76" i="4"/>
  <c r="BW76" i="4"/>
  <c r="BX68" i="4"/>
  <c r="BW68" i="4"/>
  <c r="BX60" i="4"/>
  <c r="BW60" i="4"/>
  <c r="BX52" i="4"/>
  <c r="BW52" i="4"/>
  <c r="BX44" i="4"/>
  <c r="BW44" i="4"/>
  <c r="BX36" i="4"/>
  <c r="BW36" i="4"/>
  <c r="BX28" i="4"/>
  <c r="BW28" i="4"/>
  <c r="BX20" i="4"/>
  <c r="BW20" i="4"/>
  <c r="BX12" i="4"/>
  <c r="BW12" i="4"/>
  <c r="BX4" i="4"/>
  <c r="BW4" i="4"/>
  <c r="BV160" i="4"/>
  <c r="BV252" i="4"/>
  <c r="BV332" i="4"/>
  <c r="BV494" i="4"/>
  <c r="BV579" i="4"/>
  <c r="BV706" i="4"/>
  <c r="BV567" i="4"/>
  <c r="BV544" i="4"/>
  <c r="BV526" i="4"/>
  <c r="BV488" i="4"/>
  <c r="BX375" i="4"/>
  <c r="BW375" i="4"/>
  <c r="BX442" i="4"/>
  <c r="BW442" i="4"/>
  <c r="BX572" i="4"/>
  <c r="BW572" i="4"/>
  <c r="BX524" i="4"/>
  <c r="BW524" i="4"/>
  <c r="BX479" i="4"/>
  <c r="BW479" i="4"/>
  <c r="BX431" i="4"/>
  <c r="BW431" i="4"/>
  <c r="BX294" i="4"/>
  <c r="BW294" i="4"/>
  <c r="BX201" i="4"/>
  <c r="BW201" i="4"/>
  <c r="BX192" i="4"/>
  <c r="BW192" i="4"/>
  <c r="BX181" i="4"/>
  <c r="BW181" i="4"/>
  <c r="BX172" i="4"/>
  <c r="BW172" i="4"/>
  <c r="BX153" i="4"/>
  <c r="BW153" i="4"/>
  <c r="BX143" i="4"/>
  <c r="BW143" i="4"/>
  <c r="BX133" i="4"/>
  <c r="BW133" i="4"/>
  <c r="BX123" i="4"/>
  <c r="BW123" i="4"/>
  <c r="BX115" i="4"/>
  <c r="BW115" i="4"/>
  <c r="BX99" i="4"/>
  <c r="BW99" i="4"/>
  <c r="BX91" i="4"/>
  <c r="BW91" i="4"/>
  <c r="BX83" i="4"/>
  <c r="BW83" i="4"/>
  <c r="BX75" i="4"/>
  <c r="BW75" i="4"/>
  <c r="BX67" i="4"/>
  <c r="BW67" i="4"/>
  <c r="BX59" i="4"/>
  <c r="BW59" i="4"/>
  <c r="BX51" i="4"/>
  <c r="BW51" i="4"/>
  <c r="BX43" i="4"/>
  <c r="BW43" i="4"/>
  <c r="BX35" i="4"/>
  <c r="BW35" i="4"/>
  <c r="BX27" i="4"/>
  <c r="BW27" i="4"/>
  <c r="BX19" i="4"/>
  <c r="BW19" i="4"/>
  <c r="BX11" i="4"/>
  <c r="BW11" i="4"/>
  <c r="BX3" i="4"/>
  <c r="BW3" i="4"/>
  <c r="BV503" i="4"/>
  <c r="BV708" i="4"/>
  <c r="BV524" i="4"/>
  <c r="BV431" i="4"/>
  <c r="BV414" i="4"/>
  <c r="BV302" i="4"/>
  <c r="BV283" i="4"/>
  <c r="BV228" i="4"/>
  <c r="BV209" i="4"/>
  <c r="BV193" i="4"/>
  <c r="BV173" i="4"/>
  <c r="BV154" i="4"/>
  <c r="BV134" i="4"/>
  <c r="BV116" i="4"/>
  <c r="BV100" i="4"/>
  <c r="BV84" i="4"/>
  <c r="BV68" i="4"/>
  <c r="BV52" i="4"/>
  <c r="BV36" i="4"/>
  <c r="BV20" i="4"/>
  <c r="BV4" i="4"/>
  <c r="BW163" i="4"/>
  <c r="BX179" i="4"/>
  <c r="BW179" i="4"/>
  <c r="BX211" i="4"/>
  <c r="BW211" i="4"/>
  <c r="BX499" i="4"/>
  <c r="BW499" i="4"/>
  <c r="BX506" i="4"/>
  <c r="BW506" i="4"/>
  <c r="BX470" i="4"/>
  <c r="BW470" i="4"/>
  <c r="BX558" i="4"/>
  <c r="BW558" i="4"/>
  <c r="BX398" i="4"/>
  <c r="BW398" i="4"/>
  <c r="BX371" i="4"/>
  <c r="BW371" i="4"/>
  <c r="BX348" i="4"/>
  <c r="BW348" i="4"/>
  <c r="BX237" i="4"/>
  <c r="BW237" i="4"/>
  <c r="BX347" i="4"/>
  <c r="BW347" i="4"/>
  <c r="BV347" i="4"/>
  <c r="BX277" i="4"/>
  <c r="BW277" i="4"/>
  <c r="BV277" i="4"/>
  <c r="BX611" i="4"/>
  <c r="BW611" i="4"/>
  <c r="BV611" i="4"/>
  <c r="BX564" i="4"/>
  <c r="BW564" i="4"/>
  <c r="BV564" i="4"/>
  <c r="BX705" i="4"/>
  <c r="BW705" i="4"/>
  <c r="BV705" i="4"/>
  <c r="BX576" i="4"/>
  <c r="BW576" i="4"/>
  <c r="BV576" i="4"/>
  <c r="BX549" i="4"/>
  <c r="BW549" i="4"/>
  <c r="BV549" i="4"/>
  <c r="BX522" i="4"/>
  <c r="BW522" i="4"/>
  <c r="BV522" i="4"/>
  <c r="BX493" i="4"/>
  <c r="BW493" i="4"/>
  <c r="BV493" i="4"/>
  <c r="BX560" i="4"/>
  <c r="BW560" i="4"/>
  <c r="BV560" i="4"/>
  <c r="BX421" i="4"/>
  <c r="BW421" i="4"/>
  <c r="BV421" i="4"/>
  <c r="BX404" i="4"/>
  <c r="BW404" i="4"/>
  <c r="BV404" i="4"/>
  <c r="BX345" i="4"/>
  <c r="BW345" i="4"/>
  <c r="BV345" i="4"/>
  <c r="BX318" i="4"/>
  <c r="BW318" i="4"/>
  <c r="BV318" i="4"/>
  <c r="BX291" i="4"/>
  <c r="BW291" i="4"/>
  <c r="BV291" i="4"/>
  <c r="BX263" i="4"/>
  <c r="BW263" i="4"/>
  <c r="BV263" i="4"/>
  <c r="BX235" i="4"/>
  <c r="BW235" i="4"/>
  <c r="BV235" i="4"/>
  <c r="BX208" i="4"/>
  <c r="BW208" i="4"/>
  <c r="BV208" i="4"/>
  <c r="BX180" i="4"/>
  <c r="BW180" i="4"/>
  <c r="BV180" i="4"/>
  <c r="BX152" i="4"/>
  <c r="BW152" i="4"/>
  <c r="BV152" i="4"/>
  <c r="BX122" i="4"/>
  <c r="BW122" i="4"/>
  <c r="BV122" i="4"/>
  <c r="BX98" i="4"/>
  <c r="BW98" i="4"/>
  <c r="BV98" i="4"/>
  <c r="BX74" i="4"/>
  <c r="BW74" i="4"/>
  <c r="BV74" i="4"/>
  <c r="BX18" i="4"/>
  <c r="BW18" i="4"/>
  <c r="BV18" i="4"/>
  <c r="BV165" i="4"/>
  <c r="BV617" i="4"/>
  <c r="BV577" i="4"/>
  <c r="BV486" i="4"/>
  <c r="BV450" i="4"/>
  <c r="BW160" i="4"/>
  <c r="BW252" i="4"/>
  <c r="BW332" i="4"/>
  <c r="BW494" i="4"/>
  <c r="BW579" i="4"/>
  <c r="BW706" i="4"/>
  <c r="BW567" i="4"/>
  <c r="BW544" i="4"/>
  <c r="BW526" i="4"/>
  <c r="BW488" i="4"/>
  <c r="BW619" i="4"/>
  <c r="BW190" i="4"/>
  <c r="BW165" i="4"/>
  <c r="BW234" i="4"/>
  <c r="BW361" i="4"/>
  <c r="BW617" i="4"/>
  <c r="BW591" i="4"/>
  <c r="BW577" i="4"/>
  <c r="BW703" i="4"/>
  <c r="BW523" i="4"/>
  <c r="BW505" i="4"/>
  <c r="BW486" i="4"/>
  <c r="BW450" i="4"/>
  <c r="BW430" i="4"/>
  <c r="BW413" i="4"/>
  <c r="BW397" i="4"/>
  <c r="BW381" i="4"/>
  <c r="BW359" i="4"/>
  <c r="BW338" i="4"/>
  <c r="BW320" i="4"/>
  <c r="BW301" i="4"/>
  <c r="BW282" i="4"/>
  <c r="BW265" i="4"/>
  <c r="BW246" i="4"/>
  <c r="BW227" i="4"/>
  <c r="BX257" i="4"/>
  <c r="BW257" i="4"/>
  <c r="BX584" i="4"/>
  <c r="BW584" i="4"/>
  <c r="BX487" i="4"/>
  <c r="BW487" i="4"/>
  <c r="BX451" i="4"/>
  <c r="BW451" i="4"/>
  <c r="BX406" i="4"/>
  <c r="BW406" i="4"/>
  <c r="BX360" i="4"/>
  <c r="BW360" i="4"/>
  <c r="BX321" i="4"/>
  <c r="BW321" i="4"/>
  <c r="BX266" i="4"/>
  <c r="BW266" i="4"/>
  <c r="BX445" i="4"/>
  <c r="BW445" i="4"/>
  <c r="BV445" i="4"/>
  <c r="BX304" i="4"/>
  <c r="BW304" i="4"/>
  <c r="BV304" i="4"/>
  <c r="BX471" i="4"/>
  <c r="BW471" i="4"/>
  <c r="BV471" i="4"/>
  <c r="BX596" i="4"/>
  <c r="BW596" i="4"/>
  <c r="BV596" i="4"/>
  <c r="BX504" i="4"/>
  <c r="BW504" i="4"/>
  <c r="BV504" i="4"/>
  <c r="BX477" i="4"/>
  <c r="BW477" i="4"/>
  <c r="BV477" i="4"/>
  <c r="BX449" i="4"/>
  <c r="BW449" i="4"/>
  <c r="BV449" i="4"/>
  <c r="BX412" i="4"/>
  <c r="BW412" i="4"/>
  <c r="BV412" i="4"/>
  <c r="BX396" i="4"/>
  <c r="BW396" i="4"/>
  <c r="BV396" i="4"/>
  <c r="BX370" i="4"/>
  <c r="BW370" i="4"/>
  <c r="BV370" i="4"/>
  <c r="BX337" i="4"/>
  <c r="BW337" i="4"/>
  <c r="BV337" i="4"/>
  <c r="BX310" i="4"/>
  <c r="BW310" i="4"/>
  <c r="BV310" i="4"/>
  <c r="BX281" i="4"/>
  <c r="BW281" i="4"/>
  <c r="BV281" i="4"/>
  <c r="BX255" i="4"/>
  <c r="BW255" i="4"/>
  <c r="BV255" i="4"/>
  <c r="BX191" i="4"/>
  <c r="BW191" i="4"/>
  <c r="BV191" i="4"/>
  <c r="BX142" i="4"/>
  <c r="BW142" i="4"/>
  <c r="BV142" i="4"/>
  <c r="BX114" i="4"/>
  <c r="BW114" i="4"/>
  <c r="BV114" i="4"/>
  <c r="BX90" i="4"/>
  <c r="BW90" i="4"/>
  <c r="BV90" i="4"/>
  <c r="BX66" i="4"/>
  <c r="BW66" i="4"/>
  <c r="BV66" i="4"/>
  <c r="BX42" i="4"/>
  <c r="BW42" i="4"/>
  <c r="BV42" i="4"/>
  <c r="BX26" i="4"/>
  <c r="BW26" i="4"/>
  <c r="BV26" i="4"/>
  <c r="BX10" i="4"/>
  <c r="BW10" i="4"/>
  <c r="BV10" i="4"/>
  <c r="BV619" i="4"/>
  <c r="BV361" i="4"/>
  <c r="BV703" i="4"/>
  <c r="BV523" i="4"/>
  <c r="BV430" i="4"/>
  <c r="BX125" i="4"/>
  <c r="BW125" i="4"/>
  <c r="BV125" i="4"/>
  <c r="BX457" i="4"/>
  <c r="BW457" i="4"/>
  <c r="BV457" i="4"/>
  <c r="BX372" i="4"/>
  <c r="BW372" i="4"/>
  <c r="BV372" i="4"/>
  <c r="BX420" i="4"/>
  <c r="BW420" i="4"/>
  <c r="BV420" i="4"/>
  <c r="BX540" i="4"/>
  <c r="BW540" i="4"/>
  <c r="BV540" i="4"/>
  <c r="BX600" i="4"/>
  <c r="BW600" i="4"/>
  <c r="BV600" i="4"/>
  <c r="BX588" i="4"/>
  <c r="BW588" i="4"/>
  <c r="BV588" i="4"/>
  <c r="BX557" i="4"/>
  <c r="BW557" i="4"/>
  <c r="BV557" i="4"/>
  <c r="BX529" i="4"/>
  <c r="BW529" i="4"/>
  <c r="BV529" i="4"/>
  <c r="BX510" i="4"/>
  <c r="BW510" i="4"/>
  <c r="BV510" i="4"/>
  <c r="BX475" i="4"/>
  <c r="BW475" i="4"/>
  <c r="BV475" i="4"/>
  <c r="BX455" i="4"/>
  <c r="BW455" i="4"/>
  <c r="BV455" i="4"/>
  <c r="BX435" i="4"/>
  <c r="BW435" i="4"/>
  <c r="BV435" i="4"/>
  <c r="BX418" i="4"/>
  <c r="BW418" i="4"/>
  <c r="BV418" i="4"/>
  <c r="BX402" i="4"/>
  <c r="BW402" i="4"/>
  <c r="BV402" i="4"/>
  <c r="BX386" i="4"/>
  <c r="BW386" i="4"/>
  <c r="BV386" i="4"/>
  <c r="BX366" i="4"/>
  <c r="BW366" i="4"/>
  <c r="BV366" i="4"/>
  <c r="BX343" i="4"/>
  <c r="BW343" i="4"/>
  <c r="BV343" i="4"/>
  <c r="BX326" i="4"/>
  <c r="BW326" i="4"/>
  <c r="BV326" i="4"/>
  <c r="BX307" i="4"/>
  <c r="BW307" i="4"/>
  <c r="BV307" i="4"/>
  <c r="BX269" i="4"/>
  <c r="BW269" i="4"/>
  <c r="BV269" i="4"/>
  <c r="BX253" i="4"/>
  <c r="BW253" i="4"/>
  <c r="BV253" i="4"/>
  <c r="BX232" i="4"/>
  <c r="BW232" i="4"/>
  <c r="BV232" i="4"/>
  <c r="BX214" i="4"/>
  <c r="BW214" i="4"/>
  <c r="BV214" i="4"/>
  <c r="BX198" i="4"/>
  <c r="BW198" i="4"/>
  <c r="BV198" i="4"/>
  <c r="BX177" i="4"/>
  <c r="BW177" i="4"/>
  <c r="BV177" i="4"/>
  <c r="BX159" i="4"/>
  <c r="BW159" i="4"/>
  <c r="BV159" i="4"/>
  <c r="BX138" i="4"/>
  <c r="BW138" i="4"/>
  <c r="BV138" i="4"/>
  <c r="BX120" i="4"/>
  <c r="BW120" i="4"/>
  <c r="BV120" i="4"/>
  <c r="BX88" i="4"/>
  <c r="BW88" i="4"/>
  <c r="BV88" i="4"/>
  <c r="BX72" i="4"/>
  <c r="BW72" i="4"/>
  <c r="BV72" i="4"/>
  <c r="BX56" i="4"/>
  <c r="BW56" i="4"/>
  <c r="BV56" i="4"/>
  <c r="BW40" i="4"/>
  <c r="BX40" i="4"/>
  <c r="BV40" i="4"/>
  <c r="BW32" i="4"/>
  <c r="BX32" i="4"/>
  <c r="BV32" i="4"/>
  <c r="BW24" i="4"/>
  <c r="BX24" i="4"/>
  <c r="BV24" i="4"/>
  <c r="BW16" i="4"/>
  <c r="BX16" i="4"/>
  <c r="BV16" i="4"/>
  <c r="BV128" i="4"/>
  <c r="BV515" i="4"/>
  <c r="BV290" i="4"/>
  <c r="BV365" i="4"/>
  <c r="BV609" i="4"/>
  <c r="BV632" i="4"/>
  <c r="BV585" i="4"/>
  <c r="BV631" i="4"/>
  <c r="BV553" i="4"/>
  <c r="BV516" i="4"/>
  <c r="BV497" i="4"/>
  <c r="BX2" i="4"/>
  <c r="BW2" i="4"/>
  <c r="BV2" i="4"/>
  <c r="BX612" i="4"/>
  <c r="BW612" i="4"/>
  <c r="BX616" i="4"/>
  <c r="BW616" i="4"/>
  <c r="BX592" i="4"/>
  <c r="BW592" i="4"/>
  <c r="BX543" i="4"/>
  <c r="BW543" i="4"/>
  <c r="BX496" i="4"/>
  <c r="BW496" i="4"/>
  <c r="BX441" i="4"/>
  <c r="BW441" i="4"/>
  <c r="BX390" i="4"/>
  <c r="BW390" i="4"/>
  <c r="BX330" i="4"/>
  <c r="BW330" i="4"/>
  <c r="BX247" i="4"/>
  <c r="BW247" i="4"/>
  <c r="BX618" i="4"/>
  <c r="BW618" i="4"/>
  <c r="BV618" i="4"/>
  <c r="BX194" i="4"/>
  <c r="BW194" i="4"/>
  <c r="BV194" i="4"/>
  <c r="BX350" i="4"/>
  <c r="BW350" i="4"/>
  <c r="BV350" i="4"/>
  <c r="BX602" i="4"/>
  <c r="BW602" i="4"/>
  <c r="BV602" i="4"/>
  <c r="BX541" i="4"/>
  <c r="BW541" i="4"/>
  <c r="BV541" i="4"/>
  <c r="BX485" i="4"/>
  <c r="BW485" i="4"/>
  <c r="BV485" i="4"/>
  <c r="BX458" i="4"/>
  <c r="BW458" i="4"/>
  <c r="BV458" i="4"/>
  <c r="BX429" i="4"/>
  <c r="BW429" i="4"/>
  <c r="BV429" i="4"/>
  <c r="BX358" i="4"/>
  <c r="BW358" i="4"/>
  <c r="BV358" i="4"/>
  <c r="BX328" i="4"/>
  <c r="BW328" i="4"/>
  <c r="BV328" i="4"/>
  <c r="BX300" i="4"/>
  <c r="BW300" i="4"/>
  <c r="BV300" i="4"/>
  <c r="BX272" i="4"/>
  <c r="BW272" i="4"/>
  <c r="BV272" i="4"/>
  <c r="BX244" i="4"/>
  <c r="BW244" i="4"/>
  <c r="BV244" i="4"/>
  <c r="BX217" i="4"/>
  <c r="BW217" i="4"/>
  <c r="BV217" i="4"/>
  <c r="BX162" i="4"/>
  <c r="BW162" i="4"/>
  <c r="BV162" i="4"/>
  <c r="BX132" i="4"/>
  <c r="BW132" i="4"/>
  <c r="BV132" i="4"/>
  <c r="BX82" i="4"/>
  <c r="BW82" i="4"/>
  <c r="BV82" i="4"/>
  <c r="BX58" i="4"/>
  <c r="BW58" i="4"/>
  <c r="BV58" i="4"/>
  <c r="BX50" i="4"/>
  <c r="BW50" i="4"/>
  <c r="BV50" i="4"/>
  <c r="BX34" i="4"/>
  <c r="BW34" i="4"/>
  <c r="BV34" i="4"/>
  <c r="BV190" i="4"/>
  <c r="BV234" i="4"/>
  <c r="BV591" i="4"/>
  <c r="BV505" i="4"/>
  <c r="BX141" i="4"/>
  <c r="BW141" i="4"/>
  <c r="BV141" i="4"/>
  <c r="BX224" i="4"/>
  <c r="BW224" i="4"/>
  <c r="BV224" i="4"/>
  <c r="BX317" i="4"/>
  <c r="BW317" i="4"/>
  <c r="BV317" i="4"/>
  <c r="BX464" i="4"/>
  <c r="BW464" i="4"/>
  <c r="BV464" i="4"/>
  <c r="BX594" i="4"/>
  <c r="BW594" i="4"/>
  <c r="BV594" i="4"/>
  <c r="BX702" i="4"/>
  <c r="BW702" i="4"/>
  <c r="BV702" i="4"/>
  <c r="BX568" i="4"/>
  <c r="BW568" i="4"/>
  <c r="BV568" i="4"/>
  <c r="BX547" i="4"/>
  <c r="BW547" i="4"/>
  <c r="BV547" i="4"/>
  <c r="BX538" i="4"/>
  <c r="BW538" i="4"/>
  <c r="BV538" i="4"/>
  <c r="BX520" i="4"/>
  <c r="BW520" i="4"/>
  <c r="BV520" i="4"/>
  <c r="BX482" i="4"/>
  <c r="BW482" i="4"/>
  <c r="BV482" i="4"/>
  <c r="BX447" i="4"/>
  <c r="BW447" i="4"/>
  <c r="BV447" i="4"/>
  <c r="BX427" i="4"/>
  <c r="BW427" i="4"/>
  <c r="BV427" i="4"/>
  <c r="BX410" i="4"/>
  <c r="BW410" i="4"/>
  <c r="BV410" i="4"/>
  <c r="BX394" i="4"/>
  <c r="BW394" i="4"/>
  <c r="BV394" i="4"/>
  <c r="BX378" i="4"/>
  <c r="BW378" i="4"/>
  <c r="BV378" i="4"/>
  <c r="BX356" i="4"/>
  <c r="BW356" i="4"/>
  <c r="BV356" i="4"/>
  <c r="BX335" i="4"/>
  <c r="BW335" i="4"/>
  <c r="BV335" i="4"/>
  <c r="BX316" i="4"/>
  <c r="BW316" i="4"/>
  <c r="BV316" i="4"/>
  <c r="BX298" i="4"/>
  <c r="BW298" i="4"/>
  <c r="BV298" i="4"/>
  <c r="BX279" i="4"/>
  <c r="BW279" i="4"/>
  <c r="BV279" i="4"/>
  <c r="BX262" i="4"/>
  <c r="BW262" i="4"/>
  <c r="BV262" i="4"/>
  <c r="BX223" i="4"/>
  <c r="BW223" i="4"/>
  <c r="BV223" i="4"/>
  <c r="BX206" i="4"/>
  <c r="BW206" i="4"/>
  <c r="BV206" i="4"/>
  <c r="BX188" i="4"/>
  <c r="BW188" i="4"/>
  <c r="BV188" i="4"/>
  <c r="BX169" i="4"/>
  <c r="BW169" i="4"/>
  <c r="BV169" i="4"/>
  <c r="BX149" i="4"/>
  <c r="BW149" i="4"/>
  <c r="BV149" i="4"/>
  <c r="BX130" i="4"/>
  <c r="BW130" i="4"/>
  <c r="BV130" i="4"/>
  <c r="BX112" i="4"/>
  <c r="BW112" i="4"/>
  <c r="BV112" i="4"/>
  <c r="BX96" i="4"/>
  <c r="BW96" i="4"/>
  <c r="BV96" i="4"/>
  <c r="BX80" i="4"/>
  <c r="BW80" i="4"/>
  <c r="BV80" i="4"/>
  <c r="BX64" i="4"/>
  <c r="BW64" i="4"/>
  <c r="BV64" i="4"/>
  <c r="BW48" i="4"/>
  <c r="BX48" i="4"/>
  <c r="BV48" i="4"/>
  <c r="BW8" i="4"/>
  <c r="BX8" i="4"/>
  <c r="BV8" i="4"/>
  <c r="BV375" i="4"/>
  <c r="BV185" i="4"/>
  <c r="BV612" i="4"/>
  <c r="BV442" i="4"/>
  <c r="BV499" i="4"/>
  <c r="BV584" i="4"/>
  <c r="BV572" i="4"/>
  <c r="BV496" i="4"/>
  <c r="BV479" i="4"/>
  <c r="BV441" i="4"/>
  <c r="BV558" i="4"/>
  <c r="BV406" i="4"/>
  <c r="BV390" i="4"/>
  <c r="BV371" i="4"/>
  <c r="BV348" i="4"/>
  <c r="BV330" i="4"/>
  <c r="BV294" i="4"/>
  <c r="BV274" i="4"/>
  <c r="BV237" i="4"/>
  <c r="BV219" i="4"/>
  <c r="BV202" i="4"/>
  <c r="BV164" i="4"/>
  <c r="BV144" i="4"/>
  <c r="BV124" i="4"/>
  <c r="BV92" i="4"/>
  <c r="BV76" i="4"/>
  <c r="BV60" i="4"/>
  <c r="BV44" i="4"/>
  <c r="BV28" i="4"/>
  <c r="BV12" i="4"/>
  <c r="BW49" i="4"/>
  <c r="BX49" i="4"/>
  <c r="BW41" i="4"/>
  <c r="BX41" i="4"/>
  <c r="BW33" i="4"/>
  <c r="BX33" i="4"/>
  <c r="BW25" i="4"/>
  <c r="BX25" i="4"/>
  <c r="BW17" i="4"/>
  <c r="BX17" i="4"/>
  <c r="BW9" i="4"/>
  <c r="BX9" i="4"/>
  <c r="BX55" i="4"/>
  <c r="BW55" i="4"/>
  <c r="BX47" i="4"/>
  <c r="BW47" i="4"/>
  <c r="BX39" i="4"/>
  <c r="BW39" i="4"/>
  <c r="BX31" i="4"/>
  <c r="BW31" i="4"/>
  <c r="BX23" i="4"/>
  <c r="BW23" i="4"/>
  <c r="BX15" i="4"/>
  <c r="BW15" i="4"/>
  <c r="BX7" i="4"/>
  <c r="BW7" i="4"/>
  <c r="BX54" i="4"/>
  <c r="BW54" i="4"/>
  <c r="BX46" i="4"/>
  <c r="BW46" i="4"/>
  <c r="BX38" i="4"/>
  <c r="BW38" i="4"/>
  <c r="BX30" i="4"/>
  <c r="BW30" i="4"/>
  <c r="BX22" i="4"/>
  <c r="BW22" i="4"/>
  <c r="BX14" i="4"/>
  <c r="BW14" i="4"/>
  <c r="BX6" i="4"/>
  <c r="BW6" i="4"/>
  <c r="BV603" i="4"/>
  <c r="BV146" i="4"/>
  <c r="BV248" i="4"/>
  <c r="BV238" i="4"/>
  <c r="BV614" i="4"/>
  <c r="BV322" i="4"/>
  <c r="BV436" i="4"/>
  <c r="BV367" i="4"/>
  <c r="BV550" i="4"/>
  <c r="BV607" i="4"/>
  <c r="BV630" i="4"/>
  <c r="BV599" i="4"/>
  <c r="BV580" i="4"/>
  <c r="BV586" i="4"/>
  <c r="BV545" i="4"/>
  <c r="BV537" i="4"/>
  <c r="BV528" i="4"/>
  <c r="BV500" i="4"/>
  <c r="BV490" i="4"/>
  <c r="BV474" i="4"/>
  <c r="BV463" i="4"/>
  <c r="BV454" i="4"/>
  <c r="BV444" i="4"/>
  <c r="BV426" i="4"/>
  <c r="BV417" i="4"/>
  <c r="BV409" i="4"/>
  <c r="BV401" i="4"/>
  <c r="BV393" i="4"/>
  <c r="BV377" i="4"/>
  <c r="BV364" i="4"/>
  <c r="BV355" i="4"/>
  <c r="BV342" i="4"/>
  <c r="BV334" i="4"/>
  <c r="BV325" i="4"/>
  <c r="BV315" i="4"/>
  <c r="BV306" i="4"/>
  <c r="BV297" i="4"/>
  <c r="BV287" i="4"/>
  <c r="BV276" i="4"/>
  <c r="BV261" i="4"/>
  <c r="BV251" i="4"/>
  <c r="BV222" i="4"/>
  <c r="BV205" i="4"/>
  <c r="BV197" i="4"/>
  <c r="BV176" i="4"/>
  <c r="BV168" i="4"/>
  <c r="BV158" i="4"/>
  <c r="BV148" i="4"/>
  <c r="BV137" i="4"/>
  <c r="BV129" i="4"/>
  <c r="BV119" i="4"/>
  <c r="BV111" i="4"/>
  <c r="BV95" i="4"/>
  <c r="BV87" i="4"/>
  <c r="BV79" i="4"/>
  <c r="BV71" i="4"/>
  <c r="BV63" i="4"/>
  <c r="BV55" i="4"/>
  <c r="BV47" i="4"/>
  <c r="BV39" i="4"/>
  <c r="BV31" i="4"/>
  <c r="BV23" i="4"/>
  <c r="BV15" i="4"/>
  <c r="BV7" i="4"/>
  <c r="BW590" i="4"/>
  <c r="BW525" i="4"/>
  <c r="BW374" i="4"/>
  <c r="BW199" i="4"/>
  <c r="BW284" i="4"/>
  <c r="BW308" i="4"/>
  <c r="BW349" i="4"/>
  <c r="BW352" i="4"/>
  <c r="BW532" i="4"/>
  <c r="BW608" i="4"/>
  <c r="BW589" i="4"/>
  <c r="BW701" i="4"/>
  <c r="BW575" i="4"/>
  <c r="BW559" i="4"/>
  <c r="BW556" i="4"/>
  <c r="BW539" i="4"/>
  <c r="BW521" i="4"/>
  <c r="BW511" i="4"/>
  <c r="BW502" i="4"/>
  <c r="BW492" i="4"/>
  <c r="BW484" i="4"/>
  <c r="BW476" i="4"/>
  <c r="BW456" i="4"/>
  <c r="BW448" i="4"/>
  <c r="BW428" i="4"/>
  <c r="BW419" i="4"/>
  <c r="BW411" i="4"/>
  <c r="BW403" i="4"/>
  <c r="BW387" i="4"/>
  <c r="BW379" i="4"/>
  <c r="BW368" i="4"/>
  <c r="BW357" i="4"/>
  <c r="BW344" i="4"/>
  <c r="BW327" i="4"/>
  <c r="BW309" i="4"/>
  <c r="BW299" i="4"/>
  <c r="BW289" i="4"/>
  <c r="BW280" i="4"/>
  <c r="BW270" i="4"/>
  <c r="BW254" i="4"/>
  <c r="BW243" i="4"/>
  <c r="BW233" i="4"/>
  <c r="BW225" i="4"/>
  <c r="BW216" i="4"/>
  <c r="BW207" i="4"/>
  <c r="BW200" i="4"/>
  <c r="BW189" i="4"/>
  <c r="BW178" i="4"/>
  <c r="BW161" i="4"/>
  <c r="BW151" i="4"/>
  <c r="BW140" i="4"/>
  <c r="BW131" i="4"/>
  <c r="BW121" i="4"/>
  <c r="BW113" i="4"/>
  <c r="BW97" i="4"/>
  <c r="BW89" i="4"/>
  <c r="BW81" i="4"/>
  <c r="BW73" i="4"/>
  <c r="BW65" i="4"/>
  <c r="BW57" i="4"/>
  <c r="BX53" i="4"/>
  <c r="BW53" i="4"/>
  <c r="BX45" i="4"/>
  <c r="BW45" i="4"/>
  <c r="BX37" i="4"/>
  <c r="BW37" i="4"/>
  <c r="BX29" i="4"/>
  <c r="BW29" i="4"/>
  <c r="BX21" i="4"/>
  <c r="BW21" i="4"/>
  <c r="BX13" i="4"/>
  <c r="BW13" i="4"/>
  <c r="BX5" i="4"/>
  <c r="BW5" i="4"/>
  <c r="BV615" i="4"/>
  <c r="BV150" i="4"/>
  <c r="BV157" i="4"/>
  <c r="BV245" i="4"/>
  <c r="BV351" i="4"/>
  <c r="BV438" i="4"/>
  <c r="BV466" i="4"/>
  <c r="BV610" i="4"/>
  <c r="BV700" i="4"/>
  <c r="BV593" i="4"/>
  <c r="BV581" i="4"/>
  <c r="BV562" i="4"/>
  <c r="BV573" i="4"/>
  <c r="BV566" i="4"/>
  <c r="BV554" i="4"/>
  <c r="BV536" i="4"/>
  <c r="BV527" i="4"/>
  <c r="BV517" i="4"/>
  <c r="BV508" i="4"/>
  <c r="BV498" i="4"/>
  <c r="BV489" i="4"/>
  <c r="BV481" i="4"/>
  <c r="BV472" i="4"/>
  <c r="BV462" i="4"/>
  <c r="BV453" i="4"/>
  <c r="BV446" i="4"/>
  <c r="BV433" i="4"/>
  <c r="BV425" i="4"/>
  <c r="BV416" i="4"/>
  <c r="BV408" i="4"/>
  <c r="BV400" i="4"/>
  <c r="BV392" i="4"/>
  <c r="BV363" i="4"/>
  <c r="BV354" i="4"/>
  <c r="BV341" i="4"/>
  <c r="BV333" i="4"/>
  <c r="BV324" i="4"/>
  <c r="BV314" i="4"/>
  <c r="BV305" i="4"/>
  <c r="BV296" i="4"/>
  <c r="BV286" i="4"/>
  <c r="BV268" i="4"/>
  <c r="BV260" i="4"/>
  <c r="BV250" i="4"/>
  <c r="BV240" i="4"/>
  <c r="BV230" i="4"/>
  <c r="BV221" i="4"/>
  <c r="BV213" i="4"/>
  <c r="BV204" i="4"/>
  <c r="BV196" i="4"/>
  <c r="BV184" i="4"/>
  <c r="BV175" i="4"/>
  <c r="BV167" i="4"/>
  <c r="BV156" i="4"/>
  <c r="BV147" i="4"/>
  <c r="BV136" i="4"/>
  <c r="BV127" i="4"/>
  <c r="BV110" i="4"/>
  <c r="BV94" i="4"/>
  <c r="BV86" i="4"/>
  <c r="BV78" i="4"/>
  <c r="BV70" i="4"/>
  <c r="BV62" i="4"/>
  <c r="BV54" i="4"/>
  <c r="BV46" i="4"/>
  <c r="BV38" i="4"/>
  <c r="BV30" i="4"/>
  <c r="BV22" i="4"/>
  <c r="BV14" i="4"/>
  <c r="BV6" i="4"/>
</calcChain>
</file>

<file path=xl/sharedStrings.xml><?xml version="1.0" encoding="utf-8"?>
<sst xmlns="http://schemas.openxmlformats.org/spreadsheetml/2006/main" count="17601" uniqueCount="2475">
  <si>
    <t>UP_TRASPLANTA</t>
  </si>
  <si>
    <t>UP_ENLISTA</t>
  </si>
  <si>
    <t>NO_OPERATIVO</t>
  </si>
  <si>
    <t>ORGANO</t>
  </si>
  <si>
    <t>TIPO_DONANTE</t>
  </si>
  <si>
    <t>DONANTE CRITERIOS EXTENDIDOS</t>
  </si>
  <si>
    <t>GRUPO/RH_D</t>
  </si>
  <si>
    <t>FECHA_NAC_D</t>
  </si>
  <si>
    <t>EDAD_D</t>
  </si>
  <si>
    <t>REL_RECEPTOR</t>
  </si>
  <si>
    <t>NOMBRE</t>
  </si>
  <si>
    <t>PRIMER_APELLIDO</t>
  </si>
  <si>
    <t>SEGUNDO_APELLIDO</t>
  </si>
  <si>
    <t>CEDULA/ID</t>
  </si>
  <si>
    <t>FECHA_TRASPLANTE</t>
  </si>
  <si>
    <t>SEXO</t>
  </si>
  <si>
    <t>FECHA_NAC</t>
  </si>
  <si>
    <t>EDAD</t>
  </si>
  <si>
    <t>GRUPO/RH</t>
  </si>
  <si>
    <t>INGRESO_LE</t>
  </si>
  <si>
    <t>DIAGNSTICO</t>
  </si>
  <si>
    <t>TERAPIA_RENAL</t>
  </si>
  <si>
    <t>NACIONALIDAD</t>
  </si>
  <si>
    <t>PROVINCIA</t>
  </si>
  <si>
    <t>CANTON</t>
  </si>
  <si>
    <t>DISTRITO</t>
  </si>
  <si>
    <t>TIEMPO ISQUEMIA FRIA (HORAS)</t>
  </si>
  <si>
    <t>TIEMPO DE CIRUGÍA DE BANCO (MINUTOS)</t>
  </si>
  <si>
    <t>TIEMPO QUIRÚRGICO DEL TRASPLANTE (HORAS)</t>
  </si>
  <si>
    <t>ESTANCIA EN UCI/ DIAS</t>
  </si>
  <si>
    <t>FUNCIÓN RETARDADA DEL INJERTO (SI/N0)</t>
  </si>
  <si>
    <t>EVOLUCION RECEPTOR MENOR A 48H</t>
  </si>
  <si>
    <t>EVOLUCIÓN RECEPTOR A 1 MES</t>
  </si>
  <si>
    <t>EVOLUCIÓN RECEPTOR A 6 MESES</t>
  </si>
  <si>
    <t>EVOLUCIÓN RECEPTOR A  1 AÑO</t>
  </si>
  <si>
    <t>EVOLUCIÓN RECEPTOR A 3 AÑOS</t>
  </si>
  <si>
    <t>EVOLUCIÓN RECEPTOR A 5 AÑOS</t>
  </si>
  <si>
    <t>EVOLUCIÓN RECEPTOR A 10 AÑOS</t>
  </si>
  <si>
    <t>FALLECIDO SI/NO</t>
  </si>
  <si>
    <t>FECHA DE DEFUNCIÓN</t>
  </si>
  <si>
    <t>CAUSA MUERTE</t>
  </si>
  <si>
    <t>DEFUNCIÓN CON INJERTO FUNCIONAL SI/NO</t>
  </si>
  <si>
    <t>INJERTO FUNCIONAL A 1 MES</t>
  </si>
  <si>
    <t>INJERTO FUNCIONAL A 1 AÑO</t>
  </si>
  <si>
    <t>INJERTO FUNCIONAL A 3 AÑOS</t>
  </si>
  <si>
    <t>INJERTO FUNCIONAL A 5 AÑOS</t>
  </si>
  <si>
    <t>INJERTO FUNCIONAL A 1O AÑOS</t>
  </si>
  <si>
    <t>FECHA FALLO INJERTO</t>
  </si>
  <si>
    <t>CAUSA DE FALLO DE INJERTO</t>
  </si>
  <si>
    <t>DESENLACE</t>
  </si>
  <si>
    <t>RECHAZO AGUDO</t>
  </si>
  <si>
    <t>FECHA RECHAZO AGUDO</t>
  </si>
  <si>
    <t>TIPO DE INDUCCIÓN (BASILIXIMAB, TIMOGLOBULINA, AFERESIS + RITUXI)</t>
  </si>
  <si>
    <t>CREATININA SÉRICA A 1 AÑO POSTRASPLANTE</t>
  </si>
  <si>
    <t>TFGE 12 MESES POSTRASPLANTE</t>
  </si>
  <si>
    <t>COMPLICACION QUIRÚRGICA POSTRASPLANTE</t>
  </si>
  <si>
    <t>FECHA DE COMPLICACIÓN QUIRÚRGICA</t>
  </si>
  <si>
    <t xml:space="preserve">TIPO DE COMPLICACIÓN  </t>
  </si>
  <si>
    <t>DESCRIPCIÓN DE LA COMPLICACIÓN</t>
  </si>
  <si>
    <t>AMERITÓ REINTERVENCIÓN</t>
  </si>
  <si>
    <t>INFECCIÓN SI/NO</t>
  </si>
  <si>
    <t>FECHA DE INFECCIÓN</t>
  </si>
  <si>
    <t>TIPO DE INFECCIÓN</t>
  </si>
  <si>
    <t>CÁNCER POSTRASPLANTE</t>
  </si>
  <si>
    <t>FECHA DE DETECCIÓN</t>
  </si>
  <si>
    <t>TIPO DE CÁNCER</t>
  </si>
  <si>
    <t>CEDULA/ID_D</t>
  </si>
  <si>
    <t>SEXO_D</t>
  </si>
  <si>
    <t>NACIONALIDAD_D</t>
  </si>
  <si>
    <t>OBSERVACIONES</t>
  </si>
  <si>
    <t>ANO_TRASPLANTE</t>
  </si>
  <si>
    <t>FALLECIDO_COD</t>
  </si>
  <si>
    <t>DIAS_SV</t>
  </si>
  <si>
    <t>MESES_SV</t>
  </si>
  <si>
    <t>ANOS_SV</t>
  </si>
  <si>
    <t>UP2101 - HOSPITAL RAFAEL A. CALDERÓN GUARDIA</t>
  </si>
  <si>
    <t>CORAZON</t>
  </si>
  <si>
    <t>CADAVÉRICO</t>
  </si>
  <si>
    <t>ALEXIS GERARDO</t>
  </si>
  <si>
    <t>GARCIA</t>
  </si>
  <si>
    <t>PICADO</t>
  </si>
  <si>
    <t>MASCULINO</t>
  </si>
  <si>
    <t>COSTA RICA</t>
  </si>
  <si>
    <t>PUNTARENAS</t>
  </si>
  <si>
    <t>CENTRAL</t>
  </si>
  <si>
    <t>BARRANCA</t>
  </si>
  <si>
    <t>SI</t>
  </si>
  <si>
    <t>ANA PATRICIA</t>
  </si>
  <si>
    <t>FLORES</t>
  </si>
  <si>
    <t>MURILLO</t>
  </si>
  <si>
    <t>FEMENINA</t>
  </si>
  <si>
    <t>SAN JOSE</t>
  </si>
  <si>
    <t>GOICOCHEA</t>
  </si>
  <si>
    <t>JOSELYN LIZETH</t>
  </si>
  <si>
    <t>RODRIGUEZ</t>
  </si>
  <si>
    <t>GOLFITO</t>
  </si>
  <si>
    <t>PUERTO JIMENEZ</t>
  </si>
  <si>
    <t>HENRY</t>
  </si>
  <si>
    <t>ARIAS</t>
  </si>
  <si>
    <t>GONZALEZ</t>
  </si>
  <si>
    <t>COTO BRUS</t>
  </si>
  <si>
    <t>SAN VITO</t>
  </si>
  <si>
    <t>JUAN MANUEL</t>
  </si>
  <si>
    <t>SALAS</t>
  </si>
  <si>
    <t>MONTES DE ORO</t>
  </si>
  <si>
    <t>MIRAMAR</t>
  </si>
  <si>
    <t>NO</t>
  </si>
  <si>
    <t>TRINIDAD HUMBERTO</t>
  </si>
  <si>
    <t>MORA</t>
  </si>
  <si>
    <t>RAMIREZ</t>
  </si>
  <si>
    <t>CARTAGO</t>
  </si>
  <si>
    <t>OREAMUNO</t>
  </si>
  <si>
    <t>CIPRESES</t>
  </si>
  <si>
    <t>YAJAIRA MARIA</t>
  </si>
  <si>
    <t>MENDEZ</t>
  </si>
  <si>
    <t>ALAJUELA</t>
  </si>
  <si>
    <t>DESAMPARADOS</t>
  </si>
  <si>
    <t>REBECA</t>
  </si>
  <si>
    <t>ESPINOZA</t>
  </si>
  <si>
    <t>ROMERO</t>
  </si>
  <si>
    <t>LIMON</t>
  </si>
  <si>
    <t>MATINA</t>
  </si>
  <si>
    <t>BATAAN</t>
  </si>
  <si>
    <t>EDWIN OMAR</t>
  </si>
  <si>
    <t>MATARRITA</t>
  </si>
  <si>
    <t>GUANACASTE</t>
  </si>
  <si>
    <t>HOJANCHA</t>
  </si>
  <si>
    <t>YURI ALONSO</t>
  </si>
  <si>
    <t>ACON</t>
  </si>
  <si>
    <t>VASQUEZ DE CORONADO</t>
  </si>
  <si>
    <t>PATALILLO</t>
  </si>
  <si>
    <t>WALTER</t>
  </si>
  <si>
    <t>VARGAS</t>
  </si>
  <si>
    <t>MADRIZ</t>
  </si>
  <si>
    <t>TURRIALBA</t>
  </si>
  <si>
    <t>CINDY JENESE</t>
  </si>
  <si>
    <t>COLE</t>
  </si>
  <si>
    <t>PINNOCK</t>
  </si>
  <si>
    <t>Cardio/renal</t>
  </si>
  <si>
    <t>RAFAEL ANGEL</t>
  </si>
  <si>
    <t>ZUÑIGA</t>
  </si>
  <si>
    <t>HERNANDEZ</t>
  </si>
  <si>
    <t>SAN RAFAEL ARRIBA</t>
  </si>
  <si>
    <t>JUAN DE LA CRUZ</t>
  </si>
  <si>
    <t>NARVAEZ</t>
  </si>
  <si>
    <t>LOPEZ</t>
  </si>
  <si>
    <t>NICARAGUA</t>
  </si>
  <si>
    <t>Bloque cardiopulmonar</t>
  </si>
  <si>
    <t>YOJANA</t>
  </si>
  <si>
    <t>SANCHEZ</t>
  </si>
  <si>
    <t>FONSECA</t>
  </si>
  <si>
    <t xml:space="preserve">SAN JOSE </t>
  </si>
  <si>
    <t>PEREZ ZELEDON</t>
  </si>
  <si>
    <t>EL GENERNAL</t>
  </si>
  <si>
    <t>MARCO ESTEBAN</t>
  </si>
  <si>
    <t>ROJAS</t>
  </si>
  <si>
    <t>MORALES</t>
  </si>
  <si>
    <t>GOICOECHEA</t>
  </si>
  <si>
    <t>GUADALUPE</t>
  </si>
  <si>
    <t>EVELYN</t>
  </si>
  <si>
    <t>FUENTES</t>
  </si>
  <si>
    <t>MORAVIA</t>
  </si>
  <si>
    <t>LA TRINIDAD</t>
  </si>
  <si>
    <t>DOUGLAS ENRIQUE</t>
  </si>
  <si>
    <t>ARAGON</t>
  </si>
  <si>
    <t>CARMIOL</t>
  </si>
  <si>
    <t>JOSE FRANCISCO</t>
  </si>
  <si>
    <t>GOMEZ</t>
  </si>
  <si>
    <t>CAÑAS</t>
  </si>
  <si>
    <t>JOSE ALONSO</t>
  </si>
  <si>
    <t>BLANCO</t>
  </si>
  <si>
    <t>ALFARO</t>
  </si>
  <si>
    <t>POAS</t>
  </si>
  <si>
    <t>SABANA REDONDA</t>
  </si>
  <si>
    <t>MARIA MARLENE DEL CA</t>
  </si>
  <si>
    <t>CHINCHILLA</t>
  </si>
  <si>
    <t>CORONADO</t>
  </si>
  <si>
    <t>JOSE ADRIAN</t>
  </si>
  <si>
    <t>VICTOR</t>
  </si>
  <si>
    <t>TIBAS</t>
  </si>
  <si>
    <t>ANSELMO LLORENTE</t>
  </si>
  <si>
    <t>FRANCINY DE LOS ANGELES</t>
  </si>
  <si>
    <t>ORIENTAL</t>
  </si>
  <si>
    <t>GEOVANNA MARCELA</t>
  </si>
  <si>
    <t>CHACON</t>
  </si>
  <si>
    <t>CALVO</t>
  </si>
  <si>
    <t>SAN FRANCISCO DE DOS RIOS</t>
  </si>
  <si>
    <t>ELVIS JOSE</t>
  </si>
  <si>
    <t>JIMENEZ</t>
  </si>
  <si>
    <t>NOINDICAOTRO</t>
  </si>
  <si>
    <t>LEON XIII</t>
  </si>
  <si>
    <t>SHIRLEY MARGOTH</t>
  </si>
  <si>
    <t>CAJINA</t>
  </si>
  <si>
    <t>CURRIDABAT</t>
  </si>
  <si>
    <t>MICHAEL ARNULFO</t>
  </si>
  <si>
    <t>RIVERA</t>
  </si>
  <si>
    <t>LA UNION</t>
  </si>
  <si>
    <t>SAN RAMON</t>
  </si>
  <si>
    <t>CARLOS ALEJANDRO DE JESUS</t>
  </si>
  <si>
    <t>CASCANTE</t>
  </si>
  <si>
    <t>O+</t>
  </si>
  <si>
    <t>TARBACIA</t>
  </si>
  <si>
    <t>ORLANDO DE LA TRINIDAD</t>
  </si>
  <si>
    <t>ARAYA</t>
  </si>
  <si>
    <t>CERDAS</t>
  </si>
  <si>
    <t>B+</t>
  </si>
  <si>
    <t>SAN JERONIMO</t>
  </si>
  <si>
    <t>MARIANA</t>
  </si>
  <si>
    <t>CASTILLO</t>
  </si>
  <si>
    <t>VILLEGAS</t>
  </si>
  <si>
    <t>A+</t>
  </si>
  <si>
    <t>MONTES DE OCA</t>
  </si>
  <si>
    <t>MERCEDES</t>
  </si>
  <si>
    <t>TRISTAN SAMUEL</t>
  </si>
  <si>
    <t>VENTURA</t>
  </si>
  <si>
    <t>ALAJUELITA</t>
  </si>
  <si>
    <t>CONCEPCIÓN</t>
  </si>
  <si>
    <t>IVONNE MARIA</t>
  </si>
  <si>
    <t>IZABA</t>
  </si>
  <si>
    <t>GALAGARZA</t>
  </si>
  <si>
    <t>ABANGARES</t>
  </si>
  <si>
    <t>COLORADO</t>
  </si>
  <si>
    <t>KAREN ADRIANA</t>
  </si>
  <si>
    <t>BARILLAS</t>
  </si>
  <si>
    <t>VALVERDE</t>
  </si>
  <si>
    <t>POCOCI</t>
  </si>
  <si>
    <t>RITA</t>
  </si>
  <si>
    <t>LUDWING JAVIER</t>
  </si>
  <si>
    <t>FERNANDEZ</t>
  </si>
  <si>
    <t>CORDERO</t>
  </si>
  <si>
    <t>TRES RIOS</t>
  </si>
  <si>
    <t>JOSE PABLO</t>
  </si>
  <si>
    <t>ROHMAN</t>
  </si>
  <si>
    <t>MADRIGAL</t>
  </si>
  <si>
    <t>TRINIDAD</t>
  </si>
  <si>
    <t>GERARDO JESUS</t>
  </si>
  <si>
    <t>SEQUEIRA</t>
  </si>
  <si>
    <t>MUÑOZ</t>
  </si>
  <si>
    <t>JORDY SEBASTIAN</t>
  </si>
  <si>
    <t>VASQUEZ</t>
  </si>
  <si>
    <t>BONILLA</t>
  </si>
  <si>
    <t>CAJON</t>
  </si>
  <si>
    <t>CARLOS JOSE</t>
  </si>
  <si>
    <t>CHAVES</t>
  </si>
  <si>
    <t>SAN VICENTE</t>
  </si>
  <si>
    <t>NEFTALI FRANCISCO</t>
  </si>
  <si>
    <t>MEDINA</t>
  </si>
  <si>
    <t>ZAPOTE</t>
  </si>
  <si>
    <t>PULMÓN</t>
  </si>
  <si>
    <t>MARCIAL GUILLERMO</t>
  </si>
  <si>
    <t>PEÑARANDA</t>
  </si>
  <si>
    <t>MONTERO</t>
  </si>
  <si>
    <t>SAN JOSÉ</t>
  </si>
  <si>
    <t>LUIS ENRIQUE</t>
  </si>
  <si>
    <t>GAUDI YOJANA</t>
  </si>
  <si>
    <t>EVELYN YESENIA</t>
  </si>
  <si>
    <t>ADRIANA DE LOS ANGELES</t>
  </si>
  <si>
    <t>SAENZ</t>
  </si>
  <si>
    <t>CALDERON</t>
  </si>
  <si>
    <t>JOHNNY ALBERTO</t>
  </si>
  <si>
    <t>DELGADO</t>
  </si>
  <si>
    <t>HEREDIA</t>
  </si>
  <si>
    <t>FIORELLA</t>
  </si>
  <si>
    <t>LIZANO</t>
  </si>
  <si>
    <t>DAHIANNA</t>
  </si>
  <si>
    <t>MENA</t>
  </si>
  <si>
    <t>JORGE ARTURO</t>
  </si>
  <si>
    <t>SANABRIA</t>
  </si>
  <si>
    <t>EVELYN TATIANA</t>
  </si>
  <si>
    <t>PEREZ</t>
  </si>
  <si>
    <t>HECTOR RICARDO</t>
  </si>
  <si>
    <t>VALERIN</t>
  </si>
  <si>
    <t>UGALDE</t>
  </si>
  <si>
    <t>ERIKA MARIA</t>
  </si>
  <si>
    <t>ALVARADO</t>
  </si>
  <si>
    <t>OLIVER</t>
  </si>
  <si>
    <t>JEISON ENRIQUE</t>
  </si>
  <si>
    <t>MONGE</t>
  </si>
  <si>
    <t>JAEL MARIET</t>
  </si>
  <si>
    <t>LIGIA DAMARYS DE JESUS</t>
  </si>
  <si>
    <t>VEGA</t>
  </si>
  <si>
    <t>DF.08.2023</t>
  </si>
  <si>
    <t>GUILLERMO ALBERTO</t>
  </si>
  <si>
    <t>CARVAJAL</t>
  </si>
  <si>
    <t>BRIZUELA</t>
  </si>
  <si>
    <t>EPID FIBROSANTE TIPO NH VS UIP + ISUFICIENCIA RESPIRATORIA TIPO 1</t>
  </si>
  <si>
    <t>SABANILLA</t>
  </si>
  <si>
    <t>DF.13.2023</t>
  </si>
  <si>
    <t>YENDRY TATIANA</t>
  </si>
  <si>
    <t>OBANDO</t>
  </si>
  <si>
    <t xml:space="preserve">ENFERMEDADES PULMONARES INTERSTICIALES </t>
  </si>
  <si>
    <t>TALAMANCA</t>
  </si>
  <si>
    <t>CAHUITA</t>
  </si>
  <si>
    <t>DF.14.2023</t>
  </si>
  <si>
    <t>LADY MARÍA</t>
  </si>
  <si>
    <t>CORTÉS</t>
  </si>
  <si>
    <t>EPID CON FIBROSIS PULMONAR</t>
  </si>
  <si>
    <t>NICOYA</t>
  </si>
  <si>
    <t>MANSION</t>
  </si>
  <si>
    <t>DF.17.2023 HEP 03/10/2023</t>
  </si>
  <si>
    <t>CLARICIA ANIMIA</t>
  </si>
  <si>
    <t>EPID</t>
  </si>
  <si>
    <t>SAN FRANCISCO</t>
  </si>
  <si>
    <t>DF.19.2023 HSJD 6-11-2023</t>
  </si>
  <si>
    <t>RONALD</t>
  </si>
  <si>
    <t>GRANADOS</t>
  </si>
  <si>
    <t>FIBROSIS PULMONAR</t>
  </si>
  <si>
    <t>CARMEN</t>
  </si>
  <si>
    <t>DF.24.023 HCG 19-12-2023</t>
  </si>
  <si>
    <t>LUIS GUILLERMO DE LA CRUZ</t>
  </si>
  <si>
    <t>ENFERMEDAD PULMONAR INTERSTICIAL FIBROSANTE PROGRESIVA</t>
  </si>
  <si>
    <t>SAN ISIDRO</t>
  </si>
  <si>
    <t>DF.02.2024 HCG 05/01/2024</t>
  </si>
  <si>
    <t>JOSE MARIO</t>
  </si>
  <si>
    <t>ESCORCIA</t>
  </si>
  <si>
    <t>ENFERMEDAD PULMONAR INTERSTICIAL + HIPERTENSION PULMONAR</t>
  </si>
  <si>
    <t xml:space="preserve">DF.05.2024  HSJD </t>
  </si>
  <si>
    <t>MUSMAMI BALLARDO</t>
  </si>
  <si>
    <t>ARAICA</t>
  </si>
  <si>
    <t xml:space="preserve">ENFERMEDADES PULMONARES INTERSTICIALES CON FIBROSIS </t>
  </si>
  <si>
    <t>CORREDORES</t>
  </si>
  <si>
    <t>CORREDOR</t>
  </si>
  <si>
    <t>DF.07.2024 HMP</t>
  </si>
  <si>
    <t>ANDREA PRISCILA</t>
  </si>
  <si>
    <t>TORRES</t>
  </si>
  <si>
    <t>ORTEGON</t>
  </si>
  <si>
    <t>FIBROSIS QUISTICA</t>
  </si>
  <si>
    <t>DF.21.2024 HSJD 18/07/2024</t>
  </si>
  <si>
    <t>LAURA</t>
  </si>
  <si>
    <t>SANDOVAL</t>
  </si>
  <si>
    <t>ALTAMIRANO</t>
  </si>
  <si>
    <t xml:space="preserve"> ENFERMEDAD PULMONAR INTERSTICIAL, </t>
  </si>
  <si>
    <t>DANIEL FLORES</t>
  </si>
  <si>
    <t>DF.23.2024 HCG 21/07/2024</t>
  </si>
  <si>
    <t>MARÍA DEL CARMEN</t>
  </si>
  <si>
    <t xml:space="preserve"> ENFISEMA PULMONAR </t>
  </si>
  <si>
    <t>DF.27.2024 20 SEP HSJD</t>
  </si>
  <si>
    <t>MARVIN ALBERTO</t>
  </si>
  <si>
    <t>GAMBOA</t>
  </si>
  <si>
    <t>EPID FIBROSIS PULMONAR</t>
  </si>
  <si>
    <t>PARAISO</t>
  </si>
  <si>
    <t>DF.30.2024 HCG</t>
  </si>
  <si>
    <t>ANA VICTORIA</t>
  </si>
  <si>
    <t>LEE</t>
  </si>
  <si>
    <t>AB+</t>
  </si>
  <si>
    <t>BRONQUIECTASIA</t>
  </si>
  <si>
    <t>DF.01.2025 13 ENERO HM</t>
  </si>
  <si>
    <t>MARTA ELENA</t>
  </si>
  <si>
    <t>ZAMORA</t>
  </si>
  <si>
    <t>BRONQUIECTASIA SEVERA + HAP</t>
  </si>
  <si>
    <t>HARLEN RITO</t>
  </si>
  <si>
    <t>NIO</t>
  </si>
  <si>
    <t>EPOC</t>
  </si>
  <si>
    <t>SANTO DOMINGO</t>
  </si>
  <si>
    <t>LAURA MARIA</t>
  </si>
  <si>
    <t>JOSE GUILLERMO</t>
  </si>
  <si>
    <t>JOSEPH</t>
  </si>
  <si>
    <t>VAZQUEZ DECORONADO</t>
  </si>
  <si>
    <t>FUNCIONAL</t>
  </si>
  <si>
    <t>ANA LORENA</t>
  </si>
  <si>
    <t>CORTES</t>
  </si>
  <si>
    <t>RAFEL ÁNGEL</t>
  </si>
  <si>
    <t>GUEVARA</t>
  </si>
  <si>
    <t>AURIA JULIETA</t>
  </si>
  <si>
    <t>BRONQUIECTASIAS</t>
  </si>
  <si>
    <t>SAN CARLOS</t>
  </si>
  <si>
    <t>AGUAS ZARCAS</t>
  </si>
  <si>
    <t>ENTEROBACTER CLOACAE COMPLEX</t>
  </si>
  <si>
    <t>Cuenta de CEDULA/ID</t>
  </si>
  <si>
    <t>Etiquetas de columna</t>
  </si>
  <si>
    <t>2023</t>
  </si>
  <si>
    <t>2024</t>
  </si>
  <si>
    <t>2025</t>
  </si>
  <si>
    <t>Total general</t>
  </si>
  <si>
    <t>Etiquetas de fila</t>
  </si>
  <si>
    <t>VIVO</t>
  </si>
  <si>
    <t>UP2103 - HOSPITAL NACIONAL DE NIÑOS</t>
  </si>
  <si>
    <t>UP2104 - HOSPITAL MÉXICO</t>
  </si>
  <si>
    <t>MELD/PELD</t>
  </si>
  <si>
    <t>#VALOR!</t>
  </si>
  <si>
    <t>HIGADO</t>
  </si>
  <si>
    <t>MILAGRO</t>
  </si>
  <si>
    <t>SABORIO</t>
  </si>
  <si>
    <t>GUACIMA</t>
  </si>
  <si>
    <t>HERALD</t>
  </si>
  <si>
    <t>CAMPOS</t>
  </si>
  <si>
    <t>QUESADA</t>
  </si>
  <si>
    <t>JOSE MANUEL</t>
  </si>
  <si>
    <t>SOLIS</t>
  </si>
  <si>
    <t>IVAN GERARDO</t>
  </si>
  <si>
    <t>VENEGAS</t>
  </si>
  <si>
    <t>WILSON</t>
  </si>
  <si>
    <t>CARLOS ALBERTO RAMON DE JESUS</t>
  </si>
  <si>
    <t>CAMBRONERO</t>
  </si>
  <si>
    <t>NASH</t>
  </si>
  <si>
    <t>SAN NICOLAS</t>
  </si>
  <si>
    <t>CAMILA ADRIANA</t>
  </si>
  <si>
    <t>PIZARRO</t>
  </si>
  <si>
    <t>VERONICA DE LOS ANGELES</t>
  </si>
  <si>
    <t>CASTRILLO</t>
  </si>
  <si>
    <t>VALENCIA</t>
  </si>
  <si>
    <t>DEFICIT DE ALFA 1 ANTITRIPSINA</t>
  </si>
  <si>
    <t>MARIA JOSE</t>
  </si>
  <si>
    <t>CASTRO</t>
  </si>
  <si>
    <t>ENFERMEDAD DE WILSON</t>
  </si>
  <si>
    <t>SAN JOSECITO</t>
  </si>
  <si>
    <t>ORTEGA</t>
  </si>
  <si>
    <t>CARMEN ROSA</t>
  </si>
  <si>
    <t>SOLANO</t>
  </si>
  <si>
    <t>IPIS</t>
  </si>
  <si>
    <t>BAYRON ANTONIO</t>
  </si>
  <si>
    <t>ALVAREZ</t>
  </si>
  <si>
    <t>TALLEY</t>
  </si>
  <si>
    <t>CANOAS</t>
  </si>
  <si>
    <t>ROSE MARY</t>
  </si>
  <si>
    <t>VILLALTA</t>
  </si>
  <si>
    <t>OH</t>
  </si>
  <si>
    <t>CONCEPCION</t>
  </si>
  <si>
    <t>falla hepatica aguda</t>
  </si>
  <si>
    <t>trombosis arteria hepatica</t>
  </si>
  <si>
    <t>FERNANDO ENRIQUE DE LA TRINIDAD</t>
  </si>
  <si>
    <t>CARIARI</t>
  </si>
  <si>
    <t>LIGIA CARMEN</t>
  </si>
  <si>
    <t>SANTA CRUZ</t>
  </si>
  <si>
    <t>KATHERINE</t>
  </si>
  <si>
    <t>ORTIZ</t>
  </si>
  <si>
    <t>GRECIA</t>
  </si>
  <si>
    <t>LUIS DIEGO</t>
  </si>
  <si>
    <t>atresia vias biliares</t>
  </si>
  <si>
    <t>LAUREL</t>
  </si>
  <si>
    <t>SHIRLEY MARIA</t>
  </si>
  <si>
    <t>ACUÑA</t>
  </si>
  <si>
    <t>SOTO</t>
  </si>
  <si>
    <t>FLOR MARIA DE LA TRINIDAD</t>
  </si>
  <si>
    <t>VAZQUEZ DE CORONADO</t>
  </si>
  <si>
    <t>CASCAJAL</t>
  </si>
  <si>
    <t>MARIANA CATERINA</t>
  </si>
  <si>
    <t>MONCADA</t>
  </si>
  <si>
    <t>RUTH MARIA</t>
  </si>
  <si>
    <t>MELANY</t>
  </si>
  <si>
    <t>MENDOZA</t>
  </si>
  <si>
    <t>CARRILLO</t>
  </si>
  <si>
    <t>BELEN</t>
  </si>
  <si>
    <t>MARJORIE MAYELA</t>
  </si>
  <si>
    <t>PALAVICINI</t>
  </si>
  <si>
    <t>HEPATITIS AUTOINMUNE</t>
  </si>
  <si>
    <t>CATEDRAL</t>
  </si>
  <si>
    <t>JESUS</t>
  </si>
  <si>
    <t>ARCE</t>
  </si>
  <si>
    <t>BARRANTES</t>
  </si>
  <si>
    <t>SAN SEBASTIAN</t>
  </si>
  <si>
    <t>FABIO ALBERTO</t>
  </si>
  <si>
    <t>MONTOYA</t>
  </si>
  <si>
    <t>CHAVARRIA</t>
  </si>
  <si>
    <t>SAN RAFAEL</t>
  </si>
  <si>
    <t>ERIC VICENTE</t>
  </si>
  <si>
    <t>HEMOCROMATOSIS</t>
  </si>
  <si>
    <t>HATILLO</t>
  </si>
  <si>
    <t>RICARDO LUIS</t>
  </si>
  <si>
    <t>NARANJO</t>
  </si>
  <si>
    <t>MARIA ISABEL</t>
  </si>
  <si>
    <t>ANA GABRIELA</t>
  </si>
  <si>
    <t>AUTOINMUNE (HAI)</t>
  </si>
  <si>
    <t>MARIA FERNANDA</t>
  </si>
  <si>
    <t>ROBERTO EDMUNDO DE LA TRINIDAD</t>
  </si>
  <si>
    <t>LOAIZA</t>
  </si>
  <si>
    <t>LINFOMA DE NO HODGKIN EN RECAIDA, IRA OLIGOANURICA</t>
  </si>
  <si>
    <t>ROBERTO</t>
  </si>
  <si>
    <t>POR NASH</t>
  </si>
  <si>
    <t>JOSE MARVIN</t>
  </si>
  <si>
    <t>MONTIEL</t>
  </si>
  <si>
    <t>POCOSI</t>
  </si>
  <si>
    <t>GUILLERMO ENRIQUE</t>
  </si>
  <si>
    <t>ARRIETA</t>
  </si>
  <si>
    <t>MARIN</t>
  </si>
  <si>
    <t>UMAÑA</t>
  </si>
  <si>
    <t>YAJAIRA DE LOS ANGELES</t>
  </si>
  <si>
    <t xml:space="preserve">EMBARAZADA/ FALLO HEPATICO AGUDO </t>
  </si>
  <si>
    <t>ANA MARIA DE LOS ANGELES</t>
  </si>
  <si>
    <t>QUIROS</t>
  </si>
  <si>
    <t>CIRROSIS BILIAR PRIMARIA</t>
  </si>
  <si>
    <t>JORGE EDUARDO</t>
  </si>
  <si>
    <t>SEGURA</t>
  </si>
  <si>
    <t>GUZMAN</t>
  </si>
  <si>
    <t>ASERRI</t>
  </si>
  <si>
    <t>TARBACA</t>
  </si>
  <si>
    <t>JORGE EDMUNDO</t>
  </si>
  <si>
    <t>MEJIA</t>
  </si>
  <si>
    <t>HCA ETIOLOGIA DESCONOCIDA SOPECHA CEP, PANCOLITIS CRONICA SEVERA</t>
  </si>
  <si>
    <t>MARIA JOSEFA</t>
  </si>
  <si>
    <t>ESTRELLA</t>
  </si>
  <si>
    <t>CBP</t>
  </si>
  <si>
    <t>CARLOS</t>
  </si>
  <si>
    <t>HCE POR OH</t>
  </si>
  <si>
    <t>URUCA</t>
  </si>
  <si>
    <t>EMILY ANGELYN</t>
  </si>
  <si>
    <t>CRUZ</t>
  </si>
  <si>
    <t>ENFERMEDAD WILSON</t>
  </si>
  <si>
    <t>PURISCAL</t>
  </si>
  <si>
    <t>GRIFO ALTO</t>
  </si>
  <si>
    <t>MELISSA MARIA</t>
  </si>
  <si>
    <t>CENTENO</t>
  </si>
  <si>
    <t>COBANO</t>
  </si>
  <si>
    <t>ANDREY ARTURO</t>
  </si>
  <si>
    <t>HIPERTENSION PORTAL POR DEFICIT DE ANTITRIPSINA</t>
  </si>
  <si>
    <t>WALKYRIA DEL CARMEN</t>
  </si>
  <si>
    <t>CIRROSIS BILIAR PRIMARIA AUTOINMUNE</t>
  </si>
  <si>
    <t>NANCY AUXILIADORA</t>
  </si>
  <si>
    <t>LARA</t>
  </si>
  <si>
    <t xml:space="preserve">COLANGITIS ESCLEROSANTE PRIMARIA </t>
  </si>
  <si>
    <t>SAN ANTONIO</t>
  </si>
  <si>
    <t>NAZARETH LUCIA</t>
  </si>
  <si>
    <t>NAVARRETE</t>
  </si>
  <si>
    <t>EDDY RODOLFO</t>
  </si>
  <si>
    <t>ARTAVIA</t>
  </si>
  <si>
    <t>DEFICIT A-1-AT</t>
  </si>
  <si>
    <t>FRANCISCO JAVIER</t>
  </si>
  <si>
    <t>FONT</t>
  </si>
  <si>
    <t>CARRANZA</t>
  </si>
  <si>
    <t>CRIPTGENICA</t>
  </si>
  <si>
    <t>MAURICIO</t>
  </si>
  <si>
    <t>ACOSTA</t>
  </si>
  <si>
    <t>SAN IGNACIO</t>
  </si>
  <si>
    <t>PATRICIA</t>
  </si>
  <si>
    <t>MASIS</t>
  </si>
  <si>
    <t>JOSE MANUEL DE LOS ANGELES</t>
  </si>
  <si>
    <t>PORRAS</t>
  </si>
  <si>
    <t>CALLE BLANCOS</t>
  </si>
  <si>
    <t>LUIS GERARDO</t>
  </si>
  <si>
    <t>OH+HCC</t>
  </si>
  <si>
    <t>MARCO AURELIO</t>
  </si>
  <si>
    <t>NAVARRO</t>
  </si>
  <si>
    <t>HASH</t>
  </si>
  <si>
    <t>CAЁS</t>
  </si>
  <si>
    <t>ALEXANDRA</t>
  </si>
  <si>
    <t>CADENA</t>
  </si>
  <si>
    <t>COLANGITIS ESCLEROSANTE PRIMARIA, HCC, COLANGIOCARCINOMA</t>
  </si>
  <si>
    <t>COLIMA</t>
  </si>
  <si>
    <t>ATRESIA BILIAR</t>
  </si>
  <si>
    <t>RODOLFO GERARDO</t>
  </si>
  <si>
    <t>CANESSA</t>
  </si>
  <si>
    <t>PRADO</t>
  </si>
  <si>
    <t>YOLANDA</t>
  </si>
  <si>
    <t>HAI +NASH</t>
  </si>
  <si>
    <t>SERGIO</t>
  </si>
  <si>
    <t>MATEO MARTIN</t>
  </si>
  <si>
    <t>FOURNIER</t>
  </si>
  <si>
    <t>PALMA</t>
  </si>
  <si>
    <t>NASH + HCC</t>
  </si>
  <si>
    <t>SARDINAL</t>
  </si>
  <si>
    <t>JOSE ANTONIO</t>
  </si>
  <si>
    <t>GENE</t>
  </si>
  <si>
    <t>HCC</t>
  </si>
  <si>
    <t>SANTA ANA</t>
  </si>
  <si>
    <t>ALBERTO JOSUE</t>
  </si>
  <si>
    <t>AMELIA JEANNETTE</t>
  </si>
  <si>
    <t>TABASH</t>
  </si>
  <si>
    <t>VALLEJOS</t>
  </si>
  <si>
    <t>FALLA HEPATICA AGUDA, PORFIRIA INTERMITENTE</t>
  </si>
  <si>
    <t>CHACARITA</t>
  </si>
  <si>
    <t>NELSON MARTIN</t>
  </si>
  <si>
    <t>VILLALOBOS</t>
  </si>
  <si>
    <t>RODRIGO ALBERTO</t>
  </si>
  <si>
    <t>COLANGITIS ESCLEROSANTE PRIMARIA</t>
  </si>
  <si>
    <t>CRIPTOGENICA</t>
  </si>
  <si>
    <t>ROSAURA ISELA DE LA TRINIDAD</t>
  </si>
  <si>
    <t>JIMMY ALEXANDER</t>
  </si>
  <si>
    <t>BARAHONA</t>
  </si>
  <si>
    <t>HEPATOPATIA CRONICA POR CIRROSIS BILIAR PRIMARIA, HIPERTENSION PORTAL DE VENA PORTA</t>
  </si>
  <si>
    <t>GRAVILIAS</t>
  </si>
  <si>
    <t>MANUEL ANTONIO</t>
  </si>
  <si>
    <t>CARAVACA</t>
  </si>
  <si>
    <t>HCE POR OH, HEPATOCARCINOMA</t>
  </si>
  <si>
    <t>CINCO ESQUINAS</t>
  </si>
  <si>
    <t>CMV, TROMBOSIS DE LA V, PORTA</t>
  </si>
  <si>
    <t>RAMON GERARDO DE LOS ANGELES</t>
  </si>
  <si>
    <t>ARGUEDAS</t>
  </si>
  <si>
    <t>SIBAJA</t>
  </si>
  <si>
    <t>COLANGIOPTIA ISQUEMICA</t>
  </si>
  <si>
    <t>ALVARO</t>
  </si>
  <si>
    <t>ESCAZU</t>
  </si>
  <si>
    <t>ROLANDO ARTURO DEL CARMEN</t>
  </si>
  <si>
    <t>DILI</t>
  </si>
  <si>
    <t>PAOLA ALEXANDRA</t>
  </si>
  <si>
    <t>Hepatitis autoinmune, cirrosis</t>
  </si>
  <si>
    <t>ULLOA</t>
  </si>
  <si>
    <t>rechazo cronico temprano</t>
  </si>
  <si>
    <t>MARIBEL</t>
  </si>
  <si>
    <t>PINEDA</t>
  </si>
  <si>
    <t>BENAVIDEZ</t>
  </si>
  <si>
    <t xml:space="preserve">FALLO HEPATICO FULMINANTE </t>
  </si>
  <si>
    <t>ADRIAN JOSE</t>
  </si>
  <si>
    <t>SALAZAR</t>
  </si>
  <si>
    <t>CYRMAN</t>
  </si>
  <si>
    <t>CAROLINA ELIZABETH</t>
  </si>
  <si>
    <t>SEVILLA</t>
  </si>
  <si>
    <t>SINDROME HEPATOPULMONAR SEVERO</t>
  </si>
  <si>
    <t/>
  </si>
  <si>
    <t>PAVAS</t>
  </si>
  <si>
    <t>CELIA LISBETH</t>
  </si>
  <si>
    <t>OBREGON</t>
  </si>
  <si>
    <t>Cirrosis Biliar primaria, colangitis esclerosan</t>
  </si>
  <si>
    <t>PALMARES</t>
  </si>
  <si>
    <t>CANDELARIA</t>
  </si>
  <si>
    <t>LUIS FERNANDO DE LA TRINIDAD</t>
  </si>
  <si>
    <t>HIDALGO</t>
  </si>
  <si>
    <t>0H</t>
  </si>
  <si>
    <t>SAN PEDRO</t>
  </si>
  <si>
    <t>LUIS FERNANDO</t>
  </si>
  <si>
    <t>KRISTEL VANESSA</t>
  </si>
  <si>
    <t>COLOMER</t>
  </si>
  <si>
    <t>colestasis familiar intrahepatica progresiva</t>
  </si>
  <si>
    <t>PAULA</t>
  </si>
  <si>
    <t>PRENDAS</t>
  </si>
  <si>
    <t>atresia via biliar</t>
  </si>
  <si>
    <t>CARLOS ALBERTO DE JE</t>
  </si>
  <si>
    <t>SAN MIGUEL</t>
  </si>
  <si>
    <t>GONZALO DIMAS DEL NIÑO JESUS</t>
  </si>
  <si>
    <t>ALONDRA</t>
  </si>
  <si>
    <t>HERRERA</t>
  </si>
  <si>
    <t>hepatoblastoma</t>
  </si>
  <si>
    <t>SAN JUAN</t>
  </si>
  <si>
    <t>trombosis portal</t>
  </si>
  <si>
    <t>SUGEY MARIA</t>
  </si>
  <si>
    <t>SEAS</t>
  </si>
  <si>
    <t>SEBASTIAN</t>
  </si>
  <si>
    <t>DIAZ</t>
  </si>
  <si>
    <t>PATARRA</t>
  </si>
  <si>
    <t>ANANYELA</t>
  </si>
  <si>
    <t>CARDENAS</t>
  </si>
  <si>
    <t>INSUFICIENCIA HEPATICA AGUDA</t>
  </si>
  <si>
    <t>SALITRILLOS</t>
  </si>
  <si>
    <t>ANDRES GUIDO DE LA TRINIDAD</t>
  </si>
  <si>
    <t>NASH+HCC</t>
  </si>
  <si>
    <t>PIEDADES</t>
  </si>
  <si>
    <t>ALLISON</t>
  </si>
  <si>
    <t>CABRERA</t>
  </si>
  <si>
    <t>hepaitis autoinmune</t>
  </si>
  <si>
    <t>VALVERDE VEGA</t>
  </si>
  <si>
    <t>SARCHI NORTE</t>
  </si>
  <si>
    <t>shock hipovolemico</t>
  </si>
  <si>
    <t>CARLOS ENRIQUE</t>
  </si>
  <si>
    <t>ESQUIVEL</t>
  </si>
  <si>
    <t>JOSE NICOLAS DE LA CONCEPCION</t>
  </si>
  <si>
    <t>Hepatocarcinoma multifocal, hepatopatia cronica posible causa OH</t>
  </si>
  <si>
    <t>LLORENTE</t>
  </si>
  <si>
    <t>MARISSA DE FATIMA</t>
  </si>
  <si>
    <t>ESCALANTE</t>
  </si>
  <si>
    <t>BARBOZA</t>
  </si>
  <si>
    <t>VHC+HCC</t>
  </si>
  <si>
    <t>sibdrome alagille</t>
  </si>
  <si>
    <t>EDUARDO ESTEBAN</t>
  </si>
  <si>
    <t>MARTINEZ</t>
  </si>
  <si>
    <t xml:space="preserve">FALLO HEPATICO AGUDO </t>
  </si>
  <si>
    <t>IAN SAMUEL</t>
  </si>
  <si>
    <t>sindrome bardet biedl CFIP</t>
  </si>
  <si>
    <t>ALFARO RUIZ</t>
  </si>
  <si>
    <t>TAPEZCO</t>
  </si>
  <si>
    <t xml:space="preserve">TORMBOSIS ARTERIA HEPATIA </t>
  </si>
  <si>
    <t>ROSIBEL DE LOS ANGELES</t>
  </si>
  <si>
    <t>AUTOINMUNE</t>
  </si>
  <si>
    <t>WILLIAM ERNESTO</t>
  </si>
  <si>
    <t>SONIA IRENE DE FATIMA</t>
  </si>
  <si>
    <t>ELIAN DAVID</t>
  </si>
  <si>
    <t>critptogenica</t>
  </si>
  <si>
    <t>RUTH</t>
  </si>
  <si>
    <t>Fallo hepático fulminante</t>
  </si>
  <si>
    <t>LIBERIA</t>
  </si>
  <si>
    <t>JORGE ARTURO DE JESUS</t>
  </si>
  <si>
    <t>OROZCO</t>
  </si>
  <si>
    <t>MOLINA</t>
  </si>
  <si>
    <t>Hepatocarcinoma, hepatopatica cronica por oh</t>
  </si>
  <si>
    <t>BN</t>
  </si>
  <si>
    <t>BASILIO</t>
  </si>
  <si>
    <t>TARRAZU</t>
  </si>
  <si>
    <t>EDITH</t>
  </si>
  <si>
    <t>LLANOS DE SANTA LUCIA</t>
  </si>
  <si>
    <t>LUCIANA</t>
  </si>
  <si>
    <t>VALLE</t>
  </si>
  <si>
    <t>colangitis esclerosante primaria</t>
  </si>
  <si>
    <t>SAN JOAQUIN DE FLORES</t>
  </si>
  <si>
    <t>CALEB</t>
  </si>
  <si>
    <t>BUSTOS</t>
  </si>
  <si>
    <t>CABEZAS</t>
  </si>
  <si>
    <t>SARAPIQUI</t>
  </si>
  <si>
    <t>LA VIRGEN</t>
  </si>
  <si>
    <t>Coagulación intravascular diseminada</t>
  </si>
  <si>
    <t>MARIO JOSE</t>
  </si>
  <si>
    <t>RAMOS</t>
  </si>
  <si>
    <t>HEPATOPATIA CRONICA AVANZA CRIPTOGENICA</t>
  </si>
  <si>
    <t>BATAN</t>
  </si>
  <si>
    <t>RAQUEL</t>
  </si>
  <si>
    <t>MIRANDA</t>
  </si>
  <si>
    <t>colestasis famliar intrahepatica progresiva + hepatocarcinoma</t>
  </si>
  <si>
    <t>TOMAS GUILLERMO DE LA TRINIDAD</t>
  </si>
  <si>
    <t>JONATHAN EDUARDO</t>
  </si>
  <si>
    <t>CEP+ HTP SEVERA</t>
  </si>
  <si>
    <t>OLGA MARTA DE LOS AN</t>
  </si>
  <si>
    <t>BARRIENTOS</t>
  </si>
  <si>
    <t>BRICEÑO</t>
  </si>
  <si>
    <t>EDUARDO ALEJANDRO</t>
  </si>
  <si>
    <t>DEFICIT  A-1-AT</t>
  </si>
  <si>
    <t>SAN DIEGO</t>
  </si>
  <si>
    <t>MARTA EUGENIA</t>
  </si>
  <si>
    <t>COTO</t>
  </si>
  <si>
    <t>SAN JUAN DE DIOS</t>
  </si>
  <si>
    <t>JOSHUA YARIEL</t>
  </si>
  <si>
    <t>VINDAS</t>
  </si>
  <si>
    <t>cirrosis criptogenica</t>
  </si>
  <si>
    <t>TILARAN</t>
  </si>
  <si>
    <t>QUEBRADA GRANDE</t>
  </si>
  <si>
    <t>ALEXANDRA MARIA</t>
  </si>
  <si>
    <t>BARVA</t>
  </si>
  <si>
    <t>SANTA LUCIA</t>
  </si>
  <si>
    <t>JEIMY MASSIEL</t>
  </si>
  <si>
    <t>PIEDADES NORTE</t>
  </si>
  <si>
    <t>JOCSAN EMMANUEL</t>
  </si>
  <si>
    <t>CORDOBA</t>
  </si>
  <si>
    <t>GUAPILES</t>
  </si>
  <si>
    <t>GUSTAVO ADOLFO</t>
  </si>
  <si>
    <t>HCE POR NASH, HCC</t>
  </si>
  <si>
    <t>Barva</t>
  </si>
  <si>
    <t>DIANA MELISSA</t>
  </si>
  <si>
    <t>ENRIQUE JAVIER</t>
  </si>
  <si>
    <t>NALFD,  HEPATOCARCINOMA</t>
  </si>
  <si>
    <t>MATA REDONDA</t>
  </si>
  <si>
    <t>VICTOR HUGO</t>
  </si>
  <si>
    <t>ENFERMEDAD DE WILSON, hipertensión portal</t>
  </si>
  <si>
    <t>hemotorax, shock refractario, coagulopatia</t>
  </si>
  <si>
    <t>ATHAN GAEL</t>
  </si>
  <si>
    <t>BENAVIDES</t>
  </si>
  <si>
    <t>colestasis familiar intrahepatica tipo II</t>
  </si>
  <si>
    <t>KRICSIA VALERIA</t>
  </si>
  <si>
    <t>LA CUESTA</t>
  </si>
  <si>
    <t>fallo primario del injerto,</t>
  </si>
  <si>
    <t>RUDY ANDRES</t>
  </si>
  <si>
    <t>JOSE LUIS</t>
  </si>
  <si>
    <t>ASHLEY JIMENA</t>
  </si>
  <si>
    <t>colestasis familiar + hepatoblastoma</t>
  </si>
  <si>
    <t>PITAL</t>
  </si>
  <si>
    <t>HANLLELYN PAOLA</t>
  </si>
  <si>
    <t>BRENES</t>
  </si>
  <si>
    <t>TREJOS</t>
  </si>
  <si>
    <t>Atresia biliar falla hepática aguda sobre crónica</t>
  </si>
  <si>
    <t>Quebradilla</t>
  </si>
  <si>
    <t>TEP, SHOCK REFRACTARIO</t>
  </si>
  <si>
    <t>RELACIONADO CONSANGUINEO</t>
  </si>
  <si>
    <t>YENCI JIMENA</t>
  </si>
  <si>
    <t>histiocitosis X + colangitis esclerosante</t>
  </si>
  <si>
    <t>GUAYCARA</t>
  </si>
  <si>
    <t>CARLOS LUIS</t>
  </si>
  <si>
    <t>Falla aguda sobre cronica</t>
  </si>
  <si>
    <t>AURA MARIA</t>
  </si>
  <si>
    <t>GUTIERREZ</t>
  </si>
  <si>
    <t>ZAMBRANA</t>
  </si>
  <si>
    <t>GUACIMO</t>
  </si>
  <si>
    <t>RIO JIMENEZ</t>
  </si>
  <si>
    <t>DF.01.2022</t>
  </si>
  <si>
    <t>HIGINIA MARICEL</t>
  </si>
  <si>
    <t>NAJERA</t>
  </si>
  <si>
    <t>GRANADILLA</t>
  </si>
  <si>
    <t xml:space="preserve">NA </t>
  </si>
  <si>
    <t>NA</t>
  </si>
  <si>
    <t>DF.02.2022</t>
  </si>
  <si>
    <t>BOLIVAR</t>
  </si>
  <si>
    <t>QUINTERO</t>
  </si>
  <si>
    <t>CIRROSIS CRIPTOGENICA</t>
  </si>
  <si>
    <t>DF.03.2022</t>
  </si>
  <si>
    <t>DEYANIRA DE JESUS</t>
  </si>
  <si>
    <t>Disfunción del injerto hepático</t>
  </si>
  <si>
    <t>FALLECIDO</t>
  </si>
  <si>
    <t>falla orgánica múltiple, CID
transquirúrgica</t>
  </si>
  <si>
    <t>NO FUNCIONAL</t>
  </si>
  <si>
    <t>702530765</t>
  </si>
  <si>
    <t>DF.06.2022</t>
  </si>
  <si>
    <t>GABELO JOSE</t>
  </si>
  <si>
    <t>HEPATOCARCINOMA + NASH</t>
  </si>
  <si>
    <t>MATA DE PLATANO</t>
  </si>
  <si>
    <t>D.F.07.2022</t>
  </si>
  <si>
    <t>MARIA YAMILETH DE LOS ANGELES</t>
  </si>
  <si>
    <t>D.F.08.22</t>
  </si>
  <si>
    <t>FLOR DE MARIA SOCORRO</t>
  </si>
  <si>
    <t>hepatopatia cronica evoluciona NASH</t>
  </si>
  <si>
    <t>ESPARZA</t>
  </si>
  <si>
    <t>ESPIRITU SANTO</t>
  </si>
  <si>
    <t>PACIENTE ESTA SIENDO REINTERVENIDO, LAP EXPLORATORIA</t>
  </si>
  <si>
    <t>109080585</t>
  </si>
  <si>
    <t>D.F.092022</t>
  </si>
  <si>
    <t>JENNY CRISTINA</t>
  </si>
  <si>
    <t>PCR CAUSA DESCONOCIDA /HAKEO NO SE PUEDE VERIFICAR ACTA</t>
  </si>
  <si>
    <t>DF.11.2022</t>
  </si>
  <si>
    <t>DAYANNA CRISTINA</t>
  </si>
  <si>
    <t>ANDERSON</t>
  </si>
  <si>
    <t>TUCURRIQUE</t>
  </si>
  <si>
    <t>HACKEO</t>
  </si>
  <si>
    <t>DF.12.2022</t>
  </si>
  <si>
    <t>XINIA MARIA</t>
  </si>
  <si>
    <t>DULCE NOMBRE</t>
  </si>
  <si>
    <t>DF.16.2022</t>
  </si>
  <si>
    <t>OMAR MAURICIO</t>
  </si>
  <si>
    <t>LUNA</t>
  </si>
  <si>
    <t>EL GUARCO</t>
  </si>
  <si>
    <t>TOBOSI</t>
  </si>
  <si>
    <t>DF.17.2022</t>
  </si>
  <si>
    <t>ANGIE ALEJANDRA</t>
  </si>
  <si>
    <t>BERMUDEZ</t>
  </si>
  <si>
    <t>B -</t>
  </si>
  <si>
    <t xml:space="preserve">CIRROSIS  SECUNDARIA A  DEPOSITOS DE ESTERES </t>
  </si>
  <si>
    <t>D.F.19.22</t>
  </si>
  <si>
    <t>ALFONSO JESUS</t>
  </si>
  <si>
    <t>cIRROSIS Y hepatocarcinoma</t>
  </si>
  <si>
    <t>bien</t>
  </si>
  <si>
    <t>post paro y post TEP MASIVO</t>
  </si>
  <si>
    <t>106470983</t>
  </si>
  <si>
    <t>JESSICA VALERIA</t>
  </si>
  <si>
    <t>FAJARDO</t>
  </si>
  <si>
    <t>ADECUADA</t>
  </si>
  <si>
    <t>503990946</t>
  </si>
  <si>
    <t>DF.23.2022</t>
  </si>
  <si>
    <t>MARIAM CELESTE</t>
  </si>
  <si>
    <t>REYES</t>
  </si>
  <si>
    <t>Hepatocarcinoma</t>
  </si>
  <si>
    <t>Alajuela</t>
  </si>
  <si>
    <t>DELICADA</t>
  </si>
  <si>
    <t>Necrosis hemorrágica masiva del injerto</t>
  </si>
  <si>
    <t>702340152</t>
  </si>
  <si>
    <t>D.F.24.22</t>
  </si>
  <si>
    <t>MONTES</t>
  </si>
  <si>
    <t>HCE</t>
  </si>
  <si>
    <t>fallecio</t>
  </si>
  <si>
    <t>trombosis</t>
  </si>
  <si>
    <t>207180432</t>
  </si>
  <si>
    <t>D.F.25.22</t>
  </si>
  <si>
    <t>FROILAN DE JESUS</t>
  </si>
  <si>
    <t>ECV POR VIRUS HCV</t>
  </si>
  <si>
    <t>TIGRA</t>
  </si>
  <si>
    <t>503710257</t>
  </si>
  <si>
    <t>D.F.26.22</t>
  </si>
  <si>
    <t>ABELARDO GERARDO DEL SOCORRO</t>
  </si>
  <si>
    <t>CIRROSIS HEPATICA, HBV OBSRVACION POR DILI</t>
  </si>
  <si>
    <t>PACIENTE EN LA UTI</t>
  </si>
  <si>
    <t>206230335</t>
  </si>
  <si>
    <t>DF.27.2022</t>
  </si>
  <si>
    <t>ESTRADA</t>
  </si>
  <si>
    <t>UREÑA</t>
  </si>
  <si>
    <t>ESTATUS 1 A / ENF DE WILSON</t>
  </si>
  <si>
    <t>D.F.28.22</t>
  </si>
  <si>
    <t>MARIO GERARDO</t>
  </si>
  <si>
    <t>CESPEDES</t>
  </si>
  <si>
    <t>HEPATOCARCINOMA</t>
  </si>
  <si>
    <t>BIEN</t>
  </si>
  <si>
    <t>701950352</t>
  </si>
  <si>
    <t>DF.29.2022</t>
  </si>
  <si>
    <t>GREIVIN GILBERTO</t>
  </si>
  <si>
    <t>DF.30.2022</t>
  </si>
  <si>
    <t>ENRIQUE JOSE</t>
  </si>
  <si>
    <t>QUANT</t>
  </si>
  <si>
    <t>CHONG</t>
  </si>
  <si>
    <t>CHINA</t>
  </si>
  <si>
    <t>FALLO DE INJERTO</t>
  </si>
  <si>
    <t>DF.02.2023</t>
  </si>
  <si>
    <t>CARLOS FRANCISCO</t>
  </si>
  <si>
    <t>hepatocarcinoma</t>
  </si>
  <si>
    <t>bien paciente salio extubado de sala</t>
  </si>
  <si>
    <t>DF.03.2023</t>
  </si>
  <si>
    <t>GIOVANNI</t>
  </si>
  <si>
    <t>SERRANO</t>
  </si>
  <si>
    <t>AGUACALIENTE (SAN FRANCISCO)</t>
  </si>
  <si>
    <t>DF.04.2023</t>
  </si>
  <si>
    <t>SIGIFREDO DEL CARMEN</t>
  </si>
  <si>
    <t>OVIEDO</t>
  </si>
  <si>
    <t>HEPATOCARCINOMA + OH</t>
  </si>
  <si>
    <t>DF.06.2023</t>
  </si>
  <si>
    <t>ISAIAS</t>
  </si>
  <si>
    <t>GAMAZO</t>
  </si>
  <si>
    <t xml:space="preserve">Probable Atresia de vías biliares </t>
  </si>
  <si>
    <t>Adecuada</t>
  </si>
  <si>
    <t>hemorragia pulmonar
bilateral extensa, CID, necrosis isquémica en más del 95 % del parénquima del injerto injerto hepático (trombosis de VP y AH)</t>
  </si>
  <si>
    <t>DF.07.2023</t>
  </si>
  <si>
    <t>JOSE RICARDO</t>
  </si>
  <si>
    <t>ALPIZAR</t>
  </si>
  <si>
    <t>JEANNETTE</t>
  </si>
  <si>
    <t>LORIO</t>
  </si>
  <si>
    <t>DEL CASTILLO</t>
  </si>
  <si>
    <t>JULIO ALFREDO</t>
  </si>
  <si>
    <t>HEPATITIS AUTOINMUNE TRASLAPE</t>
  </si>
  <si>
    <t>KARIM GAEL</t>
  </si>
  <si>
    <t>TROMBOSIS VENA PORTA +HIPERTENSIÓN PORTAL INTRAHEPÁTICA SEVERA</t>
  </si>
  <si>
    <t>SAN ISIDRO DEL GENERAL</t>
  </si>
  <si>
    <t>D.F.09.23</t>
  </si>
  <si>
    <t xml:space="preserve">RIGOBERTO </t>
  </si>
  <si>
    <t xml:space="preserve">MAYORGA </t>
  </si>
  <si>
    <t>HEPATITIS AUTOINMUNE, CIRROSIS</t>
  </si>
  <si>
    <t>BELEN DE NOSARITA</t>
  </si>
  <si>
    <t>DF.12.2023</t>
  </si>
  <si>
    <t>EDGAR MARTIN</t>
  </si>
  <si>
    <t>A-</t>
  </si>
  <si>
    <t>GUARDIA</t>
  </si>
  <si>
    <t>CIRROSIS ALCOHOLICA</t>
  </si>
  <si>
    <t>DF.15.2023</t>
  </si>
  <si>
    <t>MARICELA ROCIO</t>
  </si>
  <si>
    <t>MATA</t>
  </si>
  <si>
    <t>B-</t>
  </si>
  <si>
    <t>DILI / NASH</t>
  </si>
  <si>
    <t xml:space="preserve">SAN RAFAEL </t>
  </si>
  <si>
    <t>SHOCK MIXTO,  VASOPLEJIA POST TRASPLANTE HEPATICO</t>
  </si>
  <si>
    <t>RAISSA ANGELINE</t>
  </si>
  <si>
    <t>Glucogenosis tipo II</t>
  </si>
  <si>
    <t>IRENE SALOME</t>
  </si>
  <si>
    <t>AZOFEIFA</t>
  </si>
  <si>
    <t>O-</t>
  </si>
  <si>
    <t>EMOCIONALMENTE RELACIONADO</t>
  </si>
  <si>
    <t>YEIRON ALEXIS</t>
  </si>
  <si>
    <t>CAMACHO</t>
  </si>
  <si>
    <t>HEPATOPATÍA CRÓNICA EVOLUCIONADA POR ATRESIA DE VÍAS BILIARES</t>
  </si>
  <si>
    <t>FALLO MULTIORGÁNICO. TROMBOSIS PARCIAL DE VENA PORTA</t>
  </si>
  <si>
    <t>DF. 21.2023 HSJD</t>
  </si>
  <si>
    <t>OSCAR LUIS DE LA TRINIDAD</t>
  </si>
  <si>
    <t>BARQUERO</t>
  </si>
  <si>
    <t>DF..22.2023</t>
  </si>
  <si>
    <t>MARIA ISABEL DE LAS PIEDADES</t>
  </si>
  <si>
    <t>AGUILAR</t>
  </si>
  <si>
    <t>DF..23.2023 HSJD</t>
  </si>
  <si>
    <t xml:space="preserve">NAOMY ISABEL </t>
  </si>
  <si>
    <t xml:space="preserve">RODRIGUEZ </t>
  </si>
  <si>
    <t>ESTATUS 1 A PEDIATRICO / ENF DE WILSON</t>
  </si>
  <si>
    <t>AGUA CALIENTE</t>
  </si>
  <si>
    <t>EVONNY ZHARICK</t>
  </si>
  <si>
    <t>VENECIA</t>
  </si>
  <si>
    <t>DF.24.23</t>
  </si>
  <si>
    <t>NORBERTO WILLIAM</t>
  </si>
  <si>
    <t>hepatopata cronica en fase cirrotica compensada por nash+ OH con hipertesion portal e hiperesplenismo</t>
  </si>
  <si>
    <t xml:space="preserve">BIEN </t>
  </si>
  <si>
    <t>ADRIAN</t>
  </si>
  <si>
    <t>HEPATOCARCINOMA  CRIPTOGENICA VS NASH</t>
  </si>
  <si>
    <t>HEPATOCARCINOMA + HEPATITIS AUTOINMUNE</t>
  </si>
  <si>
    <t>SOBRINO</t>
  </si>
  <si>
    <t>DF.03.2024 HSJD</t>
  </si>
  <si>
    <t>FALLA MULTIORGANICA / COVID</t>
  </si>
  <si>
    <t>DF.04.2024 HCG</t>
  </si>
  <si>
    <t>MARIO ALBERTO DEL CARMEN</t>
  </si>
  <si>
    <t xml:space="preserve">DF.05.2024 HSJD </t>
  </si>
  <si>
    <t>OSCAR GERARDO</t>
  </si>
  <si>
    <t>CIRROSIS ALCOHOLICA + NASH</t>
  </si>
  <si>
    <t>BRASIL</t>
  </si>
  <si>
    <t>MIRIAM</t>
  </si>
  <si>
    <t>MENCHU</t>
  </si>
  <si>
    <t>GUATEMALA</t>
  </si>
  <si>
    <t>DF.10.2024 HSJD</t>
  </si>
  <si>
    <t>ISABEL MARLENE DEL CARMEN</t>
  </si>
  <si>
    <t>PORTUGUEZ</t>
  </si>
  <si>
    <t>COT</t>
  </si>
  <si>
    <t>DF.11.2024 HM</t>
  </si>
  <si>
    <t>RONALD VINICIO</t>
  </si>
  <si>
    <t>CUBERO</t>
  </si>
  <si>
    <t>CIRROSIS CRIPTOGÉNICA</t>
  </si>
  <si>
    <t>DF.12.24</t>
  </si>
  <si>
    <t>LUIS RUBEN</t>
  </si>
  <si>
    <t>HCE X OH + NASH</t>
  </si>
  <si>
    <t>DF.13.2024 HCG</t>
  </si>
  <si>
    <t>GREGORIO</t>
  </si>
  <si>
    <t>MUSMANNI</t>
  </si>
  <si>
    <t>QUINTANA</t>
  </si>
  <si>
    <t>DF.14.2024 08 JUNIO HM</t>
  </si>
  <si>
    <t>ALICIA MARIA</t>
  </si>
  <si>
    <t>HEPATOCARCINOMA + CBP</t>
  </si>
  <si>
    <t>LOS CHILES</t>
  </si>
  <si>
    <t>SAN JORGE</t>
  </si>
  <si>
    <t>DF.15.2024 10 JUNIO HSJD</t>
  </si>
  <si>
    <t>MARVIN CORONADO</t>
  </si>
  <si>
    <t>HEPATOCARCINOMA + VHB + OH</t>
  </si>
  <si>
    <t>DF.17.2024 HCG</t>
  </si>
  <si>
    <t>RONALD FELIPE</t>
  </si>
  <si>
    <t>HEPATOCARFCINOMA + NASH</t>
  </si>
  <si>
    <t>QUEBRADILLA</t>
  </si>
  <si>
    <t>DF.18.2024 HCG 29-06-2024</t>
  </si>
  <si>
    <t xml:space="preserve">MAYRA LUCIA </t>
  </si>
  <si>
    <t xml:space="preserve">RAMIREZ </t>
  </si>
  <si>
    <t>EXCELENTE EVOLUCION CLINICA</t>
  </si>
  <si>
    <t>DF.19.2025 HM 05-07-2024</t>
  </si>
  <si>
    <t>JAVIER</t>
  </si>
  <si>
    <t>VIQUEZ</t>
  </si>
  <si>
    <t>CIRROSIS</t>
  </si>
  <si>
    <t>TORPIDA EVOLUCION CLINICA</t>
  </si>
  <si>
    <t>DF.20.2024 HCH 08-07-2024</t>
  </si>
  <si>
    <t>JUAN CARLOS</t>
  </si>
  <si>
    <t>EXCELENETE EVOLUCION CLINICA</t>
  </si>
  <si>
    <t>DF.21.24</t>
  </si>
  <si>
    <t>TERESA DE LOS ANGELES</t>
  </si>
  <si>
    <t>HCE X NASH</t>
  </si>
  <si>
    <t>UPALA</t>
  </si>
  <si>
    <t>DF.23.24</t>
  </si>
  <si>
    <t>GREGORY</t>
  </si>
  <si>
    <t xml:space="preserve">HCE X OH </t>
  </si>
  <si>
    <t>PUENTE DE PIEDRA</t>
  </si>
  <si>
    <t>DF.22.2024 HCG 20/07/2024</t>
  </si>
  <si>
    <t>HERBERT</t>
  </si>
  <si>
    <t>HCA POR MASLD</t>
  </si>
  <si>
    <t>SABALITO</t>
  </si>
  <si>
    <t>SANGRADO DIGESTIVA, HEPÁTICO</t>
  </si>
  <si>
    <t>DF.24.2024 HSJD 25/07/2024</t>
  </si>
  <si>
    <t>DAGOBERTO</t>
  </si>
  <si>
    <t>NUÑEZ</t>
  </si>
  <si>
    <t>CIRROSIS HEPATICA</t>
  </si>
  <si>
    <t>DF.25.2024 HSJD 30/07/2024</t>
  </si>
  <si>
    <t>SERGIO DE JESUS</t>
  </si>
  <si>
    <t>GARRO</t>
  </si>
  <si>
    <t>DF.26.2024 HSJD 31/07/2024</t>
  </si>
  <si>
    <t>JOAQUIN</t>
  </si>
  <si>
    <t xml:space="preserve">CIRROSIS HEPATICA </t>
  </si>
  <si>
    <t>GILBERTO</t>
  </si>
  <si>
    <t>DF.28.2024 HM</t>
  </si>
  <si>
    <t>ANTONIO ENRIQUE</t>
  </si>
  <si>
    <t>EHCA POR NASH</t>
  </si>
  <si>
    <t>EXCELENTE EVOLUCION</t>
  </si>
  <si>
    <t>SEPSIS, DATOS DE RECHAZO AGUDO</t>
  </si>
  <si>
    <t>FALLA MULTIORGANICA / /SHOCK DISTRIBUTIVO</t>
  </si>
  <si>
    <t>RECHAZO</t>
  </si>
  <si>
    <t>NO SE INDICA</t>
  </si>
  <si>
    <t>DF.29.2024 HSJD</t>
  </si>
  <si>
    <t>OSCAR MARIANO</t>
  </si>
  <si>
    <t>MELENDEZ</t>
  </si>
  <si>
    <t>CIRROSIS POR METALD +CHC BCLC</t>
  </si>
  <si>
    <t>ALEXIS HUMBERTO</t>
  </si>
  <si>
    <t>EHAD PROBABLEMENTEMETABOLICA</t>
  </si>
  <si>
    <t>EXECELENTE EVOLUCION CLINICA</t>
  </si>
  <si>
    <t>DF.31.2024 HCG</t>
  </si>
  <si>
    <t>LAURA MARÍA</t>
  </si>
  <si>
    <t>PONCE</t>
  </si>
  <si>
    <t>CÓRDOBA</t>
  </si>
  <si>
    <t>DEGENERACIÓN CAVERNOMATOSA DE VENA PORTA</t>
  </si>
  <si>
    <t>POCOSOL</t>
  </si>
  <si>
    <t>INADECUADA</t>
  </si>
  <si>
    <t>SANGRADO MASIVO</t>
  </si>
  <si>
    <t>DF.01.2025</t>
  </si>
  <si>
    <t>ANTONIO MIGUEL GERARDO</t>
  </si>
  <si>
    <t>SAN PABLO</t>
  </si>
  <si>
    <t>DF.02.2025 24 ENERO HM</t>
  </si>
  <si>
    <t>PAULO CESAR</t>
  </si>
  <si>
    <t>HERNÁNDEZ</t>
  </si>
  <si>
    <t>DF.04.2025 06 FEBRERO HCG</t>
  </si>
  <si>
    <t>CORRALES</t>
  </si>
  <si>
    <t>ESTEATOHEPATITIS NO ALCOHOLICA</t>
  </si>
  <si>
    <t>DF.05.2025</t>
  </si>
  <si>
    <t>DF.07.2025</t>
  </si>
  <si>
    <t>PAULA ELENA</t>
  </si>
  <si>
    <t>LEITON</t>
  </si>
  <si>
    <t>DF.08.2025</t>
  </si>
  <si>
    <t>MARCOS HUMBERTO</t>
  </si>
  <si>
    <t>Esteatohepatitis no alchólica</t>
  </si>
  <si>
    <t>DF.09.2025</t>
  </si>
  <si>
    <t>MANUEL BENITO</t>
  </si>
  <si>
    <t>Cirrosis alcohólica</t>
  </si>
  <si>
    <t>DF.10.2025</t>
  </si>
  <si>
    <t>POCORA</t>
  </si>
  <si>
    <t>DF.11.2025</t>
  </si>
  <si>
    <t>OSCAR</t>
  </si>
  <si>
    <t>ORAMAS</t>
  </si>
  <si>
    <t>CUBA</t>
  </si>
  <si>
    <t>OROTINA</t>
  </si>
  <si>
    <t>EL MASTATE</t>
  </si>
  <si>
    <t>DF.15.2025</t>
  </si>
  <si>
    <t>MARIA CELESTE</t>
  </si>
  <si>
    <t>ENFERMEDAD DE WILSONS</t>
  </si>
  <si>
    <t>DF.16.2025</t>
  </si>
  <si>
    <t>DF.19.2025</t>
  </si>
  <si>
    <t>SHEYLA ALLISON</t>
  </si>
  <si>
    <t>VARELA</t>
  </si>
  <si>
    <t>Colestasis intrahepática familiar progresiva</t>
  </si>
  <si>
    <t>DF.20.2025</t>
  </si>
  <si>
    <t>EDWIN GERARDO</t>
  </si>
  <si>
    <t>OSA</t>
  </si>
  <si>
    <t>PUERTO CORTÉS</t>
  </si>
  <si>
    <t>DF.21.2025</t>
  </si>
  <si>
    <t>CARLOS DE LOS ANGELES</t>
  </si>
  <si>
    <t>DF.25.2025</t>
  </si>
  <si>
    <t>FRANCISCO ORLANDO</t>
  </si>
  <si>
    <t>DF.26.2025</t>
  </si>
  <si>
    <t>KARLA MARIA</t>
  </si>
  <si>
    <t>VANEGAS</t>
  </si>
  <si>
    <t>AVILES</t>
  </si>
  <si>
    <t>DF.27.2025</t>
  </si>
  <si>
    <t>RODRIGO IVAN</t>
  </si>
  <si>
    <t>PORTILLA</t>
  </si>
  <si>
    <t>WIRTH</t>
  </si>
  <si>
    <t>DF.28.2025</t>
  </si>
  <si>
    <t>DARWIN ALANDE</t>
  </si>
  <si>
    <t>ARANCIBIA</t>
  </si>
  <si>
    <t>ESTEATOSIS HEPÁTICA NO ALCOHOLICA</t>
  </si>
  <si>
    <t>DF.29.2025</t>
  </si>
  <si>
    <t>BOLAÑOS</t>
  </si>
  <si>
    <t>DF.30.2025</t>
  </si>
  <si>
    <t>MARIA MARLENE</t>
  </si>
  <si>
    <t>DF.13.25</t>
  </si>
  <si>
    <t>DYLAN JOSUÉ</t>
  </si>
  <si>
    <t>PIEDADES SUR</t>
  </si>
  <si>
    <t>FRANCISCO</t>
  </si>
  <si>
    <t>XINIA MARÍA</t>
  </si>
  <si>
    <t>CAROLINA SOFIA</t>
  </si>
  <si>
    <t>DF.31.2025  HSJD 16/05/2025</t>
  </si>
  <si>
    <t>MARTIN</t>
  </si>
  <si>
    <t>CIRROSIS CRIPTOGENICO + ESCLEROSIS PORTAL</t>
  </si>
  <si>
    <t>DF.38.2025</t>
  </si>
  <si>
    <t>HAI</t>
  </si>
  <si>
    <t>DF.40.2025</t>
  </si>
  <si>
    <t>SABINO GERARDO</t>
  </si>
  <si>
    <t>DF.41.2025</t>
  </si>
  <si>
    <t>LUIS RODOLFO</t>
  </si>
  <si>
    <t>EHCA</t>
  </si>
  <si>
    <t>DF.42.2025</t>
  </si>
  <si>
    <t>GLORIANA</t>
  </si>
  <si>
    <t>JAVIER ANTONIO</t>
  </si>
  <si>
    <t>STEPHANIE ALEXANDRA</t>
  </si>
  <si>
    <t>PALACIOS</t>
  </si>
  <si>
    <t>MANUEL</t>
  </si>
  <si>
    <t>VILLAGRA</t>
  </si>
  <si>
    <t>SUAREZ</t>
  </si>
  <si>
    <t>HEPATITIS POR VIRUS B, HCE POR MASH + HCC</t>
  </si>
  <si>
    <t>BIJAGUA</t>
  </si>
  <si>
    <t>SANGRADO INTRAVENTRICULAR MASIVO ESPONTANEO</t>
  </si>
  <si>
    <t>MAINOR</t>
  </si>
  <si>
    <t>JUANA ESMERALDA</t>
  </si>
  <si>
    <t>JARQUÍN</t>
  </si>
  <si>
    <t>LIANNE</t>
  </si>
  <si>
    <t>Cuenta de UP_TRASPLANTA</t>
  </si>
  <si>
    <t>UP2102 - HOSPITAL SAN JUAN DE DIOS</t>
  </si>
  <si>
    <t>UP2306 - HOSPITAL DR. MAX PERALTA</t>
  </si>
  <si>
    <t>PARENTESCO</t>
  </si>
  <si>
    <t>AÑO TRASPLANTE</t>
  </si>
  <si>
    <t>RIÑON</t>
  </si>
  <si>
    <t>2015HM4</t>
  </si>
  <si>
    <t>SANTOS</t>
  </si>
  <si>
    <t>NO ESPECIFICADO</t>
  </si>
  <si>
    <t>Los Chiles, Alajuela</t>
  </si>
  <si>
    <t>2015HSR1</t>
  </si>
  <si>
    <t>ALBERTO</t>
  </si>
  <si>
    <t>Heredia</t>
  </si>
  <si>
    <t>2015HR1</t>
  </si>
  <si>
    <t>MARIA JULIA</t>
  </si>
  <si>
    <t>hermano</t>
  </si>
  <si>
    <t>SAM GERARDO</t>
  </si>
  <si>
    <t>2015HM1</t>
  </si>
  <si>
    <t>MARIA DE LOS ANGELES</t>
  </si>
  <si>
    <t>RUIZ</t>
  </si>
  <si>
    <t>MORAGA</t>
  </si>
  <si>
    <t>Guanacaste</t>
  </si>
  <si>
    <t>MARIO ALBERTO</t>
  </si>
  <si>
    <t>ABARCA</t>
  </si>
  <si>
    <t>ESTEFANIE MARIA</t>
  </si>
  <si>
    <t>2015HM2</t>
  </si>
  <si>
    <t>JUAN JOSE</t>
  </si>
  <si>
    <t>GARITA</t>
  </si>
  <si>
    <t>Hija</t>
  </si>
  <si>
    <t>JOSE ENRIQUE SANTIAGO</t>
  </si>
  <si>
    <t>Hijo</t>
  </si>
  <si>
    <t>ANA MARIA</t>
  </si>
  <si>
    <t>2015HM3</t>
  </si>
  <si>
    <t>JOHANNA VANESSA</t>
  </si>
  <si>
    <t>RIOS</t>
  </si>
  <si>
    <t>Jaco, Puntarenas</t>
  </si>
  <si>
    <t>Hermano</t>
  </si>
  <si>
    <t>INGRID MARIA</t>
  </si>
  <si>
    <t>ALLON</t>
  </si>
  <si>
    <t>BELLAMIRA</t>
  </si>
  <si>
    <t>FALLAS</t>
  </si>
  <si>
    <t>Herradura Puntarenas</t>
  </si>
  <si>
    <t>SANDRA MAYELA DE JESUS</t>
  </si>
  <si>
    <t>SAN ROQUE</t>
  </si>
  <si>
    <t>MIGUEL JERONIMO</t>
  </si>
  <si>
    <t>VIRGINIA FRANCISCA</t>
  </si>
  <si>
    <t>Primo</t>
  </si>
  <si>
    <t>JOSUE ADIEL</t>
  </si>
  <si>
    <t>ELADIO REMIGIO</t>
  </si>
  <si>
    <t>Prima</t>
  </si>
  <si>
    <t>Esposa</t>
  </si>
  <si>
    <t>JOSE FELIPE</t>
  </si>
  <si>
    <t>GARAY</t>
  </si>
  <si>
    <t>BEBEDERO</t>
  </si>
  <si>
    <t>LIGIA MARIA</t>
  </si>
  <si>
    <t>MAIETTA</t>
  </si>
  <si>
    <t>Hermana</t>
  </si>
  <si>
    <t>RANDY GERARDO</t>
  </si>
  <si>
    <t>Sobrino Politico</t>
  </si>
  <si>
    <t>Cartago</t>
  </si>
  <si>
    <t>RAMON</t>
  </si>
  <si>
    <t>OCONITRILLO</t>
  </si>
  <si>
    <t>BAGACES</t>
  </si>
  <si>
    <t>2015LIB2</t>
  </si>
  <si>
    <t>DENNIS MAURICIO</t>
  </si>
  <si>
    <t>TREMINIO</t>
  </si>
  <si>
    <t>MARVIN ISIDORO</t>
  </si>
  <si>
    <t>hija</t>
  </si>
  <si>
    <t>JOSE DIONISIO</t>
  </si>
  <si>
    <t>Sobrino</t>
  </si>
  <si>
    <t>JAVIER ADEMAR</t>
  </si>
  <si>
    <t>PEREIRA</t>
  </si>
  <si>
    <t>FREDDY</t>
  </si>
  <si>
    <t>Padre</t>
  </si>
  <si>
    <t>GEINER ANDRES</t>
  </si>
  <si>
    <t>HANNIA LIGIA</t>
  </si>
  <si>
    <t>GUERRERO</t>
  </si>
  <si>
    <t>ADRIANA MARIA</t>
  </si>
  <si>
    <t>sobrina</t>
  </si>
  <si>
    <t>LEONARDO</t>
  </si>
  <si>
    <t>ALEXANDER</t>
  </si>
  <si>
    <t>mama</t>
  </si>
  <si>
    <t>ROBERTO CARLOS</t>
  </si>
  <si>
    <t>AREVALO</t>
  </si>
  <si>
    <t>DAVID</t>
  </si>
  <si>
    <t>2015HM10</t>
  </si>
  <si>
    <t>2015HM7</t>
  </si>
  <si>
    <t>JUAN MARIA</t>
  </si>
  <si>
    <t>2015HMP1</t>
  </si>
  <si>
    <t>Hatillo SJ</t>
  </si>
  <si>
    <t>CARLOS ANTONIO</t>
  </si>
  <si>
    <t>CORTEZ</t>
  </si>
  <si>
    <t>VALDEZ</t>
  </si>
  <si>
    <t>ISABEL</t>
  </si>
  <si>
    <t>JUAN LUIS</t>
  </si>
  <si>
    <t>MAYORGA</t>
  </si>
  <si>
    <t>2015HM6</t>
  </si>
  <si>
    <t>SARA MARIA</t>
  </si>
  <si>
    <t>DANNY GERARDO</t>
  </si>
  <si>
    <t>2015HM8</t>
  </si>
  <si>
    <t>EDSON</t>
  </si>
  <si>
    <t>DANNY ALONSO</t>
  </si>
  <si>
    <t>RAFAEL</t>
  </si>
  <si>
    <t>2015LIB1</t>
  </si>
  <si>
    <t>DAVID GERARDO</t>
  </si>
  <si>
    <t>CARMEN MARIA</t>
  </si>
  <si>
    <t>VILLARREAL</t>
  </si>
  <si>
    <t>CARLOS ALFREDO</t>
  </si>
  <si>
    <t>LUIS MARCIANO</t>
  </si>
  <si>
    <t>CUBILLO</t>
  </si>
  <si>
    <t>ZENEYDA MELANIA DEL ROSARIO</t>
  </si>
  <si>
    <t>AVELLAN</t>
  </si>
  <si>
    <t>ROGER OLEGARIO</t>
  </si>
  <si>
    <t>HURTADO</t>
  </si>
  <si>
    <t>ELISA MARIA</t>
  </si>
  <si>
    <t>JOSE ANDRES</t>
  </si>
  <si>
    <t>ROSENDAHL</t>
  </si>
  <si>
    <t>SAN MATEO</t>
  </si>
  <si>
    <t>MINOR</t>
  </si>
  <si>
    <t>MINOR RAFAEL</t>
  </si>
  <si>
    <t>ADRIANA</t>
  </si>
  <si>
    <t>MEDRANO</t>
  </si>
  <si>
    <t>PEÑA</t>
  </si>
  <si>
    <t>ANTHONY JOSUE</t>
  </si>
  <si>
    <t>Media hermana</t>
  </si>
  <si>
    <t>CRISTIAN</t>
  </si>
  <si>
    <t>ARTEAGA</t>
  </si>
  <si>
    <t>Tia politica</t>
  </si>
  <si>
    <t>RANDALL GEOVANNY</t>
  </si>
  <si>
    <t>NEFTALI DEL CARMEN</t>
  </si>
  <si>
    <t>SANDI</t>
  </si>
  <si>
    <t>LESBIA VERONICA</t>
  </si>
  <si>
    <t>NANDAYURE</t>
  </si>
  <si>
    <t>CARMONA</t>
  </si>
  <si>
    <t>2016HM9</t>
  </si>
  <si>
    <t>ROYNER GERARDO</t>
  </si>
  <si>
    <t>TIJERINO</t>
  </si>
  <si>
    <t>MARIA ESTHER</t>
  </si>
  <si>
    <t>2016HM1</t>
  </si>
  <si>
    <t>SANDRA MARIA</t>
  </si>
  <si>
    <t>CISNEROS</t>
  </si>
  <si>
    <t>primo</t>
  </si>
  <si>
    <t>CARLOS ALEJANDRO</t>
  </si>
  <si>
    <t>2016HM2</t>
  </si>
  <si>
    <t>NICOLAS HUMBERTO</t>
  </si>
  <si>
    <t>SIQUIRRES</t>
  </si>
  <si>
    <t>PACUARITO</t>
  </si>
  <si>
    <t>GERARDO ENRIQUE</t>
  </si>
  <si>
    <t>ESTEBAN</t>
  </si>
  <si>
    <t>YORLENI</t>
  </si>
  <si>
    <t>Puntarenas</t>
  </si>
  <si>
    <t>2016HM3</t>
  </si>
  <si>
    <t>ANDREA JEANNETTE</t>
  </si>
  <si>
    <t>YESENIA</t>
  </si>
  <si>
    <t>MIGUEL ANGEL</t>
  </si>
  <si>
    <t>TORUÑO</t>
  </si>
  <si>
    <t>2016HM4</t>
  </si>
  <si>
    <t>KAROLINA DE LOS ANGELES</t>
  </si>
  <si>
    <t>TRIGUEROS</t>
  </si>
  <si>
    <t>WILLIAN ANTONIO</t>
  </si>
  <si>
    <t>SILVA</t>
  </si>
  <si>
    <t>ANA IRIS</t>
  </si>
  <si>
    <t>2016HM5</t>
  </si>
  <si>
    <t>ORLANDO ADOLFO</t>
  </si>
  <si>
    <t>SERRA</t>
  </si>
  <si>
    <t>Tibas, SJ</t>
  </si>
  <si>
    <t>Escaz,SJ</t>
  </si>
  <si>
    <t>RANDALL ELIAS</t>
  </si>
  <si>
    <t>Grecia</t>
  </si>
  <si>
    <t>2016HM7</t>
  </si>
  <si>
    <t>ASDRUBAL FELIPE</t>
  </si>
  <si>
    <t>DURAN</t>
  </si>
  <si>
    <t>2016HM6</t>
  </si>
  <si>
    <t>ODIR</t>
  </si>
  <si>
    <t>Sabanilla,SJ</t>
  </si>
  <si>
    <t>LUIS GENARO</t>
  </si>
  <si>
    <t>LA CRUZ</t>
  </si>
  <si>
    <t>CARLOS ROBERTO</t>
  </si>
  <si>
    <t>WILLE</t>
  </si>
  <si>
    <t>MARCOS ESTEBAN</t>
  </si>
  <si>
    <t>SARCHI</t>
  </si>
  <si>
    <t>HENRY HUMBERTO</t>
  </si>
  <si>
    <t>DONALD</t>
  </si>
  <si>
    <t>CESAR ANDRES</t>
  </si>
  <si>
    <t>VIDAL ESTEBAN</t>
  </si>
  <si>
    <t>Grecia, Alajuela</t>
  </si>
  <si>
    <t>PEDRO JOSE DE LA TRI</t>
  </si>
  <si>
    <t>ENRIQUE GERARDO</t>
  </si>
  <si>
    <t>2016HSRA1</t>
  </si>
  <si>
    <t>DERIAN ORLANDO</t>
  </si>
  <si>
    <t>2016HM10</t>
  </si>
  <si>
    <t>LUIS AGUSTIN</t>
  </si>
  <si>
    <t>MAYRA</t>
  </si>
  <si>
    <t>LIZBETH DE LOS ANGELES</t>
  </si>
  <si>
    <t>ESTEBAN DE JESUS</t>
  </si>
  <si>
    <t>2016HSJD1</t>
  </si>
  <si>
    <t>EMILADY DEL SOCORRO</t>
  </si>
  <si>
    <t>ELIZONDO</t>
  </si>
  <si>
    <t>2016HM12</t>
  </si>
  <si>
    <t>OMAR ENRIQUE</t>
  </si>
  <si>
    <t>MARENCO</t>
  </si>
  <si>
    <t>GISELLE</t>
  </si>
  <si>
    <t>GUIDO EFREN</t>
  </si>
  <si>
    <t>YASCARA</t>
  </si>
  <si>
    <t>KEYLOR</t>
  </si>
  <si>
    <t>CARAZO</t>
  </si>
  <si>
    <t>ACEVEDO</t>
  </si>
  <si>
    <t>JOSE BENIGNO</t>
  </si>
  <si>
    <t>REDONDO</t>
  </si>
  <si>
    <t>RIÑÓN</t>
  </si>
  <si>
    <t>N/A</t>
  </si>
  <si>
    <t>madre</t>
  </si>
  <si>
    <t>WILLIAM JOSE</t>
  </si>
  <si>
    <t>VELASQUEZ</t>
  </si>
  <si>
    <t>JUSTIN ADRIAN</t>
  </si>
  <si>
    <t>hermana</t>
  </si>
  <si>
    <t>IVONNE MARCELA</t>
  </si>
  <si>
    <t>ARPECHE</t>
  </si>
  <si>
    <t>2017HM3</t>
  </si>
  <si>
    <t>GUELL</t>
  </si>
  <si>
    <t>NAYELI GEORGINA</t>
  </si>
  <si>
    <t>CECILIA</t>
  </si>
  <si>
    <t>Relacionado</t>
  </si>
  <si>
    <t>ULATE</t>
  </si>
  <si>
    <t>ERC ESTADÍO V</t>
  </si>
  <si>
    <t>JOSE ALBERTO</t>
  </si>
  <si>
    <t>TURRUCARES</t>
  </si>
  <si>
    <t>PRISCILLA DEL MILAGRO</t>
  </si>
  <si>
    <t>2017HM6</t>
  </si>
  <si>
    <t>O +</t>
  </si>
  <si>
    <t>CARLOS STEVEN</t>
  </si>
  <si>
    <t>VALERIO</t>
  </si>
  <si>
    <t>ROBERTO EDUARDO</t>
  </si>
  <si>
    <t>LEFEBRE</t>
  </si>
  <si>
    <t>MARICELA MAYELA</t>
  </si>
  <si>
    <t>CUTRIS</t>
  </si>
  <si>
    <t>Mama</t>
  </si>
  <si>
    <t>VIALES</t>
  </si>
  <si>
    <t>HECTOR ISAAC DEL DUL</t>
  </si>
  <si>
    <t>MORGAN</t>
  </si>
  <si>
    <t>MONTEALEGRE</t>
  </si>
  <si>
    <t>CAROL VANESSA</t>
  </si>
  <si>
    <t>MARIA AUXILIADORA</t>
  </si>
  <si>
    <t>MIRIAM ELIZABETH</t>
  </si>
  <si>
    <t>VILLANUEVA</t>
  </si>
  <si>
    <t>OSCAR MAURICIO</t>
  </si>
  <si>
    <t>RIO CUARTO</t>
  </si>
  <si>
    <t>CARLOS EDGAR</t>
  </si>
  <si>
    <t>THOMPSON</t>
  </si>
  <si>
    <t>ARMANDO</t>
  </si>
  <si>
    <t>CARLO HANS</t>
  </si>
  <si>
    <t>LUIS ALBERTO</t>
  </si>
  <si>
    <t>ABURTO</t>
  </si>
  <si>
    <t>USEDA</t>
  </si>
  <si>
    <t>MARTHA LORENA</t>
  </si>
  <si>
    <t>Chiles Alajuela</t>
  </si>
  <si>
    <t>JEANNETTE DE LOS ANGELES</t>
  </si>
  <si>
    <t>ELIECER</t>
  </si>
  <si>
    <t>Heredia, st.Barbara</t>
  </si>
  <si>
    <t>ANA LAURA</t>
  </si>
  <si>
    <t>Desamparados, SJ</t>
  </si>
  <si>
    <t>PRIVADO</t>
  </si>
  <si>
    <t>Traslado de hospital biblica, donde se realizo el trasplante, no se tiene documentos de entrevistas y valoraciones ya que esta valoracion se realizo en privado</t>
  </si>
  <si>
    <t>nicaraguense</t>
  </si>
  <si>
    <t>ELSA MARIA</t>
  </si>
  <si>
    <t>CARDOZA</t>
  </si>
  <si>
    <t>Liberia, Guanacaste</t>
  </si>
  <si>
    <t>EDER JOSE</t>
  </si>
  <si>
    <t>ZARAGOZA</t>
  </si>
  <si>
    <t>ASTRID VERONICA</t>
  </si>
  <si>
    <t>Hijastra (mismo apellido)</t>
  </si>
  <si>
    <t>ELOY FREDDY</t>
  </si>
  <si>
    <t>FIGUEROA</t>
  </si>
  <si>
    <t>Upala</t>
  </si>
  <si>
    <t>AVIMELET</t>
  </si>
  <si>
    <t>hijo</t>
  </si>
  <si>
    <t>JOSE MIGUEL</t>
  </si>
  <si>
    <t>Hojancha, Guanacaste</t>
  </si>
  <si>
    <t>PEDRO WALTER</t>
  </si>
  <si>
    <t>DIEGO JOSE</t>
  </si>
  <si>
    <t>prima</t>
  </si>
  <si>
    <t>ODALIA</t>
  </si>
  <si>
    <t>LEONIDAS</t>
  </si>
  <si>
    <t>Palmares Alajuela</t>
  </si>
  <si>
    <t>FREDDY ALEXIS</t>
  </si>
  <si>
    <t>JONATHAN</t>
  </si>
  <si>
    <t>RIO SEGUNDO</t>
  </si>
  <si>
    <t>ROBINSON</t>
  </si>
  <si>
    <t>LUIS ANGEL</t>
  </si>
  <si>
    <t>AVENDAÑO</t>
  </si>
  <si>
    <t>CARLOS EDUARDO</t>
  </si>
  <si>
    <t>INES JUANITA</t>
  </si>
  <si>
    <t>SIRIAS</t>
  </si>
  <si>
    <t>MINOR STANLEY</t>
  </si>
  <si>
    <t>HAYDEE MIREYA</t>
  </si>
  <si>
    <t>MAGALLY CHARLOTTE</t>
  </si>
  <si>
    <t>CLAUDIO LEOPOLDO</t>
  </si>
  <si>
    <t>OYANEDEL</t>
  </si>
  <si>
    <t>JARA</t>
  </si>
  <si>
    <t>CHILE</t>
  </si>
  <si>
    <t>San Pablo, Heredia</t>
  </si>
  <si>
    <t>RAFAELA CLARA SEIDI</t>
  </si>
  <si>
    <t>ARROYO</t>
  </si>
  <si>
    <t>VALERY NATASHA</t>
  </si>
  <si>
    <t>YOURI FERNANDO DE JESUS</t>
  </si>
  <si>
    <t>Cañas, Guanacaste</t>
  </si>
  <si>
    <t>FARID JOSUE</t>
  </si>
  <si>
    <t>MINOR JULIO</t>
  </si>
  <si>
    <t>DEYVI ADOLFO</t>
  </si>
  <si>
    <t>GAGO</t>
  </si>
  <si>
    <t>FILADELFIA</t>
  </si>
  <si>
    <t>sobrino</t>
  </si>
  <si>
    <t>LORENZO ALBERTO</t>
  </si>
  <si>
    <t>CENTRO</t>
  </si>
  <si>
    <t>MARCOS VINICIO</t>
  </si>
  <si>
    <t>MONTENEGRO</t>
  </si>
  <si>
    <t>SARMIENTO</t>
  </si>
  <si>
    <t>PERAZA</t>
  </si>
  <si>
    <t>DISTRITO ELECTORAL DESHABILITADO</t>
  </si>
  <si>
    <t>HECTOR WILLIAM</t>
  </si>
  <si>
    <t>AGUERO</t>
  </si>
  <si>
    <t>ALLAN ADEMAR</t>
  </si>
  <si>
    <t>BEGNOZZI</t>
  </si>
  <si>
    <t>NELSON PORFIRIO DE LOS ANGELES</t>
  </si>
  <si>
    <t>AMAYA</t>
  </si>
  <si>
    <t>SOLORZANO</t>
  </si>
  <si>
    <t>JAUBERT</t>
  </si>
  <si>
    <t>LUIS ALEJANDRO</t>
  </si>
  <si>
    <t>Upala, alajuela</t>
  </si>
  <si>
    <t>esposa</t>
  </si>
  <si>
    <t>LUIS DANNY</t>
  </si>
  <si>
    <t>SANTA BARBARA</t>
  </si>
  <si>
    <t>JULIO CESAR</t>
  </si>
  <si>
    <t>MARIA INES</t>
  </si>
  <si>
    <t>MORERA</t>
  </si>
  <si>
    <t>WILLIAM ENRIQUE</t>
  </si>
  <si>
    <t>SCOTT</t>
  </si>
  <si>
    <t>WRIGHT</t>
  </si>
  <si>
    <t>LUIS HUMBERTO</t>
  </si>
  <si>
    <t>LIDIETTE</t>
  </si>
  <si>
    <t>TENORIO</t>
  </si>
  <si>
    <t>SHERAND CAROLINA</t>
  </si>
  <si>
    <t>PETERKIN</t>
  </si>
  <si>
    <t>BROWN</t>
  </si>
  <si>
    <t>OSCAR ARNOLDO JOSE</t>
  </si>
  <si>
    <t>HECTOR VINICIO</t>
  </si>
  <si>
    <t>ROMY EUGENIA</t>
  </si>
  <si>
    <t>REÑAZCO</t>
  </si>
  <si>
    <t>VALQUIRUTH</t>
  </si>
  <si>
    <t>LAMPIN</t>
  </si>
  <si>
    <t>LUIS</t>
  </si>
  <si>
    <t>ROBLES</t>
  </si>
  <si>
    <t>COLLADO</t>
  </si>
  <si>
    <t>ADOLFO ENRIQUE</t>
  </si>
  <si>
    <t>DOLORES PATRICIA</t>
  </si>
  <si>
    <t>PADILLA</t>
  </si>
  <si>
    <t>JAIRO MAURICIO</t>
  </si>
  <si>
    <t>GISSELLE DE LOS ANGELES</t>
  </si>
  <si>
    <t>DANIEL ESTEBAN</t>
  </si>
  <si>
    <t>NOE GERARDO DE JESUS</t>
  </si>
  <si>
    <t>MERCED</t>
  </si>
  <si>
    <t>JEISON</t>
  </si>
  <si>
    <t>BUENOS AIRES</t>
  </si>
  <si>
    <t>YARELYS FANNETH</t>
  </si>
  <si>
    <t>BEITA</t>
  </si>
  <si>
    <t>IVANNIA MARIA</t>
  </si>
  <si>
    <t>No Relacionado</t>
  </si>
  <si>
    <t>MASIEL VANESSA</t>
  </si>
  <si>
    <t>SALVATIERRA</t>
  </si>
  <si>
    <t>JENNY CAROLINA</t>
  </si>
  <si>
    <t>LA COLONIA</t>
  </si>
  <si>
    <t>NORMAN</t>
  </si>
  <si>
    <t>RICARDO DE JESUS</t>
  </si>
  <si>
    <t>BOZA</t>
  </si>
  <si>
    <t>TIRRASES</t>
  </si>
  <si>
    <t>MARLENE MILADIZ</t>
  </si>
  <si>
    <t>LA GARITA</t>
  </si>
  <si>
    <t>RAMON ANTONIO</t>
  </si>
  <si>
    <t>LOBO</t>
  </si>
  <si>
    <t>DANIEL</t>
  </si>
  <si>
    <t>FENNELL</t>
  </si>
  <si>
    <t>PUSCHENDORF</t>
  </si>
  <si>
    <t>MARTIN ANTONIO</t>
  </si>
  <si>
    <t>OLIVARES</t>
  </si>
  <si>
    <t>GLORIA MAGNA</t>
  </si>
  <si>
    <t>GERMAN ALEJANDRO</t>
  </si>
  <si>
    <t>MEZA</t>
  </si>
  <si>
    <t>NYDIA MARITZA</t>
  </si>
  <si>
    <t>KAREN VANESSA</t>
  </si>
  <si>
    <t>PANIAGUA</t>
  </si>
  <si>
    <t>RONALD DE LOS ANGELES</t>
  </si>
  <si>
    <t>OTAROLA</t>
  </si>
  <si>
    <t>NACASCOLO</t>
  </si>
  <si>
    <t>LUIS ANTONIO</t>
  </si>
  <si>
    <t>JORGE ADALBERTO</t>
  </si>
  <si>
    <t>HOSPITAL</t>
  </si>
  <si>
    <t xml:space="preserve">PITAL </t>
  </si>
  <si>
    <t>AVELINO</t>
  </si>
  <si>
    <t>TELLEZ</t>
  </si>
  <si>
    <t>RAFAEL JESUS</t>
  </si>
  <si>
    <t>REMBERTO NAPOLEON</t>
  </si>
  <si>
    <t>JOVEL</t>
  </si>
  <si>
    <t>EL SALVADOR</t>
  </si>
  <si>
    <t>ELIZABETH</t>
  </si>
  <si>
    <t>RODOLFO FRANCISCO DE</t>
  </si>
  <si>
    <t>WATTSON</t>
  </si>
  <si>
    <t>YULEISY</t>
  </si>
  <si>
    <t>MARIA GISELLE</t>
  </si>
  <si>
    <t>FRANDER ALBERTO</t>
  </si>
  <si>
    <t>NAOMI RACHELL</t>
  </si>
  <si>
    <t>APU</t>
  </si>
  <si>
    <t>LEON</t>
  </si>
  <si>
    <t>FRANCIS MARIA</t>
  </si>
  <si>
    <t>alajuela</t>
  </si>
  <si>
    <t>HERMANO</t>
  </si>
  <si>
    <t>MARLEN GERARDA</t>
  </si>
  <si>
    <t>OSES</t>
  </si>
  <si>
    <t>HRMANO</t>
  </si>
  <si>
    <t>SANTANA</t>
  </si>
  <si>
    <t>KATTYA MARCELA</t>
  </si>
  <si>
    <t>ANGULO</t>
  </si>
  <si>
    <t>GUADALUPE (ARENILLA)</t>
  </si>
  <si>
    <t>ANA ISABEL GERARDINA</t>
  </si>
  <si>
    <t>JIMY</t>
  </si>
  <si>
    <t>NINGUNO</t>
  </si>
  <si>
    <t xml:space="preserve">MASCULINO </t>
  </si>
  <si>
    <t>NEFROPATIA HIPERTENSIVA</t>
  </si>
  <si>
    <t>DIÁLISIS PERITONEAL</t>
  </si>
  <si>
    <t>TIMO</t>
  </si>
  <si>
    <t>PAULA MARGARITA</t>
  </si>
  <si>
    <t>RETANA</t>
  </si>
  <si>
    <t>CAMARENO</t>
  </si>
  <si>
    <t>RONALD ADOLFO</t>
  </si>
  <si>
    <t>LUIS AUGUSTIN</t>
  </si>
  <si>
    <t>ROSERO</t>
  </si>
  <si>
    <t>BIXBY</t>
  </si>
  <si>
    <t>prima : Arias Mora Angelica 115959948, 24 años</t>
  </si>
  <si>
    <t>LEONARDO MANUEL</t>
  </si>
  <si>
    <t>MELVIN DANIEL</t>
  </si>
  <si>
    <t>CORELLA</t>
  </si>
  <si>
    <t>JOHNNY ALBERTO FRANC</t>
  </si>
  <si>
    <t>DESCONOCIDO</t>
  </si>
  <si>
    <t>HEMODIÁLISIS</t>
  </si>
  <si>
    <t>OROSI</t>
  </si>
  <si>
    <t>RECURRENCIA DE GLOMERULOPATIA</t>
  </si>
  <si>
    <t>REGRESO A DIÁLISIS</t>
  </si>
  <si>
    <t>RODOLFO ANTONIO</t>
  </si>
  <si>
    <t>DUARTE</t>
  </si>
  <si>
    <t>MARISOL DE LOS ANGELES</t>
  </si>
  <si>
    <t>SARAH</t>
  </si>
  <si>
    <t>BERROCAL</t>
  </si>
  <si>
    <t>PRIMO: Ruiz campos jose, 24 años. 504020608.</t>
  </si>
  <si>
    <t>MELVIN DAVID</t>
  </si>
  <si>
    <t>CLACHAR</t>
  </si>
  <si>
    <t>MARIA MAGDALENA</t>
  </si>
  <si>
    <t>SAN FELIPE</t>
  </si>
  <si>
    <t>LUIS ALFREDO</t>
  </si>
  <si>
    <t>primo: Mora Montero Maxilimiliano 10951087, 42 anos</t>
  </si>
  <si>
    <t>DOBLES</t>
  </si>
  <si>
    <t>COLON</t>
  </si>
  <si>
    <t>JOSUE BERNABE</t>
  </si>
  <si>
    <t>DM2</t>
  </si>
  <si>
    <t>SHOCK DISTRIBUTIVO</t>
  </si>
  <si>
    <t>ESPOSA</t>
  </si>
  <si>
    <t>MIGUEL ANTONIO</t>
  </si>
  <si>
    <t>RAFAEL SIGIFREDO</t>
  </si>
  <si>
    <t>KEREN LINNETTE</t>
  </si>
  <si>
    <t>MARYORIE DEL CARMEN</t>
  </si>
  <si>
    <t>JALINAS</t>
  </si>
  <si>
    <t>CANO</t>
  </si>
  <si>
    <t>STEVEN JOSUE</t>
  </si>
  <si>
    <t>AARON</t>
  </si>
  <si>
    <t>OCAMPO</t>
  </si>
  <si>
    <t>EDGAR ROBERTO</t>
  </si>
  <si>
    <t>ELSA DE LOS ANGELES</t>
  </si>
  <si>
    <t>GUILLEN</t>
  </si>
  <si>
    <t>DAMAS</t>
  </si>
  <si>
    <t>Hermana: Arias Villalobos yirlene 206530314, 30</t>
  </si>
  <si>
    <t>DANIA MARIA</t>
  </si>
  <si>
    <t>San Ramon</t>
  </si>
  <si>
    <t>Hermana: Arias Vargas Cindy 113700904 30 años</t>
  </si>
  <si>
    <t>MARLON EDUARDO</t>
  </si>
  <si>
    <t>Ahijada: 27 años odeth corrales tortos 114920571</t>
  </si>
  <si>
    <t>JORGE IVAN</t>
  </si>
  <si>
    <t>GABARAIN</t>
  </si>
  <si>
    <t>CESAR MARIANO</t>
  </si>
  <si>
    <t>CANALES</t>
  </si>
  <si>
    <t>playas del coco</t>
  </si>
  <si>
    <t>Hermano: Varela Avila Kattia Magali 401500267</t>
  </si>
  <si>
    <t>AVILA</t>
  </si>
  <si>
    <t>CARMEN DEL SOCORRO</t>
  </si>
  <si>
    <t>Hija: Jimenez Barboza sAHEIDY, 33 AÑOS, 503460271.</t>
  </si>
  <si>
    <t>SEBASTIAN DE LOS ANGELES</t>
  </si>
  <si>
    <t>ALBENDA</t>
  </si>
  <si>
    <t>MARIA ADELINA</t>
  </si>
  <si>
    <t>GUERRA</t>
  </si>
  <si>
    <t>Goicochea</t>
  </si>
  <si>
    <t>hermna: Franas Hernandez Pineda 2930098547, 26 años</t>
  </si>
  <si>
    <t>BELKIS YUNIETH</t>
  </si>
  <si>
    <t>heredia</t>
  </si>
  <si>
    <t>BERNARDITA ISABEL</t>
  </si>
  <si>
    <t>JOSTIN MARIANO</t>
  </si>
  <si>
    <t>hermana: kattia Hernandez gutierrez 32 años, 503530640</t>
  </si>
  <si>
    <t>JUAN FRANCISCO</t>
  </si>
  <si>
    <t>RICARDO</t>
  </si>
  <si>
    <t>MIELOMA MULTIPLE</t>
  </si>
  <si>
    <t>JOSE REINALDO</t>
  </si>
  <si>
    <t>LA SUIZA</t>
  </si>
  <si>
    <t>JUAN RAFAEL</t>
  </si>
  <si>
    <t>CONEJO</t>
  </si>
  <si>
    <t>cuñada:Maria Mora Suarez, Atenas alahuela, 49 años 204570181,, opero el dr hernandez.</t>
  </si>
  <si>
    <t>JOHNNY GERARDO</t>
  </si>
  <si>
    <t>ATENAS</t>
  </si>
  <si>
    <t>DONALDO ENRIQUE</t>
  </si>
  <si>
    <t>ALCOCER</t>
  </si>
  <si>
    <t>MARCOS DE LOS ANGELES</t>
  </si>
  <si>
    <t>LES</t>
  </si>
  <si>
    <t>BK</t>
  </si>
  <si>
    <t>hijoGuevara Monge Diego, 26 años 115320358</t>
  </si>
  <si>
    <t>MADRE:Arias Arrieta Yorleny 42 años, 109720252</t>
  </si>
  <si>
    <t>KENDALL JOSEY</t>
  </si>
  <si>
    <t>Santa Barbara Heredia</t>
  </si>
  <si>
    <t>ARISTIDES ARIEL</t>
  </si>
  <si>
    <t>Hija: carolina, 113980284</t>
  </si>
  <si>
    <t>XINIA PATRICIA</t>
  </si>
  <si>
    <t>Tibas San jose</t>
  </si>
  <si>
    <t>JUANA DELFINA</t>
  </si>
  <si>
    <t>madre: cynthia delgado salazar, 503270870, 37 años</t>
  </si>
  <si>
    <t>CHRISTOPHER ALBERTO</t>
  </si>
  <si>
    <t>TORRENTES</t>
  </si>
  <si>
    <t>WILLIAM RICARDO</t>
  </si>
  <si>
    <t>HERMANO: Andres Medrano Cortes, IZQUIERDO LAPARASCOPIA</t>
  </si>
  <si>
    <t>sobrina: Fiorella Delgado Lobo, 207320613, 24 años</t>
  </si>
  <si>
    <t>ROY DAVID</t>
  </si>
  <si>
    <t xml:space="preserve">cuñado: Badilla Barrantes Efrain, 205070321, 43 años, </t>
  </si>
  <si>
    <t>LIRA</t>
  </si>
  <si>
    <t>HERMANA</t>
  </si>
  <si>
    <t>JOSE CARLOS</t>
  </si>
  <si>
    <t>MAUREEN LUISA</t>
  </si>
  <si>
    <t>PAO LIN</t>
  </si>
  <si>
    <t>HUNG</t>
  </si>
  <si>
    <t>YIXI TATIANA</t>
  </si>
  <si>
    <t>COREA</t>
  </si>
  <si>
    <t>MARCO TULIO</t>
  </si>
  <si>
    <t>CARBALLO</t>
  </si>
  <si>
    <t>FEMENINO</t>
  </si>
  <si>
    <t>DM1</t>
  </si>
  <si>
    <t>hermano: Erlis Gazo Gutierrez, 503640238, 31 años. Nefrectomia izquierda abierta.</t>
  </si>
  <si>
    <t>WALTER JOSE</t>
  </si>
  <si>
    <t>GAZO</t>
  </si>
  <si>
    <t>cañas</t>
  </si>
  <si>
    <t>MIRYAM MARLENE</t>
  </si>
  <si>
    <t>Fallecido</t>
  </si>
  <si>
    <t>SHOCK SEPTICO</t>
  </si>
  <si>
    <t>MAX PERALTA</t>
  </si>
  <si>
    <t>LUIS ARTURO</t>
  </si>
  <si>
    <t>YERNO</t>
  </si>
  <si>
    <t>ANDRES</t>
  </si>
  <si>
    <t>ESPOSO</t>
  </si>
  <si>
    <t>LILLIANA MARIA</t>
  </si>
  <si>
    <t>LORIA</t>
  </si>
  <si>
    <t>CEDEÑO</t>
  </si>
  <si>
    <t>PAPÁ</t>
  </si>
  <si>
    <t>JOSUE ALONSO</t>
  </si>
  <si>
    <t>MOYA</t>
  </si>
  <si>
    <t>LEONELA</t>
  </si>
  <si>
    <t>OCCIDENTAL</t>
  </si>
  <si>
    <t>GIPZY PAMELA</t>
  </si>
  <si>
    <t>JEREMY</t>
  </si>
  <si>
    <t>MALTEZ</t>
  </si>
  <si>
    <t>GERARDO ANTONIO</t>
  </si>
  <si>
    <t>CANTILLO</t>
  </si>
  <si>
    <t>PIÑA</t>
  </si>
  <si>
    <t>PRISCILLA EUGENIA</t>
  </si>
  <si>
    <t>TANCO</t>
  </si>
  <si>
    <t>BUSTAMANTE</t>
  </si>
  <si>
    <t>SANTIAGO</t>
  </si>
  <si>
    <t>ARTURO ENRIQUE</t>
  </si>
  <si>
    <t>CAUSA NO CONOCIDA</t>
  </si>
  <si>
    <t>ENRIQUE ANTONIO</t>
  </si>
  <si>
    <t>MICHAEL DAVID</t>
  </si>
  <si>
    <t>Barranca Puntarenas</t>
  </si>
  <si>
    <t>WILLIAM ROBERTO</t>
  </si>
  <si>
    <t>YELENA</t>
  </si>
  <si>
    <t>CHING</t>
  </si>
  <si>
    <t>CHU</t>
  </si>
  <si>
    <t>RANDALL FRANCISCO</t>
  </si>
  <si>
    <t>hija: Erica Valverde Viquez 117280937, fecha de nacimiento 7-12-1998</t>
  </si>
  <si>
    <t>MARIA FELICIA</t>
  </si>
  <si>
    <t>SANDRA LUCRECIA</t>
  </si>
  <si>
    <t>HIJO</t>
  </si>
  <si>
    <t>ELIZABETH TERESITA DE LA TRINIDAD</t>
  </si>
  <si>
    <t>Tibas San Jose</t>
  </si>
  <si>
    <t>M</t>
  </si>
  <si>
    <t>ADOLFO ENRIQUE DE LA TRINIDAD</t>
  </si>
  <si>
    <t>GLEEM ALEXANDER</t>
  </si>
  <si>
    <t>LAZO</t>
  </si>
  <si>
    <t>Santa Cruz Guanacaste</t>
  </si>
  <si>
    <t>Cañas Guanacaste</t>
  </si>
  <si>
    <t>LORELLY AUXILIADORA</t>
  </si>
  <si>
    <t>STEPHANIE MARY</t>
  </si>
  <si>
    <t>WILLIAM GERARDO DE LA TRINIDAD</t>
  </si>
  <si>
    <t>AMIGO, Emocionalmente relacionado: Allan Ramos Bolaños 108200330, 22-02-1972</t>
  </si>
  <si>
    <t>DOUGLAS RAFAEL</t>
  </si>
  <si>
    <t>Hijo, Jean P Vargas Guido</t>
  </si>
  <si>
    <t>GUIDO</t>
  </si>
  <si>
    <t>MATAMOROS</t>
  </si>
  <si>
    <t>HECTOR ENRIQUE</t>
  </si>
  <si>
    <t>INTRAABDOMINAL</t>
  </si>
  <si>
    <t>MARLEN ROSARIO</t>
  </si>
  <si>
    <t>ANDRES ALBERTO</t>
  </si>
  <si>
    <t>MARIA ELENA</t>
  </si>
  <si>
    <t>AGUIRRE</t>
  </si>
  <si>
    <t>JUAN ANTONIO</t>
  </si>
  <si>
    <t>POTRERO CERRADO</t>
  </si>
  <si>
    <t>MARIA AUXILIADORA DEL SOCORRO</t>
  </si>
  <si>
    <t>SHAREN STACY</t>
  </si>
  <si>
    <t>JORGE ALEJANDRO</t>
  </si>
  <si>
    <t>HTA</t>
  </si>
  <si>
    <t>NOEL</t>
  </si>
  <si>
    <t>SIEZAR</t>
  </si>
  <si>
    <t>DOMINGUEZ</t>
  </si>
  <si>
    <t>NAOMY ALEXANDRA</t>
  </si>
  <si>
    <t>KATHIN</t>
  </si>
  <si>
    <t>Glomerulopatia membranoproliferativa</t>
  </si>
  <si>
    <t>HEMORRAGIA INTRACEREBRAL</t>
  </si>
  <si>
    <t>SET 2022</t>
  </si>
  <si>
    <t>LEON CORTES</t>
  </si>
  <si>
    <t xml:space="preserve">TROMBOSIS </t>
  </si>
  <si>
    <t>TROMBOSIS ART RENAL</t>
  </si>
  <si>
    <t>NEFROPATIA POR IGA</t>
  </si>
  <si>
    <t>KRISIA MARIA</t>
  </si>
  <si>
    <t>ANDRES DE JESUS</t>
  </si>
  <si>
    <t>ROQUE</t>
  </si>
  <si>
    <t>ANA YANCY</t>
  </si>
  <si>
    <t>CASASOLA</t>
  </si>
  <si>
    <t>NEFROPATIA DIABETICA</t>
  </si>
  <si>
    <t>BRONCONEUMONIA</t>
  </si>
  <si>
    <t>ERASMO ANTONIO</t>
  </si>
  <si>
    <t>MAIRENA</t>
  </si>
  <si>
    <t>MIA BELEN</t>
  </si>
  <si>
    <t>SOBALVARRO</t>
  </si>
  <si>
    <t>GEINER JOSE</t>
  </si>
  <si>
    <t>DEBORA JERONIMA</t>
  </si>
  <si>
    <t>RONALD GERARDO</t>
  </si>
  <si>
    <t>Los chiles</t>
  </si>
  <si>
    <t>MIRIAM SIMONA</t>
  </si>
  <si>
    <t>BADILLA</t>
  </si>
  <si>
    <t>GISELLE ALBINA</t>
  </si>
  <si>
    <t>JOSE DOMINGO</t>
  </si>
  <si>
    <t>QUEPOS</t>
  </si>
  <si>
    <t>LILIANA MARIA</t>
  </si>
  <si>
    <t>ANA VANESSA</t>
  </si>
  <si>
    <t>Madre</t>
  </si>
  <si>
    <t>Naranjo</t>
  </si>
  <si>
    <t>JAYRO</t>
  </si>
  <si>
    <t>URBINA</t>
  </si>
  <si>
    <t>Bagaces</t>
  </si>
  <si>
    <t>GIOVANNY FRANCISCO</t>
  </si>
  <si>
    <t>EDDIE ALONSO</t>
  </si>
  <si>
    <t>KATHERINE LUCIA</t>
  </si>
  <si>
    <t>FELIPE ANTONIO</t>
  </si>
  <si>
    <t>MARCELO</t>
  </si>
  <si>
    <t>UGARTE</t>
  </si>
  <si>
    <t>DELICIAS</t>
  </si>
  <si>
    <t>STEVENS JUANSHIN</t>
  </si>
  <si>
    <t>TAYLOR</t>
  </si>
  <si>
    <t>KAROL MARIA</t>
  </si>
  <si>
    <t>Cuñada</t>
  </si>
  <si>
    <t>JENNIFER PRISCILLA</t>
  </si>
  <si>
    <t>SAMUEL DE JESUS</t>
  </si>
  <si>
    <t>JUSTIN FABIAN</t>
  </si>
  <si>
    <t>ALLAN DAVID</t>
  </si>
  <si>
    <t>MIGUEL ALONSO</t>
  </si>
  <si>
    <t>ROY ALBERTO</t>
  </si>
  <si>
    <t>YOHANA MARIA</t>
  </si>
  <si>
    <t>RELACIONADO CONSANGUÍNEO</t>
  </si>
  <si>
    <t>NAOMI NAYELI</t>
  </si>
  <si>
    <t>FALLA</t>
  </si>
  <si>
    <t>RIÑÓN FUNCIONAL</t>
  </si>
  <si>
    <t>17362971</t>
  </si>
  <si>
    <t>NICARAGÜENSE</t>
  </si>
  <si>
    <t>1° GRADO</t>
  </si>
  <si>
    <t>MADRE/PADRE</t>
  </si>
  <si>
    <t>NELSON ELIAS</t>
  </si>
  <si>
    <t>ANGEL</t>
  </si>
  <si>
    <t>SIERRA</t>
  </si>
  <si>
    <t>CACHI</t>
  </si>
  <si>
    <t>BASI</t>
  </si>
  <si>
    <t>CITOMEGALOVIRUS</t>
  </si>
  <si>
    <t>Mielomeningocele</t>
  </si>
  <si>
    <t>SAN CRISTOBAL</t>
  </si>
  <si>
    <t>UROLÓGICA</t>
  </si>
  <si>
    <t>SECUNDARIO A VEJIGA NEUROGENICA</t>
  </si>
  <si>
    <t>ROY</t>
  </si>
  <si>
    <t xml:space="preserve">DESCONOCIDA </t>
  </si>
  <si>
    <t>NO APLICA</t>
  </si>
  <si>
    <t>DYLAN JESUS</t>
  </si>
  <si>
    <t>GAROS</t>
  </si>
  <si>
    <t>INSUFICIENCIA RENAL  CRÓNICA</t>
  </si>
  <si>
    <t>DIALISIS PERITONEAL</t>
  </si>
  <si>
    <t>SAN NICOLÁS</t>
  </si>
  <si>
    <t>116850947</t>
  </si>
  <si>
    <t xml:space="preserve">SEGUIMEITNO EN HOSPITAL DE ADULTOS </t>
  </si>
  <si>
    <t>UP2101 - HOSPITAL DR. RAFAEL A. CALDERÓN GUARDIA</t>
  </si>
  <si>
    <t>JEREMY STEVE</t>
  </si>
  <si>
    <t>ERC ESTADIO 5</t>
  </si>
  <si>
    <t xml:space="preserve">MERCEDES  </t>
  </si>
  <si>
    <t>EXCELENTE</t>
  </si>
  <si>
    <t>EXCELENTE. REQUIRIÓ DRENAJE DE HEMATOMA</t>
  </si>
  <si>
    <t>cadaverico</t>
  </si>
  <si>
    <t>EDGARDO</t>
  </si>
  <si>
    <t>MAURA CLEOTILDE</t>
  </si>
  <si>
    <t>AVELARES</t>
  </si>
  <si>
    <t>HEMODIALISIS</t>
  </si>
  <si>
    <t>PURRAL</t>
  </si>
  <si>
    <t>San Jose</t>
  </si>
  <si>
    <t>HILARIO NESMER</t>
  </si>
  <si>
    <t>JOSEPH EDUARDO</t>
  </si>
  <si>
    <t>DONALD ALBERTO</t>
  </si>
  <si>
    <t>MARIA GABRIELA</t>
  </si>
  <si>
    <t>MELISSA DE LA TRINIDAD</t>
  </si>
  <si>
    <t xml:space="preserve">Rechazo agudo acelerado, Transplantectomía </t>
  </si>
  <si>
    <t>TR PERDIDO</t>
  </si>
  <si>
    <t>107720068</t>
  </si>
  <si>
    <t>COSTARRICENSE</t>
  </si>
  <si>
    <t>Cardiopatía isquémica</t>
  </si>
  <si>
    <t>DISFUNCION PRIMARIA DE INJERTO</t>
  </si>
  <si>
    <t>JUAN GABRIEL</t>
  </si>
  <si>
    <t>303420915</t>
  </si>
  <si>
    <t>2° GRADO</t>
  </si>
  <si>
    <t>HERMANA (O)</t>
  </si>
  <si>
    <t>Glorumelonefritis membrano proliferaiva</t>
  </si>
  <si>
    <t>Nefropatía por IgA</t>
  </si>
  <si>
    <t>GLORIA DEL PILAR</t>
  </si>
  <si>
    <t>OSORIO</t>
  </si>
  <si>
    <t>Atenas</t>
  </si>
  <si>
    <t>MICHAEL ALBERTO</t>
  </si>
  <si>
    <t>106990967</t>
  </si>
  <si>
    <t>HERIBERTO JOSE</t>
  </si>
  <si>
    <t>CARTAGENA</t>
  </si>
  <si>
    <t>D.F.08.2022</t>
  </si>
  <si>
    <t>LAURA CRISTINA</t>
  </si>
  <si>
    <t>DF.08.2022</t>
  </si>
  <si>
    <t>MARVIN ROMAN</t>
  </si>
  <si>
    <t>cadavérico</t>
  </si>
  <si>
    <t>ALEXIS DE JESUS</t>
  </si>
  <si>
    <t>Sobrina</t>
  </si>
  <si>
    <t>KATHERINE DE LOS ANGELES</t>
  </si>
  <si>
    <t>DF.10.2022</t>
  </si>
  <si>
    <t>JEISON ANDRES</t>
  </si>
  <si>
    <t>JIMENA MICHELLE</t>
  </si>
  <si>
    <t>INSUFICIENCIA RENAL CRONICA</t>
  </si>
  <si>
    <t xml:space="preserve">ADECUADA </t>
  </si>
  <si>
    <t xml:space="preserve">DESCONOCIDO </t>
  </si>
  <si>
    <t>113990540</t>
  </si>
  <si>
    <t>RURBER</t>
  </si>
  <si>
    <t>PARRA</t>
  </si>
  <si>
    <t>SAN JOAQUIN</t>
  </si>
  <si>
    <t>CESAR LUIS</t>
  </si>
  <si>
    <t>DIEGO DE LA TRINIDAD</t>
  </si>
  <si>
    <t>ANGEL ANDREY</t>
  </si>
  <si>
    <t>LEPANTO</t>
  </si>
  <si>
    <t>702640605</t>
  </si>
  <si>
    <t xml:space="preserve">EN HNN AUN </t>
  </si>
  <si>
    <t>MARCO ANTONIO</t>
  </si>
  <si>
    <t>WILTON ALBEIRO</t>
  </si>
  <si>
    <t>ADEAUDA</t>
  </si>
  <si>
    <t>2101002200185</t>
  </si>
  <si>
    <t>JIMMY ANDREY</t>
  </si>
  <si>
    <t>CHEVEZ</t>
  </si>
  <si>
    <t>Liberia</t>
  </si>
  <si>
    <t>DF.13.2022</t>
  </si>
  <si>
    <t>ENRIQUE BALTODANO</t>
  </si>
  <si>
    <t>RELACIONADO NO CONSANGUINEO</t>
  </si>
  <si>
    <t>110870029</t>
  </si>
  <si>
    <t>AFINIDAD</t>
  </si>
  <si>
    <t>CONYUGE</t>
  </si>
  <si>
    <t>Glomerulopatía primaria</t>
  </si>
  <si>
    <t>FRAILES</t>
  </si>
  <si>
    <t>TROMBOSIS DEL INJERTO</t>
  </si>
  <si>
    <t>VASCULAR</t>
  </si>
  <si>
    <t>TROMBOSIS DE INJERTO</t>
  </si>
  <si>
    <t>Poliquistosis renal</t>
  </si>
  <si>
    <t>TEJAR</t>
  </si>
  <si>
    <t>DF.19.2022</t>
  </si>
  <si>
    <t>DENNIS ANDRES</t>
  </si>
  <si>
    <t>IRC ESTADIO 5</t>
  </si>
  <si>
    <t>WALTER ENRIQUE</t>
  </si>
  <si>
    <t>BRAYNER DAVID</t>
  </si>
  <si>
    <t>401950135</t>
  </si>
  <si>
    <t>RIÑÓN en herradura</t>
  </si>
  <si>
    <t>STEVEN EDUARDO</t>
  </si>
  <si>
    <t>TIMOGLOBULINA</t>
  </si>
  <si>
    <t>1.60</t>
  </si>
  <si>
    <t>NO RELACIONADO</t>
  </si>
  <si>
    <t>MARTIN GONZALO</t>
  </si>
  <si>
    <t>Shock séptico</t>
  </si>
  <si>
    <t>Glorumelopatía primaria</t>
  </si>
  <si>
    <t>04/10/20222</t>
  </si>
  <si>
    <t>REIMPLANTE URETERAL</t>
  </si>
  <si>
    <t>Nefropatía hipertensiva</t>
  </si>
  <si>
    <t>AMADOR</t>
  </si>
  <si>
    <t>DF.22.2022</t>
  </si>
  <si>
    <t>NINGUNA</t>
  </si>
  <si>
    <t>ALFREDO RAFAEL</t>
  </si>
  <si>
    <t>CAUSA NO CONOCIDA. CONSULTÓ A URGENCIAS AREA LOCAL POR MIALGIAS</t>
  </si>
  <si>
    <t>PERMANECIÓ ANÚRICO</t>
  </si>
  <si>
    <t>5.69</t>
  </si>
  <si>
    <t>NECROSIS RENAL</t>
  </si>
  <si>
    <t>NATALY SOFIA</t>
  </si>
  <si>
    <t>DANIEL BOANERGES</t>
  </si>
  <si>
    <t xml:space="preserve">BUENA EVOLUCION </t>
  </si>
  <si>
    <t>RETARDO EN LA FUNCION DEL INJERTO</t>
  </si>
  <si>
    <t>DF.25.2022</t>
  </si>
  <si>
    <t>DF.25.202</t>
  </si>
  <si>
    <t>CLAUDIA RAQUEL</t>
  </si>
  <si>
    <t>JIRON</t>
  </si>
  <si>
    <t>EXCELENTE EVOLUCION CLÍNICA</t>
  </si>
  <si>
    <t>ARCEDA</t>
  </si>
  <si>
    <t>Heredia, Santa Barvara</t>
  </si>
  <si>
    <t>STEFANIE DE LOS ANGELES</t>
  </si>
  <si>
    <t>ANGELES</t>
  </si>
  <si>
    <t>DF.26.2022</t>
  </si>
  <si>
    <t>ALEJANDRO</t>
  </si>
  <si>
    <t>Santo Domingo, Heredia</t>
  </si>
  <si>
    <t>SHOCK HEMORRAGICO</t>
  </si>
  <si>
    <t>DF.28.2022</t>
  </si>
  <si>
    <t>JOEL ANTONIO</t>
  </si>
  <si>
    <t xml:space="preserve">NINGUNA TERAPIA </t>
  </si>
  <si>
    <t>Corralillo</t>
  </si>
  <si>
    <t>SALGADO</t>
  </si>
  <si>
    <t>Guanacaste, abangares</t>
  </si>
  <si>
    <t>CARLOS AUGUSTO</t>
  </si>
  <si>
    <t>ARCEYUT</t>
  </si>
  <si>
    <t>San Jose, escalante</t>
  </si>
  <si>
    <t>NEFROPATIA LUPICA</t>
  </si>
  <si>
    <t>BERNAL</t>
  </si>
  <si>
    <t>ALEXANDER ENRIQUE</t>
  </si>
  <si>
    <t>JENKINS</t>
  </si>
  <si>
    <t>TÓRPIDA</t>
  </si>
  <si>
    <t>TRASPLANTECTOMIA POR TROMBOSIS INJERTO RENAL  Y REINGRESO A SOPORTE RENAL</t>
  </si>
  <si>
    <t>PAOLA VANESSA</t>
  </si>
  <si>
    <t>Alajuela, San Carlos</t>
  </si>
  <si>
    <t>GERARDO</t>
  </si>
  <si>
    <t>MORENO</t>
  </si>
  <si>
    <t>CARRANDI</t>
  </si>
  <si>
    <t>TORPIDA, FALLECIMIENTO POR SHOCK HIPOVOLEMICO A LAS 48 HORAS</t>
  </si>
  <si>
    <t>CHOQUE HIPOVOLEMICO</t>
  </si>
  <si>
    <t>DF.01.2023</t>
  </si>
  <si>
    <t>BRANDON ADIEL</t>
  </si>
  <si>
    <t>PERDIDO</t>
  </si>
  <si>
    <t xml:space="preserve">NO APLICA </t>
  </si>
  <si>
    <t>NO APLCIA</t>
  </si>
  <si>
    <t>ERC</t>
  </si>
  <si>
    <t>DESCONOCIDA</t>
  </si>
  <si>
    <t xml:space="preserve">PACIENTE FALLECE </t>
  </si>
  <si>
    <t>CHARLOTTE BELEN</t>
  </si>
  <si>
    <t>DEYLON JOSUE</t>
  </si>
  <si>
    <t>EDELMIRA DE LOS ANGELES</t>
  </si>
  <si>
    <t>SALITRAL</t>
  </si>
  <si>
    <t>1.67</t>
  </si>
  <si>
    <t>MÚLTIPLE</t>
  </si>
  <si>
    <t>VICTOR MANUEL</t>
  </si>
  <si>
    <t>NOVOA</t>
  </si>
  <si>
    <t>IRC ESTADIO V- PROBABLE GLOMERULONEFRITIS PRIMARIA</t>
  </si>
  <si>
    <t>BUENA EVOLUCION CLINICA</t>
  </si>
  <si>
    <t>HER STEVEN</t>
  </si>
  <si>
    <t>IRC ESTADIO V CAUSA NO FILIADA</t>
  </si>
  <si>
    <t>TRDVR</t>
  </si>
  <si>
    <t>RODDY ALEXANDER</t>
  </si>
  <si>
    <t>ANIELKA YORLENE</t>
  </si>
  <si>
    <t>EVARISTO LUCIANO MARCIANO</t>
  </si>
  <si>
    <t>GN X C3</t>
  </si>
  <si>
    <t>PERITONITIS</t>
  </si>
  <si>
    <t>RUDDY SEBASTIAN</t>
  </si>
  <si>
    <t>PRENDIS</t>
  </si>
  <si>
    <t>Guanacaste, cañas</t>
  </si>
  <si>
    <t>HENRY DE JESUS</t>
  </si>
  <si>
    <t>BASILIXIMAB</t>
  </si>
  <si>
    <t>FUGA URINARIA</t>
  </si>
  <si>
    <t>HIJA/HIJO</t>
  </si>
  <si>
    <t>BRAYAN JOSUE</t>
  </si>
  <si>
    <t>Alajuela, Palmares</t>
  </si>
  <si>
    <t>ZAPATA</t>
  </si>
  <si>
    <t xml:space="preserve">IRC ESTADIO V </t>
  </si>
  <si>
    <t>ISIDORA FRANCISCA</t>
  </si>
  <si>
    <t>Cutis, San Carlos</t>
  </si>
  <si>
    <t>Amiga</t>
  </si>
  <si>
    <t>DANIA</t>
  </si>
  <si>
    <t>NOGUERA</t>
  </si>
  <si>
    <t>PARRITA</t>
  </si>
  <si>
    <t>ALEJANDRO FERNANDO</t>
  </si>
  <si>
    <t>INOCENTE DONALD</t>
  </si>
  <si>
    <t>Santa Cruz, Guanacaste</t>
  </si>
  <si>
    <t>MARLENY PAMELA</t>
  </si>
  <si>
    <t>MARIO ALEJANDRO</t>
  </si>
  <si>
    <t>Enfermedad de Allport</t>
  </si>
  <si>
    <t>RUTH NATALIA</t>
  </si>
  <si>
    <t>Heredia, San Rafael</t>
  </si>
  <si>
    <t>DF.09.2023</t>
  </si>
  <si>
    <t>JOSE OLENIN</t>
  </si>
  <si>
    <t>GORGONA</t>
  </si>
  <si>
    <t>SHOCK HIPOVOLEMICO</t>
  </si>
  <si>
    <t>SANGRADO</t>
  </si>
  <si>
    <t>SANGRADO HILIO RENAL</t>
  </si>
  <si>
    <t>EDGARDO ALFREDO</t>
  </si>
  <si>
    <t>MARCELINO</t>
  </si>
  <si>
    <t>DF.10.2023</t>
  </si>
  <si>
    <t>RENE ORLANDO</t>
  </si>
  <si>
    <t>MARROQUIN</t>
  </si>
  <si>
    <t>ORELLANA</t>
  </si>
  <si>
    <t>1.00</t>
  </si>
  <si>
    <t>95.9</t>
  </si>
  <si>
    <t>HONGOS</t>
  </si>
  <si>
    <t>Malformación congénita</t>
  </si>
  <si>
    <t>RECHAZO SEVERO</t>
  </si>
  <si>
    <t>BERENICE DIXIANA</t>
  </si>
  <si>
    <t>GALERA</t>
  </si>
  <si>
    <t>ARAUZ</t>
  </si>
  <si>
    <t>TAQUICARDIA VENTRICULAR</t>
  </si>
  <si>
    <t>ELXIMAR JOSE</t>
  </si>
  <si>
    <t>RECHAZO HUMORAL</t>
  </si>
  <si>
    <t>INJERTO FUNCIONAL</t>
  </si>
  <si>
    <t>DANIEL RICARDO</t>
  </si>
  <si>
    <t>NECESIDAD DE TRASPLANTECTOMIA DEBIDO A PIELONEFRITIS CRONICA DEL INJERTO POR GERMEN MULTIRESSISTENTE, Y REINICIO DE SOPORTE RENAL</t>
  </si>
  <si>
    <t>RODRIGO BERNARDO DE JESUS</t>
  </si>
  <si>
    <t xml:space="preserve"> NINGUNA</t>
  </si>
  <si>
    <t>MEI YIN</t>
  </si>
  <si>
    <t>CHENG</t>
  </si>
  <si>
    <t>KOO</t>
  </si>
  <si>
    <t>GERALD ALONSO</t>
  </si>
  <si>
    <t>Esposo</t>
  </si>
  <si>
    <t>DIANA AZUCENA</t>
  </si>
  <si>
    <t>JOSE NICOLAS</t>
  </si>
  <si>
    <t>TROMBOSIS DEL INJERTO A LAS 48H</t>
  </si>
  <si>
    <t>LEAL</t>
  </si>
  <si>
    <t>Concepción</t>
  </si>
  <si>
    <t>FANNY</t>
  </si>
  <si>
    <t>PARAÍSO</t>
  </si>
  <si>
    <t>CACHÍ</t>
  </si>
  <si>
    <t>ARIEL JOSUE</t>
  </si>
  <si>
    <t>Nefropatía diabética</t>
  </si>
  <si>
    <t>AB-</t>
  </si>
  <si>
    <t>MALFORMACION DE VIA URINARIA</t>
  </si>
  <si>
    <t>ITU A REPETICION</t>
  </si>
  <si>
    <t>PALIATIVO</t>
  </si>
  <si>
    <t>DF.15.2023 HCG 21/08/2023</t>
  </si>
  <si>
    <t>ALFONSO</t>
  </si>
  <si>
    <t>PACIENTE LLEVA SU CONTROL PRE Y POSTRASPLANTE EN HOSPITAL MAX PERALTA. EL TRASPLANTE RENAL SE REALIZÓ EN EL CALDERON GUARDIA</t>
  </si>
  <si>
    <t>Tia</t>
  </si>
  <si>
    <t>FUNES</t>
  </si>
  <si>
    <t>JUAREZ</t>
  </si>
  <si>
    <t>Guanacaste, bagaces</t>
  </si>
  <si>
    <t>FENY OCTAVIO</t>
  </si>
  <si>
    <t xml:space="preserve">Alajuela, Grecia </t>
  </si>
  <si>
    <t>JUSTIN</t>
  </si>
  <si>
    <t>Heredia, San Antonio</t>
  </si>
  <si>
    <t>JIMMY DE LA TRINIDAD</t>
  </si>
  <si>
    <t>ARCIA</t>
  </si>
  <si>
    <t>KEVIN ARIEL</t>
  </si>
  <si>
    <t>Malformación congénita + trauma</t>
  </si>
  <si>
    <t>FIBROSIS DE LECHO QUIRURGICO + ANGIOPLASTA A RENAL</t>
  </si>
  <si>
    <t>DF.18.2023 HCG 09-10-2023</t>
  </si>
  <si>
    <t>VICTORIA EUGENIA</t>
  </si>
  <si>
    <t>FALLECIDA A LOS 5 MESES POR ENDOCARDITIS</t>
  </si>
  <si>
    <t>ENDOCARDITIS DE VALVULA MITRAL</t>
  </si>
  <si>
    <t>EXTRANJERO</t>
  </si>
  <si>
    <t>DF.18.2023</t>
  </si>
  <si>
    <t>MANUEL JOSUE</t>
  </si>
  <si>
    <t>INSUFICIENCIA RENAL CRÓNICA V</t>
  </si>
  <si>
    <t>DF.19.2023 HSJD</t>
  </si>
  <si>
    <t>YASMIN SARAY</t>
  </si>
  <si>
    <t>19-2023</t>
  </si>
  <si>
    <t>LINFOCELE</t>
  </si>
  <si>
    <t>Cadaverico</t>
  </si>
  <si>
    <t>OLGA MARTA DE LA TRINIDAD</t>
  </si>
  <si>
    <t>Alajuela, los chiles</t>
  </si>
  <si>
    <t>NECROSIS TOTAL DEL INJERTO POR TROMBOSIS A RENAL</t>
  </si>
  <si>
    <t>TROMBOSIS DE  ARTERIA RENAL</t>
  </si>
  <si>
    <t>RANDALL ANDRES</t>
  </si>
  <si>
    <t>UP2701 - HOSPITAL FERNANDO ESCALANTE PRADILLA</t>
  </si>
  <si>
    <t>ERNESTO</t>
  </si>
  <si>
    <t>SAN ISIDRO DE EL GENERAL</t>
  </si>
  <si>
    <t>3° GRADO</t>
  </si>
  <si>
    <t>SOBRINA (O)</t>
  </si>
  <si>
    <t>Jiménez</t>
  </si>
  <si>
    <t>Juan Viñas</t>
  </si>
  <si>
    <t>FAUSTINO GERARDO</t>
  </si>
  <si>
    <t>Vasculitis ANCA C</t>
  </si>
  <si>
    <t>Tarrazú</t>
  </si>
  <si>
    <t>San Marcos</t>
  </si>
  <si>
    <t>DF.24.2023</t>
  </si>
  <si>
    <t>SANTIAGO DAVID</t>
  </si>
  <si>
    <t>DF.24.2023 HCG 19-12-2023</t>
  </si>
  <si>
    <t>MIGUEL ANGEL DEL SOCORRO</t>
  </si>
  <si>
    <t>BOCAM</t>
  </si>
  <si>
    <t>LENTA EVOLUCION CLINICA</t>
  </si>
  <si>
    <t>TORPIDA POR COMPLICACION ISQUEMICA CEREBROVASCULAR</t>
  </si>
  <si>
    <t>EVENTO CEREBROVASCULAR, INFARTO DE TALLO</t>
  </si>
  <si>
    <t>THOMARY YERIELA</t>
  </si>
  <si>
    <t>Alajuela, Atenas</t>
  </si>
  <si>
    <t>LACERACIÓN RENAL Y HEMATOMA</t>
  </si>
  <si>
    <t>TRASPLANTECTOMÍA</t>
  </si>
  <si>
    <t>DF.07.2024</t>
  </si>
  <si>
    <t>ILANIT TAMARA</t>
  </si>
  <si>
    <t>ENFERMEDAD RENAL CRÓNICA V</t>
  </si>
  <si>
    <t>TABARCIA</t>
  </si>
  <si>
    <t>MACULINO</t>
  </si>
  <si>
    <t>HIJA (O) ADOPTIVO</t>
  </si>
  <si>
    <t>ROGER FABRICIO</t>
  </si>
  <si>
    <t>HONDURAS</t>
  </si>
  <si>
    <t>Puntarenas, El carmen</t>
  </si>
  <si>
    <t>RODOLFO</t>
  </si>
  <si>
    <t>IRC ESTADIO V</t>
  </si>
  <si>
    <t>LESION RENAL AGUDA POR UROPATIA OBSTRUCTIVA</t>
  </si>
  <si>
    <t>DF.03.2024 HSJD 25-01-2024</t>
  </si>
  <si>
    <t>MARCELA ISABEL</t>
  </si>
  <si>
    <t>LEIVA</t>
  </si>
  <si>
    <t>NEFRITIS LUPICA</t>
  </si>
  <si>
    <t>DF.24.2024</t>
  </si>
  <si>
    <t>TIFANNY VALERIA</t>
  </si>
  <si>
    <t>INSUFICIENCIA RENAL CRÓNICA. MIOCARDIOPATÍA DILATADA</t>
  </si>
  <si>
    <t xml:space="preserve">DF.03.2024 HSJD </t>
  </si>
  <si>
    <t>CAUSA NO CONOCIDA. CONSULTÓ A URGENCIAS AREA LOCAL POR DISNEA E HIPERGLICEMIA, LLEGANDO SIN SIGNOS VITALES SEGUN NOTA DE URGENCIAS</t>
  </si>
  <si>
    <t>MILNER</t>
  </si>
  <si>
    <t>DF.06.2024</t>
  </si>
  <si>
    <t>VILMA</t>
  </si>
  <si>
    <t>MERCEDES SUR</t>
  </si>
  <si>
    <t>EVOLUCION LENTA PERO SATISFACTORIA</t>
  </si>
  <si>
    <t>AVC ISQUEMICO, SHOCK SEPTICO</t>
  </si>
  <si>
    <t>SHOCK SEPTICO, AVC ISQUEMICO DERECHO</t>
  </si>
  <si>
    <t>JOSE SANTIAGO</t>
  </si>
  <si>
    <t>TAQUICARDIA</t>
  </si>
  <si>
    <t>DF.02.2024</t>
  </si>
  <si>
    <t>TENCIO</t>
  </si>
  <si>
    <t>INSUFICIENCIA RENAL CRÓNICA</t>
  </si>
  <si>
    <t>EDER ARTURO</t>
  </si>
  <si>
    <t>GLOMERULOPATIA PRIMARIA</t>
  </si>
  <si>
    <t>RANDY JOHEL</t>
  </si>
  <si>
    <t>MEJIAS</t>
  </si>
  <si>
    <t>ALEJANDRO DE JESUS</t>
  </si>
  <si>
    <t>LEPIZ</t>
  </si>
  <si>
    <t>OMAR</t>
  </si>
  <si>
    <t>GAUNA</t>
  </si>
  <si>
    <t>DAVIS</t>
  </si>
  <si>
    <t>4° GRADO</t>
  </si>
  <si>
    <t>PRIMA (O)</t>
  </si>
  <si>
    <t>RAFAEL ANTONIO</t>
  </si>
  <si>
    <t>EMILCE DE LA TRINIDAD</t>
  </si>
  <si>
    <t>BALLESTERO</t>
  </si>
  <si>
    <t>San Jose, Pavas</t>
  </si>
  <si>
    <t>PRISCILLA ISABEL</t>
  </si>
  <si>
    <t>DF.10.2024</t>
  </si>
  <si>
    <t>DF.22.2024</t>
  </si>
  <si>
    <t>MARGARITA ROSA DEL CARMEN</t>
  </si>
  <si>
    <t>JOHNSON</t>
  </si>
  <si>
    <t>SHOCK DISTRIBUTIVO ETIOLOGIA NO CLARA. SOSPECHA DE ISQUEMIA MESENTERICA</t>
  </si>
  <si>
    <t>SHOCK DISTRIBUTIVO ETIOLOGIA NO CLARA, PROBABLE ISQUEMIA MESENTERICA EN EL POSTQUIRURGICO</t>
  </si>
  <si>
    <t>BALLARDO JESUS</t>
  </si>
  <si>
    <t>ERC ESTADIO V</t>
  </si>
  <si>
    <t>DF.12.2024</t>
  </si>
  <si>
    <t>EFRAIN</t>
  </si>
  <si>
    <t>CURUBANDE</t>
  </si>
  <si>
    <t>HELLEN MARIA</t>
  </si>
  <si>
    <t>SOLERA</t>
  </si>
  <si>
    <t xml:space="preserve"> ERC ESTADIO V</t>
  </si>
  <si>
    <t>JOSE EDUARDO</t>
  </si>
  <si>
    <t>DULCE NOMBRE DE JESUS</t>
  </si>
  <si>
    <t>TORPIDA EVOLUCION</t>
  </si>
  <si>
    <t>CHOQUE SÉPTICO REFRACTARIO</t>
  </si>
  <si>
    <t>DF.28.2024 HM 08/10/2024</t>
  </si>
  <si>
    <t>JORGE</t>
  </si>
  <si>
    <t>MESEN</t>
  </si>
  <si>
    <t>WILLIAM EDUARDO</t>
  </si>
  <si>
    <t>ORLANDO JOSE</t>
  </si>
  <si>
    <t>DF.27.2024</t>
  </si>
  <si>
    <t>ILEANA MARIA</t>
  </si>
  <si>
    <t>SHOCK CARDIOGÉNICO – FALLA CARDIACA</t>
  </si>
  <si>
    <t>DONANTE CADAVÉRICO – AUTOPSIA N.º 39112</t>
  </si>
  <si>
    <t>LESTER JAVIER</t>
  </si>
  <si>
    <t>ROXANA MARCELA</t>
  </si>
  <si>
    <t>TOBAL</t>
  </si>
  <si>
    <t>ALEGRIA</t>
  </si>
  <si>
    <t>Guanacaste, La cruz</t>
  </si>
  <si>
    <t>GIOVANNY DEL SOCORRO</t>
  </si>
  <si>
    <t>TALAVERA</t>
  </si>
  <si>
    <t>PEDROZA</t>
  </si>
  <si>
    <t>Guacaste, Nandayure</t>
  </si>
  <si>
    <t>GLEN AQUILES</t>
  </si>
  <si>
    <t>RICK JAVIER</t>
  </si>
  <si>
    <t>JOSE DE LA CRUZ</t>
  </si>
  <si>
    <t>Heredia, Santo Domingo</t>
  </si>
  <si>
    <t>DF.30-2024 HCG</t>
  </si>
  <si>
    <t>MANUEL ENRIQUE</t>
  </si>
  <si>
    <t xml:space="preserve">ERC ESTADIO 5 </t>
  </si>
  <si>
    <t>GUAYAVO</t>
  </si>
  <si>
    <t>DF.13.2024 HCG 24-05-2024</t>
  </si>
  <si>
    <t>MARLON ALBERTO</t>
  </si>
  <si>
    <t>DONANTE CADAVÉRICO</t>
  </si>
  <si>
    <t>ANETH PATRCIA</t>
  </si>
  <si>
    <t xml:space="preserve">Alajuela, Alajuela, San Rafael </t>
  </si>
  <si>
    <t>a+</t>
  </si>
  <si>
    <t>KARINA</t>
  </si>
  <si>
    <t>LUIS ARIEL</t>
  </si>
  <si>
    <t>MIDELYNE</t>
  </si>
  <si>
    <t>PEÑAS BLANCAS</t>
  </si>
  <si>
    <t xml:space="preserve">ANDRES FRANCISCO </t>
  </si>
  <si>
    <t>ERC V</t>
  </si>
  <si>
    <t>POZOS</t>
  </si>
  <si>
    <t>PARACITO</t>
  </si>
  <si>
    <t xml:space="preserve"> </t>
  </si>
  <si>
    <t>ERPQ</t>
  </si>
  <si>
    <t>DF.23.2024</t>
  </si>
  <si>
    <t>JAIMIE MARIELA</t>
  </si>
  <si>
    <t>JORGE LUIS</t>
  </si>
  <si>
    <t>Guanacaste, Carrillo</t>
  </si>
  <si>
    <t>DINIA MARIA</t>
  </si>
  <si>
    <t>ARANA</t>
  </si>
  <si>
    <t>Alajuela, Upala</t>
  </si>
  <si>
    <t>ROLANDO JESUS</t>
  </si>
  <si>
    <t>JOSE LEONEL</t>
  </si>
  <si>
    <t>CHAN</t>
  </si>
  <si>
    <t>LUIS ANTHONY</t>
  </si>
  <si>
    <t>JOSE ALEJANDRO</t>
  </si>
  <si>
    <t>UP2502 - HOSPITAL ENRIQUE BALTODANO</t>
  </si>
  <si>
    <t>RANDALL</t>
  </si>
  <si>
    <t>MARIANGEL</t>
  </si>
  <si>
    <t>BALDI</t>
  </si>
  <si>
    <t>PÉREZ ZELEDÓN</t>
  </si>
  <si>
    <t>PABLO EMMANUEL</t>
  </si>
  <si>
    <t xml:space="preserve">CHOQUE MIXTO SÉPTICO/HIPOVOLÉMICO REFRACTARIO FOCO ABDOMINAL </t>
  </si>
  <si>
    <t>RETRASO EN LA FUNCIÓN DEL INJERTO</t>
  </si>
  <si>
    <t>DONANTE CADAVÉRICO. FALLECE EN UCI DEL HEP</t>
  </si>
  <si>
    <t>DF.21.2024</t>
  </si>
  <si>
    <t>LIAM FELIPE</t>
  </si>
  <si>
    <t>Cesar Alberto</t>
  </si>
  <si>
    <t>Barreto</t>
  </si>
  <si>
    <t>Cerrato</t>
  </si>
  <si>
    <t>Ivan</t>
  </si>
  <si>
    <t>Rodriguez</t>
  </si>
  <si>
    <t>Viquez</t>
  </si>
  <si>
    <t>FELIX ANTONIA</t>
  </si>
  <si>
    <t>PAISANO</t>
  </si>
  <si>
    <t>SARAY</t>
  </si>
  <si>
    <t>JIMENA</t>
  </si>
  <si>
    <t>Nefropatía congenita</t>
  </si>
  <si>
    <t xml:space="preserve">JUSTIN JOEL </t>
  </si>
  <si>
    <t>ERC ESTADÍO IV  / SD. NEFRÓTICO ETIOLOGÍA NO CLARA</t>
  </si>
  <si>
    <t>Erick</t>
  </si>
  <si>
    <t>Guzman</t>
  </si>
  <si>
    <t>Valdelomar</t>
  </si>
  <si>
    <t>ABSCESO PERIINJERTO/FUGA DE ANASTOMOSIS</t>
  </si>
  <si>
    <t>PAREJA</t>
  </si>
  <si>
    <t>Sindy</t>
  </si>
  <si>
    <t>Vargas</t>
  </si>
  <si>
    <t>Alvarado</t>
  </si>
  <si>
    <t>Norvin</t>
  </si>
  <si>
    <t>Chacón</t>
  </si>
  <si>
    <t>Escobar</t>
  </si>
  <si>
    <t>Lucrecia</t>
  </si>
  <si>
    <t>Cedeño</t>
  </si>
  <si>
    <t>Madrigal</t>
  </si>
  <si>
    <t xml:space="preserve">	INGRID VANESSA</t>
  </si>
  <si>
    <t>MIURILLO</t>
  </si>
  <si>
    <t>ERC ESTADIO V - GLOMERULONEFRITIS RÁPIDAMENTE PROGRESIVA POR DEPÓSITO DE COMPLEJOS INMUNES, DX EN 2020</t>
  </si>
  <si>
    <t>Antony José</t>
  </si>
  <si>
    <t>Castellon</t>
  </si>
  <si>
    <t>Toscano</t>
  </si>
  <si>
    <t>DF.20.2024 8 julio 2024 HCG</t>
  </si>
  <si>
    <t>JOSEP FRANCISCO</t>
  </si>
  <si>
    <t>DF.09.17/02/2024 HMP</t>
  </si>
  <si>
    <t>ADONAY ELADIO</t>
  </si>
  <si>
    <t>TROMBOSIS</t>
  </si>
  <si>
    <t>DF.19.2024 HM 5 de julio 2024</t>
  </si>
  <si>
    <t>SIMON JAVIER</t>
  </si>
  <si>
    <t>TERCERO</t>
  </si>
  <si>
    <t>ERC  ESTADÍO V</t>
  </si>
  <si>
    <t>SHOCK DISTRIBUTIVO REFRACTARIO MULTIFACTORIAL</t>
  </si>
  <si>
    <t>DONANTE CADAVÉRICO – AUTOPSIA N°39084</t>
  </si>
  <si>
    <t xml:space="preserve">Jose Feliciano Muñoz Romero </t>
  </si>
  <si>
    <t>Masculino</t>
  </si>
  <si>
    <t xml:space="preserve">ENFERMEDAD RENAL CRONICA, ETAPA </t>
  </si>
  <si>
    <t>PALMIRA</t>
  </si>
  <si>
    <t>ERC5 GN cronica</t>
  </si>
  <si>
    <t>DP</t>
  </si>
  <si>
    <t>no datos</t>
  </si>
  <si>
    <t>si</t>
  </si>
  <si>
    <t>vivo</t>
  </si>
  <si>
    <t>no</t>
  </si>
  <si>
    <t>timo</t>
  </si>
  <si>
    <t xml:space="preserve">no </t>
  </si>
  <si>
    <t>ENFERMEDAD RENAL CRÓNICA ESTADÍO V</t>
  </si>
  <si>
    <t>INSUFICIENCIA RENAL CRONICA ESTADIO V</t>
  </si>
  <si>
    <t xml:space="preserve">Laura Alfaro Cordero </t>
  </si>
  <si>
    <t>Femenina</t>
  </si>
  <si>
    <t>LUZ NERY</t>
  </si>
  <si>
    <t>NEFRITIS LÚPICA CLASE IV - ERC ESTADÍO V</t>
  </si>
  <si>
    <t>JANET DEL SOCORRO</t>
  </si>
  <si>
    <t>SOTELO</t>
  </si>
  <si>
    <t>ANA CAROLINA</t>
  </si>
  <si>
    <t>ERC5 LES</t>
  </si>
  <si>
    <t>HD</t>
  </si>
  <si>
    <t>PUERTO VIEJO</t>
  </si>
  <si>
    <t>ZAIRA MARÍA</t>
  </si>
  <si>
    <t>RAMIÍREZ</t>
  </si>
  <si>
    <t>AMIGA (O)</t>
  </si>
  <si>
    <t>VALEY NICOLE</t>
  </si>
  <si>
    <t>GARCÍA</t>
  </si>
  <si>
    <t>JEFFRI DANIEL</t>
  </si>
  <si>
    <t>HERRA</t>
  </si>
  <si>
    <t>WILBERTH ALONSO</t>
  </si>
  <si>
    <t>Vasculitis ANCA</t>
  </si>
  <si>
    <t xml:space="preserve">Moravia </t>
  </si>
  <si>
    <t>Jose Miguel Salas Diaz</t>
  </si>
  <si>
    <t>ERC5 PROB GN CRONICA</t>
  </si>
  <si>
    <t>basiliximab</t>
  </si>
  <si>
    <t>JOHNANNATAN JOSE</t>
  </si>
  <si>
    <t>VALLEJO</t>
  </si>
  <si>
    <t>ERC5 HTA</t>
  </si>
  <si>
    <t>TRASPLANTECTOMIA</t>
  </si>
  <si>
    <t>NECROSIS URETER DISTAL + URINOMA PERIRRENAL 12/3/25</t>
  </si>
  <si>
    <t>KAROLIN VIVIANA</t>
  </si>
  <si>
    <t>MARCHENA</t>
  </si>
  <si>
    <t>SERRU</t>
  </si>
  <si>
    <t>ERC ESTADÍO V - NEFRITIS LÚPICA</t>
  </si>
  <si>
    <t>ERC5</t>
  </si>
  <si>
    <t>BACTERIEMIA POR K PNEUMONIAE DERIVADA DE PIELONEFRITIS RIÑON DERECHO</t>
  </si>
  <si>
    <t>KEVIN ALEXANDER</t>
  </si>
  <si>
    <t>3 minutos</t>
  </si>
  <si>
    <t>3 horas 30mins</t>
  </si>
  <si>
    <t>DF.13.2025</t>
  </si>
  <si>
    <t>ROXANA</t>
  </si>
  <si>
    <t>CMV</t>
  </si>
  <si>
    <t>HEISEL</t>
  </si>
  <si>
    <t>GODINEZ</t>
  </si>
  <si>
    <t>SIN INJERTO</t>
  </si>
  <si>
    <t>NECROSIS</t>
  </si>
  <si>
    <t>NECROSIS URETERO PROXIMAL. RETIRO DE INJERTO.</t>
  </si>
  <si>
    <t>E.COLI</t>
  </si>
  <si>
    <t>FUGA DE URETERO</t>
  </si>
  <si>
    <t>Minor Solano Melendez</t>
  </si>
  <si>
    <t>Heredia, Barva</t>
  </si>
  <si>
    <t>ERC 5</t>
  </si>
  <si>
    <t>DARLING SIONI</t>
  </si>
  <si>
    <t xml:space="preserve"> HEMATOMA + RAFIA DE ANASTOMOSIS ARTERIAL + COLOCACION DE DRENO DE JACKSON </t>
  </si>
  <si>
    <t>Cadavérico</t>
  </si>
  <si>
    <t>Juliet Alvarado Cantillo</t>
  </si>
  <si>
    <t>BARBACOAS</t>
  </si>
  <si>
    <t>Susan Avila Vasquez</t>
  </si>
  <si>
    <t>Alajuela, San Ramón</t>
  </si>
  <si>
    <t>Julissa Rodriguez Araya</t>
  </si>
  <si>
    <t>Alajuela, Alajuela</t>
  </si>
  <si>
    <t>DRENAJE DE HEMATOMA + HEMOSTASIA DE SENO RENAL DEL INJERTO, INTERVENCION REIMPLANTE DERECHO + MODELAJE URETERAL IZQ + Y REPARACION DE PISO VESICAL</t>
  </si>
  <si>
    <t>DF.17.2025</t>
  </si>
  <si>
    <t>ERC5 Glomerulonefritis cronica</t>
  </si>
  <si>
    <t>ENFERMEDAD RENAL CRONICA ESTADIO V</t>
  </si>
  <si>
    <t>DISFUNCIONAL</t>
  </si>
  <si>
    <t>AUSENCIA DE FLUJO VASCULAR</t>
  </si>
  <si>
    <t>MARLIN BENITA</t>
  </si>
  <si>
    <t>PICHARDO</t>
  </si>
  <si>
    <t xml:space="preserve">ENFERMEDAD RENAL CRONICA ESTADIO </t>
  </si>
  <si>
    <t>Henry Delgado Rojas</t>
  </si>
  <si>
    <t>Puntarenas, esparza</t>
  </si>
  <si>
    <t>ERC5 DM</t>
  </si>
  <si>
    <t>Vicente Hurtado Bustos</t>
  </si>
  <si>
    <t>SEPSIS HERIDA</t>
  </si>
  <si>
    <t>DF.22.2025</t>
  </si>
  <si>
    <t>ERIC</t>
  </si>
  <si>
    <t>RAMÍREZ</t>
  </si>
  <si>
    <t>Heredia, San Isidro</t>
  </si>
  <si>
    <t>STACY MICHELLE</t>
  </si>
  <si>
    <t>CECILIANO</t>
  </si>
  <si>
    <t>ENFERMEDAD RENAL ESTADIO V</t>
  </si>
  <si>
    <t>REINTERVENCION 30/4/25 SANGRADO</t>
  </si>
  <si>
    <t>ASDRUBAL</t>
  </si>
  <si>
    <t>30MINUTOS</t>
  </si>
  <si>
    <t>3HORAS</t>
  </si>
  <si>
    <t>YAMILETH MARIA</t>
  </si>
  <si>
    <t>Femenino</t>
  </si>
  <si>
    <t>POLIQUISTOSIS RENAL</t>
  </si>
  <si>
    <t>MARIA</t>
  </si>
  <si>
    <t>LUIS JOSÉ</t>
  </si>
  <si>
    <t>ERC ESTADÍO V-D</t>
  </si>
  <si>
    <t>GUAITIL</t>
  </si>
  <si>
    <t>PRISCILLA</t>
  </si>
  <si>
    <t>ENFERMEDAD RENAL CRONICA, ETAPA 5</t>
  </si>
  <si>
    <t>ÁNGELES</t>
  </si>
  <si>
    <t>REINALDO</t>
  </si>
  <si>
    <t>CESAR</t>
  </si>
  <si>
    <t>TIA (O)</t>
  </si>
  <si>
    <t>DOLAND ENRIQUE</t>
  </si>
  <si>
    <t>GILBERTO OLDEMAR</t>
  </si>
  <si>
    <t>SHOCK MIXTO</t>
  </si>
  <si>
    <t>Alvaro Gonzalez Avila</t>
  </si>
  <si>
    <t>Ana Rosa Rosales Gonzalez</t>
  </si>
  <si>
    <t>NICARAGUENSE</t>
  </si>
  <si>
    <t>UROLOGICA</t>
  </si>
  <si>
    <t>SANGRADO EN CAPAS, REIMPLANTE URETERAL</t>
  </si>
  <si>
    <t>RIÑO</t>
  </si>
  <si>
    <t>8HORAS 30MIN</t>
  </si>
  <si>
    <t>27MINUTOS</t>
  </si>
  <si>
    <t>4HORAS 45MINS</t>
  </si>
  <si>
    <t>DF.33.2025</t>
  </si>
  <si>
    <t>fallecido</t>
  </si>
  <si>
    <t>Shock distributivo , sangrado retroperitoneal</t>
  </si>
  <si>
    <t xml:space="preserve">vascular </t>
  </si>
  <si>
    <t>sangrado retroperitoneal</t>
  </si>
  <si>
    <t>DF.36.2025</t>
  </si>
  <si>
    <t>ERC5 ERPAD</t>
  </si>
  <si>
    <t>ERC5 GSFS</t>
  </si>
  <si>
    <t>SANGRADO RENAL POR DESPULIMIENTO DE CAPSULA</t>
  </si>
  <si>
    <t>ERC5 Poliquistosis</t>
  </si>
  <si>
    <t>DF.44.2025</t>
  </si>
  <si>
    <t>ERC5 PIELONEFRITIS CRONICA</t>
  </si>
  <si>
    <t>RAFAEL EMILIO</t>
  </si>
  <si>
    <t>ERC ESTADÍO V - NO FILIADA</t>
  </si>
  <si>
    <t>ALEX ALFONSO</t>
  </si>
  <si>
    <t>PEJIBAYE</t>
  </si>
  <si>
    <t xml:space="preserve">	LIANETT TERESA</t>
  </si>
  <si>
    <t xml:space="preserve">BUSTAMANTE </t>
  </si>
  <si>
    <t>ERC ESTADIO 5 ETIOLOGÍA:ENFERMEDAD RENAL POLIQUISTICA</t>
  </si>
  <si>
    <t>CORLA KRISTAL</t>
  </si>
  <si>
    <t>OLIVERO</t>
  </si>
  <si>
    <t>ENFERMEDAD RENAL CRÓNICA - ESTADIO 5:GNMP</t>
  </si>
  <si>
    <t>OVARES</t>
  </si>
  <si>
    <t>DF.31.2024 HCG 27/12/2024</t>
  </si>
  <si>
    <t>RODRIGO</t>
  </si>
  <si>
    <t>GYLMAR GUILLERMO</t>
  </si>
  <si>
    <t>DF.12.2024 HSJD</t>
  </si>
  <si>
    <t>LUIS EDUARDO</t>
  </si>
  <si>
    <t>MARITZA DE LOS ANGEL</t>
  </si>
  <si>
    <t>FALLECIDA</t>
  </si>
  <si>
    <t>CAUSA NO CONOCIDA, FALLECIDA FUERA DE CENTRO HOSPITALARIO. NO HAY NOTAS DE HABER CONSULTADO A ALGUN SERVICIO DE URGENCIAS</t>
  </si>
  <si>
    <t>CARLOS EDUARDO DE LOS ANGELES</t>
  </si>
  <si>
    <t>JUAN VIЁS</t>
  </si>
  <si>
    <t>CAUSA DESCONOCIDA</t>
  </si>
  <si>
    <t>DF.45.2025</t>
  </si>
  <si>
    <t>DF.14.2024 8 junio 2024 HM</t>
  </si>
  <si>
    <t>PETRONA MARGARITA</t>
  </si>
  <si>
    <t>LOS GUIDO</t>
  </si>
  <si>
    <t>DF.15.2024 HSJD 10 junio 2024</t>
  </si>
  <si>
    <t>KARLA JULIETA</t>
  </si>
  <si>
    <t>ROBLERO</t>
  </si>
  <si>
    <t>RECHAZO AGUDO HUMORAL</t>
  </si>
  <si>
    <t>DONANTE CADAVÉRICO – BUENA RESPUESTA AL TX</t>
  </si>
  <si>
    <t>DF.04.2024</t>
  </si>
  <si>
    <t>BRIANNA SOPHIA</t>
  </si>
  <si>
    <t>MERCADO</t>
  </si>
  <si>
    <t>SINDROME NEFRÓTICO RESISTENTE A ESTEROIDES + ERC</t>
  </si>
  <si>
    <t xml:space="preserve"> HCE SECUNDARIA A COLESTASIS FAMILIAR INTRAHEPÁTICA PROGRESIVA TIPO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</si>
</sst>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yyyy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2"/>
      <color rgb="FF000000"/>
      <name val="Calibri"/>
      <family val="2"/>
    </font>
    <font>
      <sz val="8"/>
      <name val="Aptos Narrow"/>
      <family val="2"/>
      <scheme val="minor"/>
    </font>
    <font>
      <sz val="12"/>
      <color rgb="FF50505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2" fontId="0" fillId="0" borderId="0" xfId="0" applyNumberFormat="1"/>
    <xf numFmtId="14" fontId="0" fillId="0" borderId="0" xfId="0" applyNumberFormat="1"/>
    <xf numFmtId="164" fontId="0" fillId="0" borderId="0" xfId="1" applyFont="1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0" fontId="0" fillId="0" borderId="0" xfId="0" applyNumberFormat="1"/>
    <xf numFmtId="0" fontId="2" fillId="0" borderId="0" xfId="0" applyFont="1"/>
    <xf numFmtId="0" fontId="0" fillId="0" borderId="0" xfId="0" applyAlignment="1">
      <alignment horizontal="left" indent="1"/>
    </xf>
    <xf numFmtId="0" fontId="5" fillId="0" borderId="0" xfId="0" applyFont="1"/>
    <xf numFmtId="1" fontId="0" fillId="0" borderId="0" xfId="0" applyNumberFormat="1"/>
    <xf numFmtId="1" fontId="0" fillId="2" borderId="0" xfId="0" applyNumberFormat="1" applyFill="1"/>
    <xf numFmtId="1" fontId="3" fillId="0" borderId="0" xfId="0" applyNumberFormat="1" applyFont="1"/>
    <xf numFmtId="1" fontId="0" fillId="0" borderId="1" xfId="0" applyNumberFormat="1" applyBorder="1"/>
    <xf numFmtId="164" fontId="0" fillId="0" borderId="0" xfId="1" applyFont="1" applyFill="1"/>
    <xf numFmtId="14" fontId="0" fillId="3" borderId="0" xfId="0" applyNumberFormat="1" applyFill="1"/>
    <xf numFmtId="165" fontId="0" fillId="0" borderId="0" xfId="0" applyNumberFormat="1"/>
    <xf numFmtId="14" fontId="0" fillId="4" borderId="0" xfId="0" applyNumberFormat="1" applyFill="1"/>
    <xf numFmtId="16" fontId="0" fillId="0" borderId="0" xfId="0" applyNumberFormat="1"/>
  </cellXfs>
  <cellStyles count="2">
    <cellStyle name="Comma" xfId="1" builtinId="3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7" formatCode="d/m/yy"/>
    </dxf>
    <dxf>
      <numFmt numFmtId="1" formatCode="0"/>
    </dxf>
    <dxf>
      <numFmt numFmtId="166" formatCode="dd/mm/yyyy"/>
    </dxf>
    <dxf>
      <numFmt numFmtId="166" formatCode="dd/mm/yyyy"/>
    </dxf>
    <dxf>
      <numFmt numFmtId="166" formatCode="dd/mm/yyyy"/>
    </dxf>
    <dxf>
      <numFmt numFmtId="2" formatCode="0.00"/>
    </dxf>
    <dxf>
      <numFmt numFmtId="166" formatCode="dd/mm/yyyy"/>
    </dxf>
    <dxf>
      <numFmt numFmtId="166" formatCode="dd/mm/yyyy"/>
      <fill>
        <patternFill>
          <fgColor indexed="64"/>
          <bgColor theme="6" tint="0.79998168889431442"/>
        </patternFill>
      </fill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  <dxf>
      <numFmt numFmtId="166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s Esteban Sánchez Siles" refreshedDate="45861.316927546293" createdVersion="8" refreshedVersion="8" minRefreshableVersion="3" recordCount="708" xr:uid="{F4BCCE36-C8A7-4D27-8F61-1C211E65DDAF}">
  <cacheSource type="worksheet">
    <worksheetSource name="Tabla1"/>
  </cacheSource>
  <cacheFields count="78">
    <cacheField name="UP_TRASPLANTA" numFmtId="0">
      <sharedItems containsBlank="1" count="7">
        <s v="UP2104 - HOSPITAL MÉXICO"/>
        <s v="UP2101 - HOSPITAL RAFAEL A. CALDERÓN GUARDIA"/>
        <s v="UP2306 - HOSPITAL DR. MAX PERALTA"/>
        <s v="UP2103 - HOSPITAL NACIONAL DE NIÑOS"/>
        <s v="UP2102 - HOSPITAL SAN JUAN DE DIOS"/>
        <s v="PRIVADO"/>
        <m u="1"/>
      </sharedItems>
    </cacheField>
    <cacheField name="UP_ENLISTA" numFmtId="0">
      <sharedItems containsBlank="1"/>
    </cacheField>
    <cacheField name="NO_OPERATIVO" numFmtId="0">
      <sharedItems containsBlank="1"/>
    </cacheField>
    <cacheField name="ORGANO" numFmtId="0">
      <sharedItems containsBlank="1"/>
    </cacheField>
    <cacheField name="TIPO_DONANTE" numFmtId="0">
      <sharedItems containsBlank="1" count="3">
        <s v="CADAVÉRICO"/>
        <s v="VIVO"/>
        <m u="1"/>
      </sharedItems>
    </cacheField>
    <cacheField name="DONANTE CRITERIOS EXTENDIDOS" numFmtId="0">
      <sharedItems containsBlank="1"/>
    </cacheField>
    <cacheField name="GRUPO/RH_D" numFmtId="0">
      <sharedItems containsBlank="1"/>
    </cacheField>
    <cacheField name="FECHA_NAC_D" numFmtId="14">
      <sharedItems containsDate="1" containsBlank="1" containsMixedTypes="1" minDate="1955-09-29T00:00:00" maxDate="2020-11-12T00:00:00"/>
    </cacheField>
    <cacheField name="EDAD_D" numFmtId="0">
      <sharedItems containsString="0" containsBlank="1" containsNumber="1" minValue="6" maxValue="125.49486652977413"/>
    </cacheField>
    <cacheField name="REL_RECEPTOR" numFmtId="0">
      <sharedItems containsBlank="1"/>
    </cacheField>
    <cacheField name="NOMBRE" numFmtId="0">
      <sharedItems containsBlank="1" containsMixedTypes="1" containsNumber="1" containsInteger="1" minValue="21040017197146" maxValue="21040017197146"/>
    </cacheField>
    <cacheField name="PRIMER_APELLIDO" numFmtId="0">
      <sharedItems containsBlank="1"/>
    </cacheField>
    <cacheField name="SEGUNDO_APELLIDO" numFmtId="0">
      <sharedItems containsBlank="1"/>
    </cacheField>
    <cacheField name="CEDULA/ID" numFmtId="1">
      <sharedItems containsSemiMixedTypes="0" containsString="0" containsNumber="1" containsInteger="1" minValue="11660027" maxValue="2970090626"/>
    </cacheField>
    <cacheField name="FECHA_TRASPLANTE" numFmtId="0">
      <sharedItems containsNonDate="0" containsDate="1" containsString="0" containsBlank="1" minDate="2015-01-05T00:00:00" maxDate="2025-07-12T00:00:00" count="547">
        <d v="2015-01-05T00:00:00"/>
        <d v="2015-01-07T00:00:00"/>
        <d v="2015-01-13T00:00:00"/>
        <d v="2015-01-14T00:00:00"/>
        <d v="2015-01-21T00:00:00"/>
        <d v="2015-01-22T00:00:00"/>
        <d v="2015-01-28T00:00:00"/>
        <d v="2015-02-09T00:00:00"/>
        <d v="2015-02-18T00:00:00"/>
        <d v="2015-02-25T00:00:00"/>
        <d v="2015-03-06T00:00:00"/>
        <d v="2015-03-18T00:00:00"/>
        <d v="2015-03-25T00:00:00"/>
        <d v="2015-04-02T00:00:00"/>
        <d v="2015-04-11T00:00:00"/>
        <d v="2015-04-15T00:00:00"/>
        <d v="2015-04-22T00:00:00"/>
        <d v="2015-04-29T00:00:00"/>
        <d v="2015-05-08T00:00:00"/>
        <d v="2015-05-13T00:00:00"/>
        <d v="2015-05-27T00:00:00"/>
        <d v="2015-06-05T00:00:00"/>
        <d v="2015-06-11T00:00:00"/>
        <d v="2015-06-17T00:00:00"/>
        <d v="2015-06-24T00:00:00"/>
        <d v="2015-07-01T00:00:00"/>
        <d v="2015-07-10T00:00:00"/>
        <d v="2015-07-22T00:00:00"/>
        <d v="2015-07-23T00:00:00"/>
        <d v="2015-07-29T00:00:00"/>
        <d v="2015-08-04T00:00:00"/>
        <d v="2015-08-19T00:00:00"/>
        <d v="2015-09-11T00:00:00"/>
        <d v="2015-09-12T00:00:00"/>
        <d v="2015-09-15T00:00:00"/>
        <d v="2015-09-22T00:00:00"/>
        <d v="2015-09-23T00:00:00"/>
        <d v="2015-09-30T00:00:00"/>
        <d v="2015-10-06T00:00:00"/>
        <d v="2015-10-09T00:00:00"/>
        <d v="2015-10-14T00:00:00"/>
        <d v="2015-10-15T00:00:00"/>
        <d v="2015-10-20T00:00:00"/>
        <d v="2015-10-25T00:00:00"/>
        <d v="2015-10-28T00:00:00"/>
        <d v="2015-11-02T00:00:00"/>
        <d v="2015-11-03T00:00:00"/>
        <d v="2015-11-09T00:00:00"/>
        <d v="2015-11-11T00:00:00"/>
        <d v="2015-11-18T00:00:00"/>
        <d v="2015-11-25T00:00:00"/>
        <d v="2015-12-08T00:00:00"/>
        <d v="2015-12-16T00:00:00"/>
        <d v="2016-01-05T00:00:00"/>
        <d v="2016-01-13T00:00:00"/>
        <d v="2016-01-27T00:00:00"/>
        <d v="2016-02-11T00:00:00"/>
        <d v="2016-02-17T00:00:00"/>
        <d v="2016-02-24T00:00:00"/>
        <d v="2016-03-06T00:00:00"/>
        <d v="2016-03-11T00:00:00"/>
        <d v="2016-03-13T00:00:00"/>
        <d v="2016-03-16T00:00:00"/>
        <d v="2016-03-20T00:00:00"/>
        <d v="2016-03-30T00:00:00"/>
        <d v="2016-04-02T00:00:00"/>
        <d v="2016-04-05T00:00:00"/>
        <d v="2016-04-30T00:00:00"/>
        <d v="2016-05-10T00:00:00"/>
        <d v="2016-05-11T00:00:00"/>
        <d v="2016-05-18T00:00:00"/>
        <d v="2016-05-23T00:00:00"/>
        <d v="2016-05-25T00:00:00"/>
        <d v="2016-05-31T00:00:00"/>
        <d v="2016-06-01T00:00:00"/>
        <d v="2016-06-15T00:00:00"/>
        <d v="2016-06-16T00:00:00"/>
        <d v="2016-07-09T00:00:00"/>
        <d v="2016-07-12T00:00:00"/>
        <d v="2016-07-13T00:00:00"/>
        <d v="2016-07-16T00:00:00"/>
        <d v="2016-07-27T00:00:00"/>
        <d v="2016-08-06T00:00:00"/>
        <d v="2016-08-17T00:00:00"/>
        <d v="2016-08-24T00:00:00"/>
        <d v="2016-09-11T00:00:00"/>
        <d v="2016-10-02T00:00:00"/>
        <d v="2016-10-07T00:00:00"/>
        <d v="2016-10-26T00:00:00"/>
        <d v="2016-11-16T00:00:00"/>
        <d v="2016-11-17T00:00:00"/>
        <d v="2016-11-22T00:00:00"/>
        <d v="2016-11-30T00:00:00"/>
        <d v="2016-12-10T00:00:00"/>
        <d v="2016-12-14T00:00:00"/>
        <d v="2016-12-21T00:00:00"/>
        <d v="2017-01-02T00:00:00"/>
        <d v="2017-01-03T00:00:00"/>
        <d v="2017-01-18T00:00:00"/>
        <d v="2017-01-25T00:00:00"/>
        <d v="2017-02-08T00:00:00"/>
        <d v="2017-02-14T00:00:00"/>
        <d v="2017-02-15T00:00:00"/>
        <d v="2017-02-22T00:00:00"/>
        <d v="2017-02-28T00:00:00"/>
        <d v="2017-03-01T00:00:00"/>
        <d v="2017-03-05T00:00:00"/>
        <d v="2017-03-08T00:00:00"/>
        <d v="2017-03-15T00:00:00"/>
        <d v="2017-03-21T00:00:00"/>
        <d v="2017-03-22T00:00:00"/>
        <d v="2017-03-29T00:00:00"/>
        <d v="2017-04-19T00:00:00"/>
        <d v="2017-04-26T00:00:00"/>
        <d v="2017-05-04T00:00:00"/>
        <d v="2017-05-07T00:00:00"/>
        <d v="2017-05-10T00:00:00"/>
        <d v="2017-05-24T00:00:00"/>
        <d v="2017-05-25T00:00:00"/>
        <d v="2017-05-27T00:00:00"/>
        <d v="2017-06-07T00:00:00"/>
        <d v="2017-06-14T00:00:00"/>
        <d v="2017-06-21T00:00:00"/>
        <d v="2017-06-25T00:00:00"/>
        <d v="2017-06-28T00:00:00"/>
        <d v="2017-07-06T00:00:00"/>
        <d v="2017-07-12T00:00:00"/>
        <d v="2017-07-19T00:00:00"/>
        <d v="2017-07-26T00:00:00"/>
        <d v="2017-08-03T00:00:00"/>
        <d v="2017-08-07T00:00:00"/>
        <d v="2017-08-09T00:00:00"/>
        <d v="2017-08-14T00:00:00"/>
        <d v="2017-08-15T00:00:00"/>
        <d v="2017-08-21T00:00:00"/>
        <d v="2017-08-23T00:00:00"/>
        <d v="2017-08-31T00:00:00"/>
        <d v="2017-09-01T00:00:00"/>
        <d v="2017-09-17T00:00:00"/>
        <d v="2017-09-19T00:00:00"/>
        <d v="2017-10-02T00:00:00"/>
        <d v="2017-10-04T00:00:00"/>
        <d v="2017-10-07T00:00:00"/>
        <d v="2017-10-10T00:00:00"/>
        <d v="2017-10-11T00:00:00"/>
        <d v="2017-10-15T00:00:00"/>
        <d v="2017-10-25T00:00:00"/>
        <d v="2017-10-30T00:00:00"/>
        <d v="2017-11-01T00:00:00"/>
        <d v="2017-11-17T00:00:00"/>
        <d v="2017-11-29T00:00:00"/>
        <d v="2017-12-13T00:00:00"/>
        <d v="2018-01-03T00:00:00"/>
        <d v="2018-01-24T00:00:00"/>
        <d v="2018-01-31T00:00:00"/>
        <d v="2018-02-07T00:00:00"/>
        <d v="2018-02-12T00:00:00"/>
        <d v="2018-02-20T00:00:00"/>
        <d v="2018-03-07T00:00:00"/>
        <d v="2018-03-13T00:00:00"/>
        <d v="2018-03-19T00:00:00"/>
        <d v="2018-03-26T00:00:00"/>
        <d v="2018-04-04T00:00:00"/>
        <d v="2018-04-21T00:00:00"/>
        <d v="2018-04-26T00:00:00"/>
        <d v="2018-04-28T00:00:00"/>
        <d v="2018-04-30T00:00:00"/>
        <d v="2018-05-02T00:00:00"/>
        <d v="2018-05-09T00:00:00"/>
        <d v="2018-05-12T00:00:00"/>
        <d v="2018-05-13T00:00:00"/>
        <d v="2018-05-16T00:00:00"/>
        <d v="2018-05-19T00:00:00"/>
        <d v="2018-05-24T00:00:00"/>
        <d v="2018-05-25T00:00:00"/>
        <d v="2018-06-01T00:00:00"/>
        <d v="2018-06-06T00:00:00"/>
        <d v="2018-06-12T00:00:00"/>
        <d v="2018-06-13T00:00:00"/>
        <d v="2018-06-20T00:00:00"/>
        <d v="2018-07-03T00:00:00"/>
        <d v="2018-07-11T00:00:00"/>
        <d v="2018-07-24T00:00:00"/>
        <d v="2018-07-25T00:00:00"/>
        <d v="2018-08-01T00:00:00"/>
        <d v="2018-08-08T00:00:00"/>
        <d v="2018-08-09T00:00:00"/>
        <d v="2018-08-21T00:00:00"/>
        <d v="2018-08-22T00:00:00"/>
        <d v="2018-10-17T00:00:00"/>
        <d v="2018-10-24T00:00:00"/>
        <d v="2018-10-29T00:00:00"/>
        <d v="2018-10-30T00:00:00"/>
        <d v="2018-11-07T00:00:00"/>
        <d v="2018-11-21T00:00:00"/>
        <d v="2018-12-10T00:00:00"/>
        <d v="2018-12-16T00:00:00"/>
        <d v="2018-12-22T00:00:00"/>
        <d v="2018-12-27T00:00:00"/>
        <d v="2019-01-04T00:00:00"/>
        <d v="2019-01-09T00:00:00"/>
        <d v="2019-01-16T00:00:00"/>
        <d v="2019-01-24T00:00:00"/>
        <d v="2019-02-05T00:00:00"/>
        <d v="2019-02-12T00:00:00"/>
        <d v="2019-02-13T00:00:00"/>
        <d v="2019-02-15T00:00:00"/>
        <d v="2019-02-20T00:00:00"/>
        <d v="2019-03-06T00:00:00"/>
        <d v="2019-03-13T00:00:00"/>
        <d v="2019-03-19T00:00:00"/>
        <d v="2019-03-20T00:00:00"/>
        <d v="2019-03-24T00:00:00"/>
        <d v="2019-03-25T00:00:00"/>
        <d v="2019-03-27T00:00:00"/>
        <d v="2019-04-04T00:00:00"/>
        <d v="2019-04-09T00:00:00"/>
        <d v="2019-04-10T00:00:00"/>
        <d v="2019-04-11T00:00:00"/>
        <d v="2019-04-23T00:00:00"/>
        <d v="2019-04-26T00:00:00"/>
        <d v="2019-05-01T00:00:00"/>
        <d v="2019-05-15T00:00:00"/>
        <d v="2019-05-22T00:00:00"/>
        <d v="2019-05-24T00:00:00"/>
        <d v="2019-05-29T00:00:00"/>
        <d v="2019-06-05T00:00:00"/>
        <d v="2019-06-14T00:00:00"/>
        <d v="2019-06-19T00:00:00"/>
        <d v="2019-06-26T00:00:00"/>
        <d v="2019-07-01T00:00:00"/>
        <d v="2019-07-16T00:00:00"/>
        <d v="2019-07-17T00:00:00"/>
        <d v="2019-07-31T00:00:00"/>
        <d v="2019-08-04T00:00:00"/>
        <d v="2019-08-21T00:00:00"/>
        <d v="2019-08-28T00:00:00"/>
        <d v="2019-09-04T00:00:00"/>
        <d v="2019-09-11T00:00:00"/>
        <d v="2019-09-24T00:00:00"/>
        <d v="2019-10-02T00:00:00"/>
        <d v="2019-10-09T00:00:00"/>
        <d v="2019-10-16T00:00:00"/>
        <d v="2019-10-23T00:00:00"/>
        <d v="2019-10-24T00:00:00"/>
        <d v="2019-10-25T00:00:00"/>
        <d v="2019-11-02T00:00:00"/>
        <d v="2019-11-06T00:00:00"/>
        <d v="2019-11-09T00:00:00"/>
        <d v="2019-11-12T00:00:00"/>
        <d v="2019-11-13T00:00:00"/>
        <d v="2019-11-20T00:00:00"/>
        <d v="2019-11-27T00:00:00"/>
        <d v="2019-12-03T00:00:00"/>
        <d v="2019-12-11T00:00:00"/>
        <d v="2019-12-14T00:00:00"/>
        <d v="2019-12-15T00:00:00"/>
        <d v="2019-12-17T00:00:00"/>
        <d v="2019-12-18T00:00:00"/>
        <d v="2020-01-04T00:00:00"/>
        <d v="2020-01-13T00:00:00"/>
        <d v="2020-01-14T00:00:00"/>
        <d v="2020-01-18T00:00:00"/>
        <d v="2020-01-19T00:00:00"/>
        <d v="2020-01-20T00:00:00"/>
        <d v="2020-01-21T00:00:00"/>
        <d v="2020-01-22T00:00:00"/>
        <d v="2020-01-26T00:00:00"/>
        <d v="2020-02-04T00:00:00"/>
        <d v="2020-02-08T00:00:00"/>
        <d v="2020-02-11T00:00:00"/>
        <d v="2020-02-12T00:00:00"/>
        <d v="2020-02-19T00:00:00"/>
        <d v="2020-02-22T00:00:00"/>
        <d v="2020-02-25T00:00:00"/>
        <d v="2020-02-27T00:00:00"/>
        <d v="2020-03-04T00:00:00"/>
        <d v="2020-05-09T00:00:00"/>
        <d v="2020-06-21T00:00:00"/>
        <d v="2020-06-22T00:00:00"/>
        <d v="2020-07-02T00:00:00"/>
        <d v="2020-11-09T00:00:00"/>
        <d v="2020-11-19T00:00:00"/>
        <d v="2020-11-21T00:00:00"/>
        <d v="2020-11-22T00:00:00"/>
        <d v="2020-12-03T00:00:00"/>
        <d v="2020-12-15T00:00:00"/>
        <d v="2020-12-19T00:00:00"/>
        <d v="2021-01-12T00:00:00"/>
        <d v="2021-04-17T00:00:00"/>
        <d v="2021-04-21T00:00:00"/>
        <d v="2021-05-07T00:00:00"/>
        <d v="2021-05-14T00:00:00"/>
        <d v="2021-05-15T00:00:00"/>
        <d v="2021-07-07T00:00:00"/>
        <d v="2021-07-21T00:00:00"/>
        <d v="2021-07-23T00:00:00"/>
        <d v="2021-08-01T00:00:00"/>
        <d v="2021-08-11T00:00:00"/>
        <d v="2021-08-18T00:00:00"/>
        <d v="2021-08-31T00:00:00"/>
        <d v="2021-09-15T00:00:00"/>
        <d v="2021-09-29T00:00:00"/>
        <d v="2021-10-06T00:00:00"/>
        <d v="2021-10-19T00:00:00"/>
        <d v="2021-10-27T00:00:00"/>
        <d v="2021-11-03T00:00:00"/>
        <d v="2021-11-04T00:00:00"/>
        <d v="2021-11-07T00:00:00"/>
        <d v="2021-11-10T00:00:00"/>
        <d v="2021-11-17T00:00:00"/>
        <d v="2021-11-24T00:00:00"/>
        <d v="2021-12-01T00:00:00"/>
        <d v="2021-12-08T00:00:00"/>
        <d v="2021-12-13T00:00:00"/>
        <d v="2022-01-10T00:00:00"/>
        <d v="2022-01-12T00:00:00"/>
        <d v="2022-01-14T00:00:00"/>
        <d v="2022-01-16T00:00:00"/>
        <d v="2022-01-19T00:00:00"/>
        <d v="2022-01-20T00:00:00"/>
        <d v="2022-01-26T00:00:00"/>
        <d v="2022-02-09T00:00:00"/>
        <d v="2022-02-15T00:00:00"/>
        <d v="2022-02-16T00:00:00"/>
        <d v="2022-03-09T00:00:00"/>
        <d v="2022-03-14T00:00:00"/>
        <d v="2022-03-23T00:00:00"/>
        <d v="2022-03-28T00:00:00"/>
        <d v="2022-04-25T00:00:00"/>
        <d v="2022-04-27T00:00:00"/>
        <d v="2022-05-04T00:00:00"/>
        <d v="2022-05-18T00:00:00"/>
        <d v="2022-05-19T00:00:00"/>
        <d v="2022-05-25T00:00:00"/>
        <d v="2022-06-01T00:00:00"/>
        <d v="2022-06-08T00:00:00"/>
        <d v="2022-06-19T00:00:00"/>
        <d v="2022-06-22T00:00:00"/>
        <d v="2022-06-23T00:00:00"/>
        <d v="2022-06-29T00:00:00"/>
        <d v="2022-07-04T00:00:00"/>
        <d v="2022-08-08T00:00:00"/>
        <d v="2022-08-13T00:00:00"/>
        <d v="2022-08-17T00:00:00"/>
        <d v="2022-08-29T00:00:00"/>
        <d v="2022-09-07T00:00:00"/>
        <d v="2022-09-11T00:00:00"/>
        <d v="2022-10-03T00:00:00"/>
        <d v="2022-10-17T00:00:00"/>
        <d v="2022-10-23T00:00:00"/>
        <d v="2022-10-24T00:00:00"/>
        <d v="2022-11-05T00:00:00"/>
        <d v="2022-11-09T00:00:00"/>
        <d v="2022-11-26T00:00:00"/>
        <d v="2022-11-30T00:00:00"/>
        <d v="2022-12-01T00:00:00"/>
        <d v="2022-12-12T00:00:00"/>
        <d v="2022-12-16T00:00:00"/>
        <d v="2022-12-21T00:00:00"/>
        <d v="2022-12-25T00:00:00"/>
        <d v="2023-01-03T06:00:00"/>
        <d v="2023-01-04T06:00:00"/>
        <d v="2023-01-09T06:00:00"/>
        <d v="2023-01-19T00:00:00"/>
        <d v="2023-01-20T06:00:00"/>
        <d v="2023-01-31T00:00:00"/>
        <d v="2023-01-31T06:00:00"/>
        <d v="2023-02-02T06:00:00"/>
        <d v="2023-02-08T00:00:00"/>
        <d v="2023-02-12T00:00:00"/>
        <d v="2023-02-15T00:00:00"/>
        <d v="2023-03-06T00:00:00"/>
        <d v="2023-03-08T00:00:00"/>
        <d v="2023-03-08T06:00:00"/>
        <d v="2023-03-15T00:00:00"/>
        <d v="2023-03-16T06:00:00"/>
        <d v="2023-03-17T00:00:00"/>
        <d v="2023-03-27T06:00:00"/>
        <d v="2023-04-12T00:00:00"/>
        <d v="2023-04-17T00:00:00"/>
        <d v="2023-04-25T00:00:00"/>
        <d v="2023-04-25T06:00:00"/>
        <d v="2023-05-08T00:00:00"/>
        <d v="2023-05-10T00:00:00"/>
        <d v="2023-05-17T00:00:00"/>
        <d v="2023-05-18T00:00:00"/>
        <d v="2023-05-29T06:00:00"/>
        <d v="2023-06-07T00:00:00"/>
        <d v="2023-06-14T00:00:00"/>
        <d v="2023-06-18T06:00:00"/>
        <d v="2023-06-19T00:00:00"/>
        <d v="2023-06-21T00:00:00"/>
        <d v="2023-07-12T00:00:00"/>
        <d v="2023-07-15T06:00:00"/>
        <d v="2023-07-16T06:00:00"/>
        <d v="2023-07-17T00:00:00"/>
        <d v="2023-07-31T00:00:00"/>
        <d v="2023-08-09T06:00:00"/>
        <d v="2023-08-16T00:00:00"/>
        <d v="2023-08-21T00:00:00"/>
        <d v="2023-08-22T00:00:00"/>
        <d v="2023-08-22T06:00:00"/>
        <d v="2023-08-23T00:00:00"/>
        <d v="2023-09-13T00:00:00"/>
        <d v="2023-09-20T00:00:00"/>
        <d v="2023-09-20T06:00:00"/>
        <d v="2023-09-27T00:00:00"/>
        <d v="2023-10-02T06:00:00"/>
        <d v="2023-10-10T06:00:00"/>
        <d v="2023-11-07T06:00:00"/>
        <d v="2023-11-14T00:00:00"/>
        <d v="2023-11-15T00:00:00"/>
        <d v="2023-11-22T06:00:00"/>
        <d v="2023-11-29T00:00:00"/>
        <d v="2023-12-04T00:00:00"/>
        <d v="2023-12-06T00:00:00"/>
        <d v="2023-12-13T00:00:00"/>
        <d v="2023-12-18T00:00:00"/>
        <d v="2023-12-20T06:00:00"/>
        <d v="2024-01-06T00:00:00"/>
        <d v="2024-02-07T06:00:00"/>
        <d v="2024-01-10T00:00:00"/>
        <d v="2024-01-24T00:00:00"/>
        <d v="2024-03-21T06:00:00"/>
        <d v="2024-01-26T06:00:00"/>
        <d v="2024-07-26T00:00:00"/>
        <d v="2024-01-31T00:00:00"/>
        <d v="2024-01-30T06:00:00"/>
        <d v="2024-02-07T00:00:00"/>
        <d v="2024-01-06T06:00:00"/>
        <d v="2024-02-12T06:00:00"/>
        <d v="2024-02-14T00:00:00"/>
        <d v="2024-02-18T00:00:00"/>
        <d v="2024-02-28T00:00:00"/>
        <d v="2024-03-04T06:00:00"/>
        <d v="2024-03-06T00:00:00"/>
        <d v="2024-03-13T00:00:00"/>
        <d v="2024-03-20T00:00:00"/>
        <d v="2024-03-21T00:00:00"/>
        <d v="2024-07-21T00:00:00"/>
        <d v="2024-03-25T00:00:00"/>
        <d v="2024-05-25T00:00:00"/>
        <d v="2024-03-26T06:00:00"/>
        <d v="2024-04-17T00:00:00"/>
        <d v="2024-04-24T00:00:00"/>
        <d v="2024-05-20T06:00:00"/>
        <d v="2024-01-31T06:00:00"/>
        <d v="2024-10-04T00:00:00"/>
        <d v="2024-05-29T00:00:00"/>
        <d v="2024-06-09T00:00:00"/>
        <d v="2024-09-21T00:00:00"/>
        <d v="2024-06-10T06:00:00"/>
        <d v="2024-06-11T00:00:00"/>
        <d v="2024-06-12T00:00:00"/>
        <d v="2024-06-12T06:00:00"/>
        <d v="2024-06-17T00:00:00"/>
        <d v="2024-06-24T00:00:00"/>
        <d v="2024-07-06T00:00:00"/>
        <d v="2024-12-21T00:00:00"/>
        <d v="2024-05-25T06:00:00"/>
        <d v="2024-07-10T00:00:00"/>
        <d v="2024-07-15T00:00:00"/>
        <d v="2024-07-17T00:00:00"/>
        <d v="2024-12-28T00:00:00"/>
        <d v="2024-07-22T00:00:00"/>
        <d v="2024-07-31T00:00:00"/>
        <d v="2024-08-14T00:00:00"/>
        <d v="2024-08-19T00:00:00"/>
        <d v="2024-08-26T00:00:00"/>
        <d v="2024-09-11T00:00:00"/>
        <d v="2024-09-18T00:00:00"/>
        <d v="2024-07-19T06:00:00"/>
        <d v="2024-07-19T00:00:00"/>
        <d v="2024-09-25T00:00:00"/>
        <d v="2024-10-02T00:00:00"/>
        <d v="2024-10-03T00:00:00"/>
        <d v="2024-10-07T00:00:00"/>
        <d v="2024-10-09T00:00:00"/>
        <d v="2024-10-23T00:00:00"/>
        <d v="2024-10-28T00:00:00"/>
        <d v="2024-11-06T00:00:00"/>
        <d v="2024-11-13T00:00:00"/>
        <d v="2024-11-20T00:00:00"/>
        <d v="2024-12-05T00:00:00"/>
        <d v="2024-12-11T00:00:00"/>
        <d v="2024-07-09T06:00:00"/>
        <d v="2024-02-18T06:00:00"/>
        <d v="2024-07-06T06:00:00"/>
        <d v="2025-01-14T00:00:00"/>
        <d v="2025-01-25T00:00:00"/>
        <d v="2025-02-02T00:00:00"/>
        <d v="2025-02-05T00:00:00"/>
        <d v="2025-02-10T00:00:00"/>
        <d v="2025-02-12T00:00:00"/>
        <d v="2025-02-19T00:00:00"/>
        <d v="2025-02-24T00:00:00"/>
        <d v="2025-02-26T00:00:00"/>
        <d v="2025-03-03T00:00:00"/>
        <d v="2025-03-05T00:00:00"/>
        <d v="2025-03-06T00:00:00"/>
        <d v="2025-03-10T00:00:00"/>
        <d v="2025-03-12T00:00:00"/>
        <d v="2025-03-13T00:00:00"/>
        <d v="2025-03-19T00:00:00"/>
        <d v="2025-03-25T00:00:00"/>
        <d v="2025-03-27T00:00:00"/>
        <d v="2025-03-29T00:00:00"/>
        <d v="2025-03-31T00:00:00"/>
        <d v="2025-04-01T00:00:00"/>
        <d v="2025-04-02T00:00:00"/>
        <d v="2025-04-09T00:00:00"/>
        <d v="2025-04-14T00:00:00"/>
        <d v="2025-04-15T00:00:00"/>
        <d v="2025-04-18T00:00:00"/>
        <d v="2025-04-24T00:00:00"/>
        <d v="2025-04-30T00:00:00"/>
        <d v="2025-05-03T00:00:00"/>
        <d v="2025-05-04T00:00:00"/>
        <d v="2025-05-09T00:00:00"/>
        <d v="2025-05-19T00:00:00"/>
        <d v="2025-05-21T00:00:00"/>
        <d v="2025-05-23T00:00:00"/>
        <d v="2025-06-26T00:00:00"/>
        <d v="2025-06-14T00:00:00"/>
        <d v="2025-06-25T00:00:00"/>
        <d v="2025-06-02T00:00:00"/>
        <d v="2025-06-29T00:00:00"/>
        <d v="2025-05-20T00:00:00"/>
        <d v="2025-06-10T00:00:00"/>
        <d v="2025-06-15T00:00:00"/>
        <d v="2025-06-23T00:00:00"/>
        <d v="2025-07-10T00:00:00"/>
        <d v="2025-05-28T00:00:00"/>
        <d v="2025-07-09T00:00:00"/>
        <d v="2024-12-02T00:00:00"/>
        <d v="2024-07-09T00:00:00"/>
        <d v="2024-03-25T06:00:00"/>
        <d v="2024-01-28T06:00:00"/>
        <d v="2025-07-11T00:00:00"/>
        <d v="2024-06-09T06:00:00"/>
        <d v="2024-06-11T06:00:00"/>
        <m/>
        <d v="2024-01-26T00:00:00" u="1"/>
        <d v="2024-01-28T00:00:00" u="1"/>
        <d v="2024-01-30T00:00:00" u="1"/>
        <d v="2025-04-08T00:00:00" u="1"/>
      </sharedItems>
      <fieldGroup par="77"/>
    </cacheField>
    <cacheField name="SEXO" numFmtId="0">
      <sharedItems containsBlank="1"/>
    </cacheField>
    <cacheField name="FECHA_NAC" numFmtId="14">
      <sharedItems containsNonDate="0" containsDate="1" containsString="0" containsBlank="1" minDate="1944-07-25T00:00:00" maxDate="2025-02-03T00:00:00"/>
    </cacheField>
    <cacheField name="EDAD" numFmtId="0">
      <sharedItems containsSemiMixedTypes="0" containsString="0" containsNumber="1" minValue="-0.8268309377138946" maxValue="124.75838466803559"/>
    </cacheField>
    <cacheField name="GRUPO/RH" numFmtId="0">
      <sharedItems containsBlank="1"/>
    </cacheField>
    <cacheField name="INGRESO_LE" numFmtId="0">
      <sharedItems containsDate="1" containsString="0" containsBlank="1" containsMixedTypes="1" minDate="1900-01-05T22:49:04" maxDate="1900-01-09T21:50:04"/>
    </cacheField>
    <cacheField name="DIAGNSTICO" numFmtId="0">
      <sharedItems containsBlank="1"/>
    </cacheField>
    <cacheField name="TERAPIA_RENAL" numFmtId="0">
      <sharedItems containsBlank="1"/>
    </cacheField>
    <cacheField name="NACIONALIDAD" numFmtId="0">
      <sharedItems containsBlank="1"/>
    </cacheField>
    <cacheField name="PROVINCIA" numFmtId="0">
      <sharedItems containsBlank="1"/>
    </cacheField>
    <cacheField name="CANTON" numFmtId="0">
      <sharedItems containsBlank="1"/>
    </cacheField>
    <cacheField name="DISTRITO" numFmtId="0">
      <sharedItems containsBlank="1"/>
    </cacheField>
    <cacheField name="TIEMPO ISQUEMIA FRIA (HORAS)" numFmtId="0">
      <sharedItems containsDate="1" containsBlank="1" containsMixedTypes="1" minDate="1900-01-08T15:41:03" maxDate="1899-12-30T00:00:00"/>
    </cacheField>
    <cacheField name="TIEMPO DE CIRUGÍA DE BANCO (MINUTOS)" numFmtId="0">
      <sharedItems containsDate="1" containsBlank="1" containsMixedTypes="1" minDate="1899-12-30T00:25:00" maxDate="1899-12-30T00:40:00"/>
    </cacheField>
    <cacheField name="TIEMPO QUIRÚRGICO DEL TRASPLANTE (HORAS)" numFmtId="0">
      <sharedItems containsDate="1" containsBlank="1" containsMixedTypes="1" minDate="1899-12-30T01:20:00" maxDate="1899-12-30T00:00:00"/>
    </cacheField>
    <cacheField name="ESTANCIA EN UCI/ DIAS" numFmtId="0">
      <sharedItems containsBlank="1" containsMixedTypes="1" containsNumber="1" containsInteger="1" minValue="0" maxValue="34"/>
    </cacheField>
    <cacheField name="FUNCIÓN RETARDADA DEL INJERTO (SI/N0)" numFmtId="0">
      <sharedItems containsBlank="1"/>
    </cacheField>
    <cacheField name="EVOLUCION RECEPTOR MENOR A 48H" numFmtId="0">
      <sharedItems containsBlank="1"/>
    </cacheField>
    <cacheField name="EVOLUCIÓN RECEPTOR A 1 MES" numFmtId="0">
      <sharedItems containsBlank="1"/>
    </cacheField>
    <cacheField name="EVOLUCIÓN RECEPTOR A 6 MESES" numFmtId="0">
      <sharedItems containsBlank="1"/>
    </cacheField>
    <cacheField name="EVOLUCIÓN RECEPTOR A  1 AÑO" numFmtId="0">
      <sharedItems containsBlank="1"/>
    </cacheField>
    <cacheField name="EVOLUCIÓN RECEPTOR A 3 AÑOS" numFmtId="0">
      <sharedItems containsBlank="1"/>
    </cacheField>
    <cacheField name="EVOLUCIÓN RECEPTOR A 5 AÑOS" numFmtId="0">
      <sharedItems containsBlank="1"/>
    </cacheField>
    <cacheField name="EVOLUCIÓN RECEPTOR A 10 AÑOS" numFmtId="0">
      <sharedItems containsBlank="1"/>
    </cacheField>
    <cacheField name="FALLECIDO SI/NO" numFmtId="0">
      <sharedItems containsBlank="1"/>
    </cacheField>
    <cacheField name="FECHA DE DEFUNCIÓN" numFmtId="0">
      <sharedItems containsDate="1" containsBlank="1" containsMixedTypes="1" minDate="2015-10-20T00:00:00" maxDate="2025-07-01T00:00:00"/>
    </cacheField>
    <cacheField name="CAUSA MUERTE" numFmtId="0">
      <sharedItems containsBlank="1"/>
    </cacheField>
    <cacheField name="DEFUNCIÓN CON INJERTO FUNCIONAL SI/NO" numFmtId="0">
      <sharedItems containsBlank="1"/>
    </cacheField>
    <cacheField name="INJERTO FUNCIONAL A 1 MES" numFmtId="0">
      <sharedItems containsBlank="1"/>
    </cacheField>
    <cacheField name="INJERTO FUNCIONAL A 1 AÑO" numFmtId="0">
      <sharedItems containsBlank="1"/>
    </cacheField>
    <cacheField name="INJERTO FUNCIONAL A 3 AÑOS" numFmtId="0">
      <sharedItems containsBlank="1"/>
    </cacheField>
    <cacheField name="INJERTO FUNCIONAL A 5 AÑOS" numFmtId="0">
      <sharedItems containsBlank="1"/>
    </cacheField>
    <cacheField name="INJERTO FUNCIONAL A 1O AÑOS" numFmtId="0">
      <sharedItems containsBlank="1"/>
    </cacheField>
    <cacheField name="FECHA FALLO INJERTO" numFmtId="0">
      <sharedItems containsDate="1" containsBlank="1" containsMixedTypes="1" minDate="2020-06-01T00:00:00" maxDate="2025-04-02T00:00:00"/>
    </cacheField>
    <cacheField name="CAUSA DE FALLO DE INJERTO" numFmtId="0">
      <sharedItems containsBlank="1"/>
    </cacheField>
    <cacheField name="DESENLACE" numFmtId="0">
      <sharedItems containsBlank="1"/>
    </cacheField>
    <cacheField name="RECHAZO AGUDO" numFmtId="0">
      <sharedItems containsBlank="1"/>
    </cacheField>
    <cacheField name="FECHA RECHAZO AGUDO" numFmtId="0">
      <sharedItems containsDate="1" containsBlank="1" containsMixedTypes="1" minDate="2022-10-24T00:00:00" maxDate="2024-06-28T00:00:00"/>
    </cacheField>
    <cacheField name="TIPO DE INDUCCIÓN (BASILIXIMAB, TIMOGLOBULINA, AFERESIS + RITUXI)" numFmtId="0">
      <sharedItems containsBlank="1"/>
    </cacheField>
    <cacheField name="CREATININA SÉRICA A 1 AÑO POSTRASPLANTE" numFmtId="0">
      <sharedItems containsBlank="1" containsMixedTypes="1" containsNumber="1" minValue="0.76" maxValue="11.19"/>
    </cacheField>
    <cacheField name="TFGE 12 MESES POSTRASPLANTE" numFmtId="0">
      <sharedItems containsBlank="1" containsMixedTypes="1" containsNumber="1" minValue="4" maxValue="122"/>
    </cacheField>
    <cacheField name="COMPLICACION QUIRÚRGICA POSTRASPLANTE" numFmtId="0">
      <sharedItems containsBlank="1"/>
    </cacheField>
    <cacheField name="FECHA DE COMPLICACIÓN QUIRÚRGICA" numFmtId="0">
      <sharedItems containsDate="1" containsBlank="1" containsMixedTypes="1" minDate="1900-01-09T04:50:04" maxDate="1900-01-03T23:51:04"/>
    </cacheField>
    <cacheField name="TIPO DE COMPLICACIÓN  " numFmtId="0">
      <sharedItems containsBlank="1"/>
    </cacheField>
    <cacheField name="DESCRIPCIÓN DE LA COMPLICACIÓN" numFmtId="0">
      <sharedItems containsBlank="1"/>
    </cacheField>
    <cacheField name="AMERITÓ REINTERVENCIÓN" numFmtId="0">
      <sharedItems containsBlank="1"/>
    </cacheField>
    <cacheField name="INFECCIÓN SI/NO" numFmtId="0">
      <sharedItems containsBlank="1"/>
    </cacheField>
    <cacheField name="FECHA DE INFECCIÓN" numFmtId="0">
      <sharedItems containsDate="1" containsBlank="1" containsMixedTypes="1" minDate="1900-01-10T06:50:04" maxDate="2025-05-20T00:00:00"/>
    </cacheField>
    <cacheField name="TIPO DE INFECCIÓN" numFmtId="0">
      <sharedItems containsBlank="1"/>
    </cacheField>
    <cacheField name="CÁNCER POSTRASPLANTE" numFmtId="0">
      <sharedItems containsBlank="1"/>
    </cacheField>
    <cacheField name="FECHA DE DETECCIÓN" numFmtId="0">
      <sharedItems containsBlank="1" containsMixedTypes="1" containsNumber="1" containsInteger="1" minValue="44835" maxValue="44835"/>
    </cacheField>
    <cacheField name="TIPO DE CÁNCER" numFmtId="0">
      <sharedItems containsBlank="1"/>
    </cacheField>
    <cacheField name="CEDULA/ID_D" numFmtId="0">
      <sharedItems containsBlank="1" containsMixedTypes="1" containsNumber="1" containsInteger="1" minValue="17125091" maxValue="2830101559"/>
    </cacheField>
    <cacheField name="SEXO_D" numFmtId="0">
      <sharedItems containsBlank="1"/>
    </cacheField>
    <cacheField name="NACIONALIDAD_D" numFmtId="0">
      <sharedItems containsBlank="1"/>
    </cacheField>
    <cacheField name="PARENTESCO" numFmtId="0">
      <sharedItems containsBlank="1"/>
    </cacheField>
    <cacheField name="OBSERVACIONES" numFmtId="0">
      <sharedItems containsBlank="1"/>
    </cacheField>
    <cacheField name="FALLECIDO_COD" numFmtId="0">
      <sharedItems containsString="0" containsBlank="1" containsNumber="1" containsInteger="1" minValue="0" maxValue="1"/>
    </cacheField>
    <cacheField name="DIAS_SV" numFmtId="164">
      <sharedItems containsSemiMixedTypes="0" containsString="0" containsNumber="1" minValue="-0.25" maxValue="45861"/>
    </cacheField>
    <cacheField name="MESES_SV" numFmtId="164">
      <sharedItems containsSemiMixedTypes="0" containsString="0" containsNumber="1" minValue="-8.2135523613963042E-3" maxValue="1506.7268993839837"/>
    </cacheField>
    <cacheField name="ANOS_SV" numFmtId="164">
      <sharedItems containsSemiMixedTypes="0" containsString="0" containsNumber="1" minValue="-6.8446269678302531E-4" maxValue="125.56057494866529"/>
    </cacheField>
    <cacheField name="Meses (FECHA_TRASPLANTE)" numFmtId="0" databaseField="0">
      <fieldGroup base="14">
        <rangePr groupBy="months" startDate="2015-01-05T00:00:00" endDate="2025-07-12T00:00:00"/>
        <groupItems count="14">
          <s v="&lt;05/01/201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2/07/2025"/>
        </groupItems>
      </fieldGroup>
    </cacheField>
    <cacheField name="Trimestres (FECHA_TRASPLANTE)" numFmtId="0" databaseField="0">
      <fieldGroup base="14">
        <rangePr groupBy="quarters" startDate="2015-01-05T00:00:00" endDate="2025-07-12T00:00:00"/>
        <groupItems count="6">
          <s v="&lt;05/01/2015"/>
          <s v="Trim.1"/>
          <s v="Trim.2"/>
          <s v="Trim.3"/>
          <s v="Trim.4"/>
          <s v="&gt;12/07/2025"/>
        </groupItems>
      </fieldGroup>
    </cacheField>
    <cacheField name="Años (FECHA_TRASPLANTE)" numFmtId="0" databaseField="0">
      <fieldGroup base="14">
        <rangePr groupBy="years" startDate="2015-01-05T00:00:00" endDate="2025-07-12T00:00:00"/>
        <groupItems count="13">
          <s v="&lt;05/01/2015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2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s Esteban Sánchez Siles" refreshedDate="45867.319976620369" createdVersion="8" refreshedVersion="8" minRefreshableVersion="3" recordCount="239" xr:uid="{AC476591-FD5C-714D-BCEF-760680546340}">
  <cacheSource type="worksheet">
    <worksheetSource name="higado"/>
  </cacheSource>
  <cacheFields count="78">
    <cacheField name="UP_TRASPLANTA" numFmtId="0">
      <sharedItems count="3">
        <s v="UP2104 - HOSPITAL MÉXICO"/>
        <s v="UP2101 - HOSPITAL RAFAEL A. CALDERÓN GUARDIA"/>
        <s v="UP2103 - HOSPITAL NACIONAL DE NIÑOS"/>
      </sharedItems>
    </cacheField>
    <cacheField name="UP_ENLISTA" numFmtId="0">
      <sharedItems containsBlank="1"/>
    </cacheField>
    <cacheField name="NO_OPERATIVO" numFmtId="0">
      <sharedItems containsBlank="1" containsMixedTypes="1" containsNumber="1" containsInteger="1" minValue="44929" maxValue="44929"/>
    </cacheField>
    <cacheField name="ORGANO" numFmtId="0">
      <sharedItems/>
    </cacheField>
    <cacheField name="TIPO_DONANTE" numFmtId="0">
      <sharedItems count="2">
        <s v="CADAVÉRICO"/>
        <s v="VIVO"/>
      </sharedItems>
    </cacheField>
    <cacheField name="DONANTE CRITERIOS EXTENDIDOS" numFmtId="0">
      <sharedItems containsBlank="1"/>
    </cacheField>
    <cacheField name="GRUPO/RH_D" numFmtId="0">
      <sharedItems containsBlank="1"/>
    </cacheField>
    <cacheField name="FECHA_NAC_D" numFmtId="0">
      <sharedItems containsString="0" containsBlank="1" containsNumber="1" minValue="20224" maxValue="42641"/>
    </cacheField>
    <cacheField name="EDAD_D" numFmtId="0">
      <sharedItems containsString="0" containsBlank="1" containsNumber="1" minValue="6.2642026009582477" maxValue="123.96988364134155"/>
    </cacheField>
    <cacheField name="REL_RECEPTOR" numFmtId="0">
      <sharedItems containsBlank="1"/>
    </cacheField>
    <cacheField name="NOMBRE" numFmtId="0">
      <sharedItems containsBlank="1"/>
    </cacheField>
    <cacheField name="PRIMER_APELLIDO" numFmtId="0">
      <sharedItems containsBlank="1"/>
    </cacheField>
    <cacheField name="SEGUNDO_APELLIDO" numFmtId="0">
      <sharedItems containsBlank="1"/>
    </cacheField>
    <cacheField name="CEDULA/ID" numFmtId="0">
      <sharedItems containsSemiMixedTypes="0" containsString="0" containsNumber="1" containsInteger="1" minValue="16223654" maxValue="21030011118363"/>
    </cacheField>
    <cacheField name="FECHA_TRASPLANTE" numFmtId="14">
      <sharedItems containsSemiMixedTypes="0" containsNonDate="0" containsDate="1" containsString="0" minDate="2011-01-15T00:00:00" maxDate="2025-07-17T00:00:00" count="234">
        <d v="2011-01-15T00:00:00"/>
        <d v="2011-02-01T00:00:00"/>
        <d v="2011-02-06T00:00:00"/>
        <d v="2011-03-12T00:00:00"/>
        <d v="2011-03-27T00:00:00"/>
        <d v="2011-04-21T00:00:00"/>
        <d v="2011-04-25T00:00:00"/>
        <d v="2011-05-07T00:00:00"/>
        <d v="2011-05-12T00:00:00"/>
        <d v="2011-05-16T00:00:00"/>
        <d v="2011-07-19T00:00:00"/>
        <d v="2011-07-24T00:00:00"/>
        <d v="2011-10-05T00:00:00"/>
        <d v="2011-10-06T00:00:00"/>
        <d v="2011-10-14T00:00:00"/>
        <d v="2011-10-23T00:00:00"/>
        <d v="2011-10-31T00:00:00"/>
        <d v="2011-12-21T00:00:00"/>
        <d v="2012-02-24T00:00:00"/>
        <d v="2012-03-10T00:00:00"/>
        <d v="2012-05-03T00:00:00"/>
        <d v="2013-02-24T00:00:00"/>
        <d v="2013-04-02T00:00:00"/>
        <d v="2013-04-09T00:00:00"/>
        <d v="2013-04-30T00:00:00"/>
        <d v="2013-05-23T00:00:00"/>
        <d v="2013-09-16T00:00:00"/>
        <d v="2013-11-04T00:00:00"/>
        <d v="2014-01-24T00:00:00"/>
        <d v="2014-03-11T00:00:00"/>
        <d v="2014-04-23T00:00:00"/>
        <d v="2014-09-28T00:00:00"/>
        <d v="2014-11-14T00:00:00"/>
        <d v="2014-11-21T00:00:00"/>
        <d v="2014-12-04T00:00:00"/>
        <d v="2014-12-11T00:00:00"/>
        <d v="2014-12-13T00:00:00"/>
        <d v="2014-12-23T00:00:00"/>
        <d v="2015-01-22T00:00:00"/>
        <d v="2015-02-04T00:00:00"/>
        <d v="2015-04-17T00:00:00"/>
        <d v="2015-07-01T00:00:00"/>
        <d v="2015-09-10T00:00:00"/>
        <d v="2015-09-15T00:00:00"/>
        <d v="2015-12-04T00:00:00"/>
        <d v="2016-03-03T00:00:00"/>
        <d v="2016-05-20T00:00:00"/>
        <d v="2016-05-23T00:00:00"/>
        <d v="2016-07-16T00:00:00"/>
        <d v="2016-10-03T00:00:00"/>
        <d v="2016-11-17T00:00:00"/>
        <d v="2016-12-21T00:00:00"/>
        <d v="2017-05-04T00:00:00"/>
        <d v="2017-05-07T00:00:00"/>
        <d v="2017-05-24T00:00:00"/>
        <d v="2017-08-14T00:00:00"/>
        <d v="2017-08-21T00:00:00"/>
        <d v="2017-10-11T00:00:00"/>
        <d v="2017-10-30T00:00:00"/>
        <d v="2017-11-17T00:00:00"/>
        <d v="2018-01-03T00:00:00"/>
        <d v="2018-01-21T00:00:00"/>
        <d v="2018-02-20T00:00:00"/>
        <d v="2018-03-19T00:00:00"/>
        <d v="2018-04-26T00:00:00"/>
        <d v="2018-05-01T00:00:00"/>
        <d v="2018-05-08T00:00:00"/>
        <d v="2018-05-23T00:00:00"/>
        <d v="2018-05-24T00:00:00"/>
        <d v="2018-06-01T00:00:00"/>
        <d v="2018-06-06T00:00:00"/>
        <d v="2018-08-08T00:00:00"/>
        <d v="2018-08-09T00:00:00"/>
        <d v="2018-08-20T00:00:00"/>
        <d v="2018-09-02T00:00:00"/>
        <d v="2018-11-02T00:00:00"/>
        <d v="2018-12-16T00:00:00"/>
        <d v="2018-12-17T00:00:00"/>
        <d v="2018-12-20T00:00:00"/>
        <d v="2018-12-23T00:00:00"/>
        <d v="2019-01-24T00:00:00"/>
        <d v="2019-02-12T00:00:00"/>
        <d v="2019-02-13T00:00:00"/>
        <d v="2019-02-21T00:00:00"/>
        <d v="2019-04-04T00:00:00"/>
        <d v="2019-04-09T00:00:00"/>
        <d v="2019-04-11T00:00:00"/>
        <d v="2019-06-15T00:00:00"/>
        <d v="2019-06-24T00:00:00"/>
        <d v="2019-06-26T00:00:00"/>
        <d v="2019-07-08T00:00:00"/>
        <d v="2019-07-17T00:00:00"/>
        <d v="2019-09-04T00:00:00"/>
        <d v="2019-09-29T00:00:00"/>
        <d v="2019-10-14T00:00:00"/>
        <d v="2019-10-25T00:00:00"/>
        <d v="2019-11-02T00:00:00"/>
        <d v="2019-12-13T00:00:00"/>
        <d v="2020-01-04T00:00:00"/>
        <d v="2020-01-13T00:00:00"/>
        <d v="2020-02-04T00:00:00"/>
        <d v="2020-02-18T00:00:00"/>
        <d v="2020-02-26T00:00:00"/>
        <d v="2020-05-09T00:00:00"/>
        <d v="2020-05-21T00:00:00"/>
        <d v="2020-06-11T00:00:00"/>
        <d v="2020-06-18T00:00:00"/>
        <d v="2020-09-01T00:00:00"/>
        <d v="2020-11-09T00:00:00"/>
        <d v="2020-11-19T00:00:00"/>
        <d v="2020-12-03T00:00:00"/>
        <d v="2020-12-05T00:00:00"/>
        <d v="2020-12-19T00:00:00"/>
        <d v="2021-01-12T00:00:00"/>
        <d v="2021-01-15T00:00:00"/>
        <d v="2021-01-21T00:00:00"/>
        <d v="2021-02-02T00:00:00"/>
        <d v="2021-02-23T00:00:00"/>
        <d v="2021-03-09T00:00:00"/>
        <d v="2021-04-14T00:00:00"/>
        <d v="2021-04-20T00:00:00"/>
        <d v="2021-05-07T00:00:00"/>
        <d v="2021-05-15T00:00:00"/>
        <d v="2021-05-25T00:00:00"/>
        <d v="2021-07-20T00:00:00"/>
        <d v="2021-07-24T00:00:00"/>
        <d v="2021-08-31T00:00:00"/>
        <d v="2021-10-06T00:00:00"/>
        <d v="2021-10-24T00:00:00"/>
        <d v="2021-10-27T00:00:00"/>
        <d v="2021-11-05T00:00:00"/>
        <d v="2021-11-06T00:00:00"/>
        <d v="2022-01-08T00:00:00"/>
        <d v="2022-01-14T00:00:00"/>
        <d v="2022-01-16T00:00:00"/>
        <d v="2022-03-02T00:00:00"/>
        <d v="2022-03-14T00:00:00"/>
        <d v="2022-04-13T00:00:00"/>
        <d v="2022-05-19T00:00:00"/>
        <d v="2022-06-19T00:00:00"/>
        <d v="2022-06-22T00:00:00"/>
        <d v="2022-07-14T00:00:00"/>
        <d v="2022-07-29T00:00:00"/>
        <d v="2022-08-13T00:00:00"/>
        <d v="2022-08-16T00:00:00"/>
        <d v="2022-10-24T00:00:00"/>
        <d v="2022-11-02T00:00:00"/>
        <d v="2022-11-05T00:00:00"/>
        <d v="2022-11-26T00:00:00"/>
        <d v="2022-11-27T00:00:00"/>
        <d v="2022-12-01T00:00:00"/>
        <d v="2022-12-16T00:00:00"/>
        <d v="2022-12-25T00:00:00"/>
        <d v="2023-01-03T00:00:00"/>
        <d v="2023-01-20T06:00:00"/>
        <d v="2023-01-31T06:00:00"/>
        <d v="2023-02-12T06:00:00"/>
        <d v="2023-03-01T06:00:00"/>
        <d v="2023-03-16T06:00:00"/>
        <d v="2023-04-11T06:00:00"/>
        <d v="2023-04-25T06:00:00"/>
        <d v="2023-04-27T06:00:00"/>
        <d v="2023-05-10T06:00:00"/>
        <d v="2023-06-18T06:00:00"/>
        <d v="2023-07-15T06:00:00"/>
        <d v="2023-08-22T06:00:00"/>
        <d v="2023-08-24T06:00:00"/>
        <d v="2023-10-04T06:00:00"/>
        <d v="2023-11-09T06:00:00"/>
        <d v="2023-11-19T06:00:00"/>
        <d v="2023-11-24T06:00:00"/>
        <d v="2023-12-08T00:00:00"/>
        <d v="2023-12-09T06:00:00"/>
        <d v="2023-12-20T00:00:00"/>
        <d v="2024-01-06T06:00:00"/>
        <d v="2024-01-16T06:00:00"/>
        <d v="2024-01-26T06:00:00"/>
        <d v="2024-01-28T06:00:00"/>
        <d v="2024-01-30T06:00:00"/>
        <d v="2024-02-07T06:00:00"/>
        <d v="2024-03-21T06:00:00"/>
        <d v="2024-03-25T06:00:00"/>
        <d v="2024-03-26T00:00:00"/>
        <d v="2024-05-25T00:00:00"/>
        <d v="2024-06-09T06:00:00"/>
        <d v="2024-06-11T06:00:00"/>
        <d v="2024-06-25T00:00:00"/>
        <d v="2024-06-30T00:00:00"/>
        <d v="2024-07-06T00:00:00"/>
        <d v="2024-07-09T00:00:00"/>
        <d v="2024-07-18T00:00:00"/>
        <d v="2024-07-21T00:00:00"/>
        <d v="2024-07-26T00:00:00"/>
        <d v="2024-07-31T00:00:00"/>
        <d v="2024-08-01T00:00:00"/>
        <d v="2024-09-21T00:00:00"/>
        <d v="2024-10-03T00:00:00"/>
        <d v="2024-10-29T00:00:00"/>
        <d v="2024-12-21T00:00:00"/>
        <d v="2024-12-28T00:00:00"/>
        <d v="2025-01-13T00:00:00"/>
        <d v="2025-01-25T00:00:00"/>
        <d v="2025-02-07T00:00:00"/>
        <d v="2025-02-11T00:00:00"/>
        <d v="2025-02-21T07:00:00"/>
        <d v="2025-03-03T06:30:00"/>
        <d v="2025-03-04T07:00:00"/>
        <d v="2025-03-06T06:45:00"/>
        <d v="2025-03-07T23:30:00"/>
        <d v="2025-03-27T06:00:00"/>
        <d v="2025-03-29T10:00:00"/>
        <d v="2025-04-09T12:00:00"/>
        <d v="2025-04-15T05:40:00"/>
        <d v="2025-04-16T16:07:00"/>
        <d v="2025-04-30T00:00:00"/>
        <d v="2025-05-03T00:00:00"/>
        <d v="2025-05-04T00:00:00"/>
        <d v="2025-05-08T00:00:00"/>
        <d v="2025-05-09T00:00:00"/>
        <d v="2025-05-10T00:00:00"/>
        <d v="2025-03-12T00:00:00"/>
        <d v="2025-03-31T00:00:00"/>
        <d v="2025-05-19T00:00:00"/>
        <d v="2025-05-22T00:00:00"/>
        <d v="2025-05-17T00:00:00"/>
        <d v="2025-06-14T00:00:00"/>
        <d v="2025-06-21T00:00:00"/>
        <d v="2025-06-22T00:00:00"/>
        <d v="2025-06-26T00:00:00"/>
        <d v="2025-05-23T00:00:00"/>
        <d v="2025-06-18T00:00:00"/>
        <d v="2025-06-29T00:00:00"/>
        <d v="2025-07-10T00:00:00"/>
        <d v="2025-07-16T00:00:00"/>
      </sharedItems>
      <fieldGroup par="77"/>
    </cacheField>
    <cacheField name="SEXO" numFmtId="0">
      <sharedItems/>
    </cacheField>
    <cacheField name="FECHA_NAC" numFmtId="14">
      <sharedItems containsSemiMixedTypes="0" containsNonDate="0" containsDate="1" containsString="0" minDate="1921-04-04T00:00:00" maxDate="2022-08-27T00:00:00"/>
    </cacheField>
    <cacheField name="EDAD" numFmtId="2">
      <sharedItems containsSemiMixedTypes="0" containsString="0" containsNumber="1" minValue="0.51266255989048592" maxValue="97.092402464065714"/>
    </cacheField>
    <cacheField name="GRUPO/RH" numFmtId="0">
      <sharedItems containsBlank="1"/>
    </cacheField>
    <cacheField name="INGRESO_LE" numFmtId="0">
      <sharedItems containsDate="1" containsString="0" containsBlank="1" containsMixedTypes="1" minDate="1900-01-05T13:49:04" maxDate="1900-01-04T03:51:04"/>
    </cacheField>
    <cacheField name="DIAGNSTICO" numFmtId="0">
      <sharedItems containsBlank="1"/>
    </cacheField>
    <cacheField name="MELD/PELD" numFmtId="0">
      <sharedItems containsString="0" containsBlank="1" containsNumber="1" containsInteger="1" minValue="-3" maxValue="55"/>
    </cacheField>
    <cacheField name="NACIONALIDAD" numFmtId="0">
      <sharedItems containsBlank="1"/>
    </cacheField>
    <cacheField name="PROVINCIA" numFmtId="0">
      <sharedItems containsBlank="1"/>
    </cacheField>
    <cacheField name="CANTON" numFmtId="0">
      <sharedItems containsBlank="1"/>
    </cacheField>
    <cacheField name="DISTRITO" numFmtId="0">
      <sharedItems containsBlank="1"/>
    </cacheField>
    <cacheField name="TIEMPO ISQUEMIA FRIA (HORAS)" numFmtId="0">
      <sharedItems containsNonDate="0" containsString="0" containsBlank="1"/>
    </cacheField>
    <cacheField name="TIEMPO DE CIRUGÍA DE BANCO (MINUTOS)" numFmtId="0">
      <sharedItems containsNonDate="0" containsString="0" containsBlank="1"/>
    </cacheField>
    <cacheField name="TIEMPO QUIRÚRGICO DEL TRASPLANTE (HORAS)" numFmtId="0">
      <sharedItems containsNonDate="0" containsString="0" containsBlank="1"/>
    </cacheField>
    <cacheField name="ESTANCIA EN UCI/ DIAS" numFmtId="0">
      <sharedItems containsBlank="1" containsMixedTypes="1" containsNumber="1" containsInteger="1" minValue="0" maxValue="90"/>
    </cacheField>
    <cacheField name="FUNCIÓN RETARDADA DEL INJERTO (SI/N0)" numFmtId="0">
      <sharedItems containsNonDate="0" containsString="0" containsBlank="1"/>
    </cacheField>
    <cacheField name="EVOLUCION RECEPTOR MENOR A 48H" numFmtId="0">
      <sharedItems containsBlank="1"/>
    </cacheField>
    <cacheField name="EVOLUCIÓN RECEPTOR A 1 MES" numFmtId="0">
      <sharedItems containsBlank="1"/>
    </cacheField>
    <cacheField name="EVOLUCIÓN RECEPTOR A 6 MESES" numFmtId="0">
      <sharedItems containsBlank="1"/>
    </cacheField>
    <cacheField name="EVOLUCIÓN RECEPTOR A  1 AÑO" numFmtId="0">
      <sharedItems containsBlank="1"/>
    </cacheField>
    <cacheField name="EVOLUCIÓN RECEPTOR A 3 AÑOS" numFmtId="0">
      <sharedItems containsBlank="1"/>
    </cacheField>
    <cacheField name="EVOLUCIÓN RECEPTOR A 5 AÑOS" numFmtId="0">
      <sharedItems containsBlank="1"/>
    </cacheField>
    <cacheField name="EVOLUCIÓN RECEPTOR A 10 AÑOS" numFmtId="0">
      <sharedItems containsNonDate="0" containsString="0" containsBlank="1"/>
    </cacheField>
    <cacheField name="FALLECIDO SI/NO" numFmtId="0">
      <sharedItems count="2">
        <s v="SI"/>
        <s v="NO"/>
      </sharedItems>
    </cacheField>
    <cacheField name="FECHA DE DEFUNCIÓN" numFmtId="14">
      <sharedItems containsDate="1" containsBlank="1" containsMixedTypes="1" minDate="2000-07-17T00:00:00" maxDate="2025-06-24T00:00:00"/>
    </cacheField>
    <cacheField name="CAUSA MUERTE" numFmtId="0">
      <sharedItems containsBlank="1"/>
    </cacheField>
    <cacheField name="DEFUNCIÓN CON INJERTO FUNCIONAL SI/NO" numFmtId="0">
      <sharedItems containsBlank="1"/>
    </cacheField>
    <cacheField name="INJERTO FUNCIONAL A 1 MES" numFmtId="0">
      <sharedItems containsBlank="1"/>
    </cacheField>
    <cacheField name="INJERTO FUNCIONAL A 1 AÑO" numFmtId="0">
      <sharedItems containsNonDate="0" containsString="0" containsBlank="1"/>
    </cacheField>
    <cacheField name="INJERTO FUNCIONAL A 3 AÑOS" numFmtId="0">
      <sharedItems containsNonDate="0" containsString="0" containsBlank="1"/>
    </cacheField>
    <cacheField name="INJERTO FUNCIONAL A 5 AÑOS" numFmtId="0">
      <sharedItems containsNonDate="0" containsString="0" containsBlank="1"/>
    </cacheField>
    <cacheField name="INJERTO FUNCIONAL A 1O AÑOS" numFmtId="0">
      <sharedItems containsNonDate="0" containsString="0" containsBlank="1"/>
    </cacheField>
    <cacheField name="FECHA FALLO INJERTO" numFmtId="0">
      <sharedItems containsBlank="1"/>
    </cacheField>
    <cacheField name="CAUSA DE FALLO DE INJERTO" numFmtId="0">
      <sharedItems containsNonDate="0" containsString="0" containsBlank="1"/>
    </cacheField>
    <cacheField name="DESENLACE" numFmtId="0">
      <sharedItems containsNonDate="0" containsString="0" containsBlank="1"/>
    </cacheField>
    <cacheField name="RECHAZO AGUDO" numFmtId="0">
      <sharedItems containsBlank="1"/>
    </cacheField>
    <cacheField name="FECHA RECHAZO AGUDO" numFmtId="0">
      <sharedItems containsNonDate="0" containsString="0" containsBlank="1"/>
    </cacheField>
    <cacheField name="TIPO DE INDUCCIÓN (BASILIXIMAB, TIMOGLOBULINA, AFERESIS + RITUXI)" numFmtId="0">
      <sharedItems containsNonDate="0" containsString="0" containsBlank="1"/>
    </cacheField>
    <cacheField name="CREATININA SÉRICA A 1 AÑO POSTRASPLANTE" numFmtId="0">
      <sharedItems containsNonDate="0" containsString="0" containsBlank="1"/>
    </cacheField>
    <cacheField name="TFGE 12 MESES POSTRASPLANTE" numFmtId="0">
      <sharedItems containsNonDate="0" containsString="0" containsBlank="1"/>
    </cacheField>
    <cacheField name="COMPLICACION QUIRÚRGICA POSTRASPLANTE" numFmtId="0">
      <sharedItems containsNonDate="0" containsString="0" containsBlank="1"/>
    </cacheField>
    <cacheField name="FECHA DE COMPLICACIÓN QUIRÚRGICA" numFmtId="0">
      <sharedItems containsNonDate="0" containsString="0" containsBlank="1"/>
    </cacheField>
    <cacheField name="TIPO DE COMPLICACIÓN  " numFmtId="0">
      <sharedItems containsNonDate="0" containsString="0" containsBlank="1"/>
    </cacheField>
    <cacheField name="DESCRIPCIÓN DE LA COMPLICACIÓN" numFmtId="0">
      <sharedItems containsNonDate="0" containsString="0" containsBlank="1"/>
    </cacheField>
    <cacheField name="AMERITÓ REINTERVENCIÓN" numFmtId="0">
      <sharedItems containsNonDate="0" containsString="0" containsBlank="1"/>
    </cacheField>
    <cacheField name="INFECCIÓN SI/NO" numFmtId="0">
      <sharedItems containsNonDate="0" containsString="0" containsBlank="1"/>
    </cacheField>
    <cacheField name="FECHA DE INFECCIÓN" numFmtId="0">
      <sharedItems containsNonDate="0" containsString="0" containsBlank="1"/>
    </cacheField>
    <cacheField name="TIPO DE INFECCIÓN" numFmtId="0">
      <sharedItems containsNonDate="0" containsString="0" containsBlank="1"/>
    </cacheField>
    <cacheField name="CÁNCER POSTRASPLANTE" numFmtId="0">
      <sharedItems containsNonDate="0" containsString="0" containsBlank="1"/>
    </cacheField>
    <cacheField name="FECHA DE DETECCIÓN" numFmtId="0">
      <sharedItems containsNonDate="0" containsString="0" containsBlank="1"/>
    </cacheField>
    <cacheField name="TIPO DE CÁNCER" numFmtId="0">
      <sharedItems containsNonDate="0" containsString="0" containsBlank="1"/>
    </cacheField>
    <cacheField name="CEDULA/ID_D" numFmtId="0">
      <sharedItems containsBlank="1" containsMixedTypes="1" containsNumber="1" containsInteger="1" minValue="17125091" maxValue="23870023870822"/>
    </cacheField>
    <cacheField name="SEXO_D" numFmtId="0">
      <sharedItems containsBlank="1"/>
    </cacheField>
    <cacheField name="NACIONALIDAD_D" numFmtId="0">
      <sharedItems containsBlank="1"/>
    </cacheField>
    <cacheField name="OBSERVACIONES" numFmtId="0">
      <sharedItems containsBlank="1"/>
    </cacheField>
    <cacheField name="ANO_TRASPLANTE" numFmtId="165">
      <sharedItems containsSemiMixedTypes="0" containsNonDate="0" containsDate="1" containsString="0" minDate="2011-01-15T00:00:00" maxDate="2025-07-17T00:00:00"/>
    </cacheField>
    <cacheField name="FALLECIDO_COD" numFmtId="0">
      <sharedItems containsSemiMixedTypes="0" containsString="0" containsNumber="1" containsInteger="1" minValue="0" maxValue="1"/>
    </cacheField>
    <cacheField name="DIAS_SV" numFmtId="2">
      <sharedItems containsSemiMixedTypes="0" containsString="0" containsNumber="1" minValue="-6504" maxValue="5253"/>
    </cacheField>
    <cacheField name="#VALOR!" numFmtId="2">
      <sharedItems containsMixedTypes="1" containsNumber="1" minValue="-213.68377823408625" maxValue="172.58316221765915"/>
    </cacheField>
    <cacheField name="ANOS_SV" numFmtId="2">
      <sharedItems containsSemiMixedTypes="0" containsString="0" containsNumber="1" minValue="-17.806981519507186" maxValue="14.381930184804927"/>
    </cacheField>
    <cacheField name="Meses (FECHA_TRASPLANTE)" numFmtId="0" databaseField="0">
      <fieldGroup base="14">
        <rangePr groupBy="months" startDate="2011-01-15T00:00:00" endDate="2025-07-17T00:00:00"/>
        <groupItems count="14">
          <s v="&lt;15/01/2011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17/07/2025"/>
        </groupItems>
      </fieldGroup>
    </cacheField>
    <cacheField name="Trimestres (FECHA_TRASPLANTE)" numFmtId="0" databaseField="0">
      <fieldGroup base="14">
        <rangePr groupBy="quarters" startDate="2011-01-15T00:00:00" endDate="2025-07-17T00:00:00"/>
        <groupItems count="6">
          <s v="&lt;15/01/2011"/>
          <s v="Trim.1"/>
          <s v="Trim.2"/>
          <s v="Trim.3"/>
          <s v="Trim.4"/>
          <s v="&gt;17/07/2025"/>
        </groupItems>
      </fieldGroup>
    </cacheField>
    <cacheField name="Años (FECHA_TRASPLANTE)" numFmtId="0" databaseField="0">
      <fieldGroup base="14">
        <rangePr groupBy="years" startDate="2011-01-15T00:00:00" endDate="2025-07-17T00:00:00"/>
        <groupItems count="17">
          <s v="&lt;15/01/2011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17/0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8">
  <r>
    <x v="0"/>
    <m/>
    <m/>
    <s v="RIÑON"/>
    <x v="0"/>
    <m/>
    <m/>
    <m/>
    <n v="115.33013040494166"/>
    <s v="2015HM4"/>
    <s v="SANTOS"/>
    <s v="GUTIERREZ"/>
    <s v="ESPINOZA"/>
    <n v="2770102255"/>
    <x v="0"/>
    <s v="FEMENINA"/>
    <d v="1977-11-08T00:00:00"/>
    <n v="37.158110882956876"/>
    <s v="O+"/>
    <m/>
    <m/>
    <m/>
    <s v="NO ESPECIFICADO"/>
    <s v="Los Chiles, 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852"/>
    <n v="126.55441478439425"/>
    <n v="10.546201232032855"/>
  </r>
  <r>
    <x v="0"/>
    <m/>
    <m/>
    <s v="RIÑON"/>
    <x v="0"/>
    <m/>
    <m/>
    <m/>
    <n v="115.33562113932739"/>
    <s v="2015HSR1"/>
    <s v="ALBERTO"/>
    <s v="RODRIGUEZ"/>
    <s v="RODRIGUEZ"/>
    <n v="17325713"/>
    <x v="1"/>
    <s v="MASCULINO"/>
    <d v="1973-01-20T00:00:00"/>
    <n v="41.963039014373713"/>
    <s v="O+"/>
    <m/>
    <m/>
    <m/>
    <s v="NICARAGUA"/>
    <s v="Hered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850"/>
    <n v="126.48870636550308"/>
    <n v="10.540725530458589"/>
  </r>
  <r>
    <x v="0"/>
    <m/>
    <m/>
    <s v="RIÑON"/>
    <x v="0"/>
    <m/>
    <m/>
    <m/>
    <n v="115.33562113932739"/>
    <s v="2015HR1"/>
    <s v="MARIA JULIA"/>
    <s v="PIZARRO"/>
    <s v="GUTIERREZ"/>
    <n v="601001063"/>
    <x v="1"/>
    <s v="FEMENINA"/>
    <d v="1952-04-16T00:00:00"/>
    <n v="62.726899383983572"/>
    <s v="O+"/>
    <m/>
    <m/>
    <m/>
    <s v="COSTA RICA"/>
    <s v="GUANACASTE"/>
    <s v="SANTA CRUZ"/>
    <s v="SANTA CRUZ"/>
    <m/>
    <m/>
    <m/>
    <m/>
    <m/>
    <m/>
    <m/>
    <m/>
    <m/>
    <m/>
    <m/>
    <m/>
    <s v="SI"/>
    <d v="2015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86"/>
    <n v="9.3963039014373724"/>
    <n v="0.78302532511978096"/>
  </r>
  <r>
    <x v="0"/>
    <m/>
    <m/>
    <s v="RIÑON"/>
    <x v="1"/>
    <m/>
    <m/>
    <m/>
    <n v="115.33562113932739"/>
    <s v="hermano"/>
    <s v="SAM GERARDO"/>
    <s v="PICADO"/>
    <s v="VILLALOBOS"/>
    <n v="111740219"/>
    <x v="1"/>
    <s v="MASCULINO"/>
    <d v="1983-06-07T00:00:00"/>
    <n v="31.586584531143053"/>
    <s v="A+"/>
    <m/>
    <m/>
    <m/>
    <s v="COSTA RICA"/>
    <s v="GUANACASTE"/>
    <s v="CARRILLO"/>
    <s v="BELE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850"/>
    <n v="126.48870636550308"/>
    <n v="10.540725530458589"/>
  </r>
  <r>
    <x v="0"/>
    <m/>
    <m/>
    <s v="RIÑON"/>
    <x v="0"/>
    <m/>
    <m/>
    <m/>
    <n v="115.35209334248455"/>
    <s v="2015HM1"/>
    <s v="MARIA DE LOS ANGELES"/>
    <s v="RUIZ"/>
    <s v="MORAGA"/>
    <n v="503990099"/>
    <x v="2"/>
    <s v="FEMENINA"/>
    <d v="1994-06-21T00:00:00"/>
    <n v="20.563997262149211"/>
    <s v="A+"/>
    <m/>
    <m/>
    <m/>
    <s v="COSTA RICA"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844"/>
    <n v="126.29158110882958"/>
    <n v="10.524298425735797"/>
  </r>
  <r>
    <x v="0"/>
    <m/>
    <m/>
    <s v="RIÑON"/>
    <x v="1"/>
    <m/>
    <m/>
    <m/>
    <n v="115.35483870967742"/>
    <m/>
    <s v="MARIO ALBERTO"/>
    <s v="ABARCA"/>
    <s v="RODRIGUEZ"/>
    <n v="205710808"/>
    <x v="3"/>
    <s v="MASCULINO"/>
    <d v="1982-05-23T00:00:00"/>
    <n v="32.646132785763179"/>
    <s v="A+"/>
    <m/>
    <m/>
    <m/>
    <s v="COSTA RICA"/>
    <s v="Heredia"/>
    <s v="CENTRAL"/>
    <s v="HERED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843"/>
    <n v="126.25872689938399"/>
    <n v="10.521560574948666"/>
  </r>
  <r>
    <x v="0"/>
    <m/>
    <m/>
    <s v="RIÑON"/>
    <x v="1"/>
    <m/>
    <m/>
    <m/>
    <n v="115.37405628002746"/>
    <m/>
    <s v="ESTEFANIE MARIA"/>
    <s v="MONTERO"/>
    <s v="SANDOVAL"/>
    <n v="401840760"/>
    <x v="4"/>
    <s v="FEMENINA"/>
    <d v="1984-08-15T00:00:00"/>
    <n v="30.433949349760439"/>
    <s v="B+"/>
    <m/>
    <m/>
    <m/>
    <s v="COSTA RICA"/>
    <s v="Heredia"/>
    <s v="CENTRAL"/>
    <s v="ULLO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836"/>
    <n v="126.02874743326488"/>
    <n v="10.50239561943874"/>
  </r>
  <r>
    <x v="0"/>
    <m/>
    <m/>
    <s v="RIÑON"/>
    <x v="0"/>
    <m/>
    <m/>
    <m/>
    <n v="115.37680164722032"/>
    <s v="2015HM2"/>
    <s v="JUAN JOSE"/>
    <s v="BOLAÑOS"/>
    <s v="GARITA"/>
    <n v="109990611"/>
    <x v="5"/>
    <s v="MASCULINO"/>
    <d v="1978-04-25T00:00:00"/>
    <n v="36.74469541409993"/>
    <s v="B+"/>
    <m/>
    <m/>
    <m/>
    <s v="COSTA RICA"/>
    <s v="Heredia"/>
    <s v="CENTRAL"/>
    <s v="SAN FRANCISCO"/>
    <m/>
    <m/>
    <m/>
    <m/>
    <m/>
    <m/>
    <m/>
    <m/>
    <m/>
    <m/>
    <m/>
    <m/>
    <s v="SI"/>
    <d v="2019-10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723"/>
    <n v="56.607802874743328"/>
    <n v="4.7173169062286107"/>
  </r>
  <r>
    <x v="0"/>
    <m/>
    <m/>
    <s v="RIÑON"/>
    <x v="1"/>
    <m/>
    <m/>
    <m/>
    <n v="115.39327385037748"/>
    <s v="Hija"/>
    <s v="JOSE ENRIQUE SANTIAGO"/>
    <s v="QUIROS"/>
    <s v="QUIROS"/>
    <n v="501680761"/>
    <x v="6"/>
    <s v="MASCULINO"/>
    <d v="1957-07-25T00:00:00"/>
    <n v="57.511293634496923"/>
    <s v="O+"/>
    <m/>
    <m/>
    <m/>
    <s v="COSTA RICA"/>
    <s v="GUANACASTE"/>
    <m/>
    <m/>
    <m/>
    <m/>
    <m/>
    <m/>
    <m/>
    <m/>
    <m/>
    <m/>
    <m/>
    <m/>
    <m/>
    <m/>
    <s v="SI"/>
    <d v="2019-04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546"/>
    <n v="50.792607802874741"/>
    <n v="4.2327173169062284"/>
  </r>
  <r>
    <x v="0"/>
    <m/>
    <m/>
    <s v="RIÑON"/>
    <x v="1"/>
    <m/>
    <m/>
    <m/>
    <n v="115.42621825669183"/>
    <s v="Hijo"/>
    <s v="ANA MARIA"/>
    <s v="LIZANO"/>
    <s v="ESPINOZA"/>
    <n v="204650891"/>
    <x v="7"/>
    <s v="FEMENINA"/>
    <d v="1971-03-21T00:00:00"/>
    <n v="43.890485968514717"/>
    <s v="AB+"/>
    <m/>
    <m/>
    <m/>
    <s v="COSTA RICA"/>
    <s v="ALAJUELA"/>
    <s v="CENTRAL"/>
    <s v="SAN JOS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817"/>
    <n v="125.40451745379877"/>
    <n v="10.45037645448323"/>
  </r>
  <r>
    <x v="0"/>
    <m/>
    <m/>
    <s v="RIÑON"/>
    <x v="0"/>
    <m/>
    <m/>
    <m/>
    <n v="115.45092656142759"/>
    <s v="2015HM3"/>
    <s v="JOHANNA VANESSA"/>
    <s v="RIOS"/>
    <s v="PEREZ"/>
    <n v="112430954"/>
    <x v="8"/>
    <s v="FEMENINA"/>
    <d v="1985-06-14T00:00:00"/>
    <n v="29.681040383299109"/>
    <s v="O+"/>
    <m/>
    <m/>
    <m/>
    <s v="COSTA RICA"/>
    <s v="Jaco, Puntarena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808"/>
    <n v="125.10882956878851"/>
    <n v="10.425735797399042"/>
  </r>
  <r>
    <x v="0"/>
    <m/>
    <m/>
    <s v="RIÑON"/>
    <x v="1"/>
    <m/>
    <m/>
    <m/>
    <n v="115.45092656142759"/>
    <s v="hermano"/>
    <s v="INGRID MARIA"/>
    <s v="ALLON"/>
    <s v="ZUÑIGA"/>
    <n v="106980483"/>
    <x v="8"/>
    <s v="FEMENINA"/>
    <d v="1967-04-25T00:00:00"/>
    <n v="47.819301848049278"/>
    <s v="A+"/>
    <m/>
    <m/>
    <m/>
    <s v="COSTA RICA"/>
    <s v="SAN JOSE"/>
    <s v="CENTRAL"/>
    <s v="SAN FRANCISCO DE DOS RIO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808"/>
    <n v="125.10882956878851"/>
    <n v="10.425735797399042"/>
  </r>
  <r>
    <x v="0"/>
    <m/>
    <m/>
    <s v="RIÑON"/>
    <x v="1"/>
    <m/>
    <m/>
    <m/>
    <n v="115.47014413177763"/>
    <s v="Hijo"/>
    <s v="BELLAMIRA"/>
    <s v="FALLAS"/>
    <s v="MOLINA"/>
    <n v="601890548"/>
    <x v="9"/>
    <s v="FEMENINA"/>
    <d v="1963-12-03T00:00:00"/>
    <n v="51.230663928815879"/>
    <s v="A+"/>
    <m/>
    <m/>
    <m/>
    <s v="COSTA RICA"/>
    <s v="Herradura Puntarenas"/>
    <m/>
    <m/>
    <m/>
    <m/>
    <m/>
    <m/>
    <m/>
    <m/>
    <m/>
    <m/>
    <m/>
    <m/>
    <m/>
    <m/>
    <s v="SI"/>
    <d v="2016-07-2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519"/>
    <n v="17.051334702258728"/>
    <n v="1.4209445585215605"/>
  </r>
  <r>
    <x v="0"/>
    <m/>
    <m/>
    <s v="RIÑON"/>
    <x v="1"/>
    <m/>
    <m/>
    <m/>
    <n v="115.49485243651338"/>
    <s v="hermano"/>
    <s v="SANDRA MAYELA DE JESUS"/>
    <s v="CAMBRONERO"/>
    <s v="SOLANO"/>
    <n v="401160749"/>
    <x v="10"/>
    <s v="FEMENINA"/>
    <d v="1958-03-07T00:00:00"/>
    <n v="56.996577686516083"/>
    <s v="B-"/>
    <m/>
    <m/>
    <m/>
    <s v="COSTA RICA"/>
    <s v="Heredia"/>
    <s v="BARVA"/>
    <s v="SAN ROQUE"/>
    <m/>
    <m/>
    <m/>
    <m/>
    <m/>
    <m/>
    <m/>
    <m/>
    <m/>
    <m/>
    <m/>
    <m/>
    <s v="SI"/>
    <d v="2021-09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377"/>
    <n v="78.094455852156059"/>
    <n v="6.5078713210130044"/>
  </r>
  <r>
    <x v="0"/>
    <m/>
    <m/>
    <s v="RIÑON"/>
    <x v="1"/>
    <m/>
    <m/>
    <m/>
    <n v="115.52779684282773"/>
    <s v="Hija"/>
    <s v="MIGUEL JERONIMO"/>
    <s v="SEGURA"/>
    <s v="RODRIGUEZ"/>
    <n v="204340360"/>
    <x v="11"/>
    <s v="MASCULINO"/>
    <d v="1967-12-19T00:00:00"/>
    <n v="47.244353182751539"/>
    <s v="O+"/>
    <m/>
    <m/>
    <m/>
    <s v="COSTA RICA"/>
    <s v="ALAJUELA"/>
    <s v="SAN CARLOS"/>
    <s v="QUESAD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780"/>
    <n v="124.18891170431212"/>
    <n v="10.349075975359343"/>
  </r>
  <r>
    <x v="0"/>
    <m/>
    <m/>
    <s v="RIÑON"/>
    <x v="1"/>
    <m/>
    <m/>
    <m/>
    <n v="115.54701441317776"/>
    <s v="Hijo"/>
    <s v="VIRGINIA FRANCISCA"/>
    <s v="VINDAS"/>
    <s v="SANCHEZ"/>
    <n v="401020886"/>
    <x v="12"/>
    <s v="FEMENINA"/>
    <d v="1952-06-04T00:00:00"/>
    <n v="62.803559206023273"/>
    <s v="O+"/>
    <m/>
    <m/>
    <m/>
    <s v="COSTA RICA"/>
    <s v="Hered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773"/>
    <n v="123.95893223819301"/>
    <n v="10.329911019849419"/>
  </r>
  <r>
    <x v="0"/>
    <m/>
    <m/>
    <s v="RIÑON"/>
    <x v="1"/>
    <m/>
    <m/>
    <m/>
    <n v="115.56897735072066"/>
    <s v="Primo"/>
    <s v="JOSUE ADIEL"/>
    <s v="CORDERO"/>
    <s v="JIMENEZ"/>
    <n v="112310563"/>
    <x v="13"/>
    <s v="MASCULINO"/>
    <d v="1985-02-01T00:00:00"/>
    <n v="30.16290212183436"/>
    <s v="O+"/>
    <m/>
    <m/>
    <m/>
    <s v="COSTA RICA"/>
    <s v="ALAJUELA"/>
    <s v="CENTRAL"/>
    <s v="SAN ANTONI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765"/>
    <n v="123.69609856262834"/>
    <n v="10.308008213552361"/>
  </r>
  <r>
    <x v="0"/>
    <m/>
    <m/>
    <s v="RIÑON"/>
    <x v="1"/>
    <m/>
    <m/>
    <m/>
    <n v="115.59368565545641"/>
    <s v="Hija"/>
    <s v="ELADIO REMIGIO"/>
    <s v="ARAYA"/>
    <s v="LARA"/>
    <n v="203690750"/>
    <x v="14"/>
    <s v="MASCULINO"/>
    <d v="1962-05-10T00:00:00"/>
    <n v="52.919917864476389"/>
    <s v="B+"/>
    <m/>
    <m/>
    <m/>
    <s v="COSTA RICA"/>
    <s v="ALAJUELA"/>
    <s v="CENTRAL"/>
    <s v="SAN ANTONIO"/>
    <m/>
    <m/>
    <m/>
    <m/>
    <m/>
    <m/>
    <m/>
    <m/>
    <m/>
    <m/>
    <m/>
    <m/>
    <s v="SI"/>
    <d v="2023-10-0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3099"/>
    <n v="101.81519507186859"/>
    <n v="8.4845995893223822"/>
  </r>
  <r>
    <x v="0"/>
    <m/>
    <m/>
    <s v="RIÑON"/>
    <x v="1"/>
    <m/>
    <m/>
    <m/>
    <n v="115.60466712422786"/>
    <s v="Prima"/>
    <s v="JAVIER"/>
    <s v="RAMIREZ"/>
    <s v="MURILLO"/>
    <n v="401230940"/>
    <x v="15"/>
    <s v="MASCULINO"/>
    <d v="1960-06-18T00:00:00"/>
    <n v="54.822724161533195"/>
    <s v="O-"/>
    <m/>
    <m/>
    <m/>
    <s v="COSTA RICA"/>
    <s v="Heredia"/>
    <s v="CENTRAL"/>
    <s v="HERED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752"/>
    <n v="123.26899383983573"/>
    <n v="10.272416153319645"/>
  </r>
  <r>
    <x v="0"/>
    <m/>
    <m/>
    <s v="RIÑON"/>
    <x v="1"/>
    <m/>
    <m/>
    <m/>
    <n v="115.6238846945779"/>
    <s v="Esposa"/>
    <s v="JOSE FELIPE"/>
    <s v="ACUÑA"/>
    <s v="GARAY"/>
    <n v="16522666"/>
    <x v="16"/>
    <s v="MASCULINO"/>
    <d v="1965-05-26T00:00:00"/>
    <n v="49.905544147843941"/>
    <s v="O+"/>
    <m/>
    <m/>
    <m/>
    <s v=""/>
    <s v="GUANACASTE"/>
    <s v="CAÑAS"/>
    <s v="BEBEDER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745"/>
    <n v="123.03901437371663"/>
    <n v="10.253251197809719"/>
  </r>
  <r>
    <x v="0"/>
    <m/>
    <m/>
    <s v="RIÑON"/>
    <x v="1"/>
    <m/>
    <m/>
    <m/>
    <n v="115.64310226492793"/>
    <s v="Hija"/>
    <s v="LIGIA MARIA"/>
    <s v="MAIETTA"/>
    <s v="LEITON"/>
    <n v="401100880"/>
    <x v="17"/>
    <s v="FEMENINA"/>
    <d v="1955-09-27T00:00:00"/>
    <n v="59.586584531143053"/>
    <s v="A+"/>
    <m/>
    <m/>
    <m/>
    <s v="COSTA RICA"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738"/>
    <n v="122.80903490759754"/>
    <n v="10.234086242299794"/>
  </r>
  <r>
    <x v="0"/>
    <m/>
    <m/>
    <s v="RIÑON"/>
    <x v="1"/>
    <m/>
    <m/>
    <m/>
    <n v="115.66781056966369"/>
    <s v="Hermana"/>
    <s v="RANDY GERARDO"/>
    <s v="MEDINA"/>
    <s v="GARCIA"/>
    <n v="503250461"/>
    <x v="18"/>
    <s v="MASCULINO"/>
    <d v="1981-12-03T00:00:00"/>
    <n v="33.426420260095824"/>
    <s v="B+"/>
    <m/>
    <m/>
    <m/>
    <s v="COSTA RICA"/>
    <s v="SAN JOSE"/>
    <s v="DESAMPARADOS"/>
    <s v="SAN ANTONIO"/>
    <m/>
    <m/>
    <m/>
    <m/>
    <m/>
    <m/>
    <m/>
    <m/>
    <m/>
    <m/>
    <m/>
    <m/>
    <s v="SI"/>
    <d v="2021-08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290"/>
    <n v="75.236139630390142"/>
    <n v="6.2696783025325118"/>
  </r>
  <r>
    <x v="0"/>
    <m/>
    <m/>
    <s v="RIÑON"/>
    <x v="1"/>
    <m/>
    <m/>
    <m/>
    <n v="115.68153740562801"/>
    <s v="hermano"/>
    <m/>
    <m/>
    <m/>
    <n v="50388056"/>
    <x v="19"/>
    <s v="FEMENINA"/>
    <m/>
    <n v="115.36481861738535"/>
    <s v="O+"/>
    <m/>
    <m/>
    <m/>
    <m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724"/>
    <n v="122.34907597535934"/>
    <n v="10.195756331279945"/>
  </r>
  <r>
    <x v="0"/>
    <m/>
    <m/>
    <s v="RIÑON"/>
    <x v="1"/>
    <m/>
    <m/>
    <m/>
    <n v="115.71997254632807"/>
    <s v="Sobrino Politico"/>
    <s v="CARLOS FRANCISCO"/>
    <s v="AGUILAR"/>
    <s v="SALAZAR"/>
    <n v="301890638"/>
    <x v="20"/>
    <s v="MASCULINO"/>
    <d v="1951-03-25T00:00:00"/>
    <n v="64.172484599589325"/>
    <s v="A-"/>
    <m/>
    <m/>
    <m/>
    <s v="COSTA RICA"/>
    <s v="Cartago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710"/>
    <n v="121.88911704312115"/>
    <n v="10.157426420260096"/>
  </r>
  <r>
    <x v="0"/>
    <m/>
    <m/>
    <s v="RIÑON"/>
    <x v="1"/>
    <m/>
    <m/>
    <m/>
    <n v="115.74468085106383"/>
    <m/>
    <s v="RAMON"/>
    <s v="MORALES"/>
    <s v="OCONITRILLO"/>
    <n v="503600681"/>
    <x v="21"/>
    <s v="MASCULINO"/>
    <d v="1987-11-01T00:00:00"/>
    <n v="27.592060232717316"/>
    <s v="A+"/>
    <m/>
    <m/>
    <m/>
    <s v="COSTA RICA"/>
    <s v="GUANACASTE"/>
    <s v="BAGACES"/>
    <s v="BAGACE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701"/>
    <n v="121.59342915811088"/>
    <n v="10.132785763175907"/>
  </r>
  <r>
    <x v="0"/>
    <m/>
    <m/>
    <s v="RIÑON"/>
    <x v="0"/>
    <m/>
    <m/>
    <m/>
    <n v="115.761153054221"/>
    <s v="2015LIB2"/>
    <s v="DENNIS MAURICIO"/>
    <s v="OBANDO"/>
    <s v="TREMINIO"/>
    <n v="304190038"/>
    <x v="22"/>
    <s v="MASCULINO"/>
    <d v="1987-04-12T00:00:00"/>
    <n v="28.164271047227928"/>
    <s v="O+"/>
    <m/>
    <m/>
    <m/>
    <s v="COSTA RICA"/>
    <s v="GUANACASTE"/>
    <m/>
    <m/>
    <m/>
    <m/>
    <m/>
    <m/>
    <m/>
    <m/>
    <m/>
    <m/>
    <m/>
    <m/>
    <m/>
    <m/>
    <s v="SI"/>
    <d v="2021-06-2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208"/>
    <n v="72.542094455852151"/>
    <n v="6.0451745379876796"/>
  </r>
  <r>
    <x v="0"/>
    <m/>
    <m/>
    <s v="RIÑON"/>
    <x v="0"/>
    <m/>
    <m/>
    <m/>
    <n v="115.761153054221"/>
    <s v="2015LIB2"/>
    <s v="MARVIN ISIDORO"/>
    <s v="MORA"/>
    <s v="SOLANO"/>
    <n v="900930755"/>
    <x v="22"/>
    <s v="MASCULINO"/>
    <d v="1977-02-01T00:00:00"/>
    <n v="38.35455167693361"/>
    <s v="O+"/>
    <m/>
    <m/>
    <m/>
    <s v="COSTA RICA"/>
    <s v="GUANACASTE"/>
    <s v="BAGACES"/>
    <s v="BAGACE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695"/>
    <n v="121.39630390143738"/>
    <n v="10.116358658453114"/>
  </r>
  <r>
    <x v="0"/>
    <m/>
    <m/>
    <s v="RIÑON"/>
    <x v="1"/>
    <m/>
    <m/>
    <m/>
    <n v="115.77762525737818"/>
    <s v="Hija"/>
    <s v="JOSE DIONISIO"/>
    <s v="CARAVACA"/>
    <s v="GUTIERREZ"/>
    <n v="501640541"/>
    <x v="23"/>
    <s v="MASCULINO"/>
    <d v="1956-10-09T00:00:00"/>
    <n v="58.685831622176593"/>
    <s v="A+"/>
    <m/>
    <m/>
    <m/>
    <s v="COSTA RICA"/>
    <s v="GUANACASTE"/>
    <m/>
    <m/>
    <m/>
    <m/>
    <m/>
    <m/>
    <m/>
    <m/>
    <m/>
    <m/>
    <m/>
    <m/>
    <m/>
    <m/>
    <s v="SI"/>
    <d v="2017-02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612"/>
    <n v="20.106776180698152"/>
    <n v="1.675564681724846"/>
  </r>
  <r>
    <x v="0"/>
    <m/>
    <m/>
    <s v="RIÑON"/>
    <x v="1"/>
    <m/>
    <m/>
    <m/>
    <n v="115.79684282772821"/>
    <s v="Sobrino"/>
    <s v="JAVIER ADEMAR"/>
    <s v="PEREIRA"/>
    <s v="RIVERA"/>
    <n v="203850115"/>
    <x v="24"/>
    <s v="MASCULINO"/>
    <d v="1963-08-24T00:00:00"/>
    <n v="51.832991101984945"/>
    <s v="O+"/>
    <m/>
    <m/>
    <m/>
    <s v="COSTA RICA"/>
    <s v="ALAJUELA"/>
    <s v="CENTRAL"/>
    <s v="SAN ANTONI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682"/>
    <n v="120.96919917864476"/>
    <n v="10.080766598220396"/>
  </r>
  <r>
    <x v="0"/>
    <m/>
    <m/>
    <s v="RIÑON"/>
    <x v="1"/>
    <m/>
    <m/>
    <m/>
    <n v="115.81606039807825"/>
    <s v="hermano"/>
    <s v="FREDDY"/>
    <s v="CARRILLO"/>
    <s v="RAMIREZ"/>
    <n v="206670201"/>
    <x v="25"/>
    <s v="MASCULINO"/>
    <d v="1989-11-17T00:00:00"/>
    <n v="25.618069815195071"/>
    <s v="A+"/>
    <m/>
    <m/>
    <m/>
    <s v="COSTA RICA"/>
    <s v="ALAJUELA"/>
    <s v="GRECIA"/>
    <s v="GREC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675"/>
    <n v="120.73921971252567"/>
    <n v="10.061601642710473"/>
  </r>
  <r>
    <x v="0"/>
    <m/>
    <m/>
    <s v="RIÑON"/>
    <x v="1"/>
    <m/>
    <m/>
    <m/>
    <n v="115.840768702814"/>
    <s v="Padre"/>
    <s v="GEINER ANDRES"/>
    <s v="AVILES"/>
    <s v="VARELA"/>
    <n v="702330172"/>
    <x v="26"/>
    <s v="MASCULINO"/>
    <d v="1995-01-29T00:00:00"/>
    <n v="20.4435318275154"/>
    <s v="B+"/>
    <m/>
    <m/>
    <m/>
    <s v="COSTA RICA"/>
    <s v="Hered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666"/>
    <n v="120.4435318275154"/>
    <n v="10.036960985626283"/>
  </r>
  <r>
    <x v="0"/>
    <m/>
    <m/>
    <s v="RIÑON"/>
    <x v="1"/>
    <m/>
    <m/>
    <m/>
    <n v="115.87371310912835"/>
    <m/>
    <s v="HANNIA LIGIA"/>
    <s v="MATA"/>
    <s v="GUERRERO"/>
    <n v="700620664"/>
    <x v="27"/>
    <s v="FEMENINA"/>
    <d v="1957-06-18T00:00:00"/>
    <n v="58.091718001368925"/>
    <s v="A+"/>
    <m/>
    <m/>
    <m/>
    <s v="COSTA RICA"/>
    <s v="Hered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654"/>
    <n v="120.04928131416838"/>
    <n v="10.004106776180699"/>
  </r>
  <r>
    <x v="0"/>
    <m/>
    <m/>
    <s v="RIÑON"/>
    <x v="0"/>
    <m/>
    <m/>
    <m/>
    <n v="115.8764584763212"/>
    <m/>
    <s v="ADRIANA MARIA"/>
    <s v="GONZALEZ"/>
    <s v="RAMIREZ"/>
    <n v="401920063"/>
    <x v="28"/>
    <s v="FEMENINA"/>
    <d v="1986-08-19T00:00:00"/>
    <n v="28.925393566050651"/>
    <s v="O+"/>
    <m/>
    <m/>
    <m/>
    <s v="COSTA RICA"/>
    <s v="Hered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653"/>
    <n v="120.01642710472279"/>
    <n v="10.001368925393566"/>
  </r>
  <r>
    <x v="0"/>
    <m/>
    <m/>
    <s v="RIÑON"/>
    <x v="1"/>
    <m/>
    <m/>
    <m/>
    <n v="115.89293067947838"/>
    <s v="sobrina"/>
    <s v="LEONARDO"/>
    <s v="RUIZ"/>
    <s v="QUIROS"/>
    <n v="502030535"/>
    <x v="29"/>
    <s v="MASCULINO"/>
    <d v="1962-11-06T00:00:00"/>
    <n v="52.725530458590008"/>
    <s v="O+"/>
    <m/>
    <m/>
    <m/>
    <s v="COSTA RICA"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647"/>
    <n v="119.81930184804928"/>
    <n v="9.9849418206707732"/>
  </r>
  <r>
    <x v="0"/>
    <m/>
    <m/>
    <s v="RIÑON"/>
    <x v="1"/>
    <m/>
    <m/>
    <m/>
    <n v="115.89293067947838"/>
    <s v="sobrina"/>
    <s v="LEONARDO"/>
    <s v="RUIZ"/>
    <s v="QUIROS"/>
    <n v="502030535"/>
    <x v="29"/>
    <s v="MASCULINO"/>
    <d v="1962-11-06T00:00:00"/>
    <n v="52.725530458590008"/>
    <s v="O+"/>
    <m/>
    <m/>
    <m/>
    <s v="COSTA RICA"/>
    <s v="GUANACASTE"/>
    <s v="BAGACES"/>
    <s v="BAGACE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647"/>
    <n v="119.81930184804928"/>
    <n v="9.9849418206707732"/>
  </r>
  <r>
    <x v="0"/>
    <m/>
    <m/>
    <s v="RIÑON"/>
    <x v="1"/>
    <m/>
    <m/>
    <m/>
    <n v="115.90940288263555"/>
    <s v="Hermana"/>
    <s v="ALEXANDER"/>
    <s v="RODRIGUEZ"/>
    <s v="MIRANDA"/>
    <n v="401600943"/>
    <x v="30"/>
    <s v="MASCULINO"/>
    <d v="1975-03-17T00:00:00"/>
    <n v="40.383299110198493"/>
    <s v="A+"/>
    <m/>
    <m/>
    <m/>
    <s v="COSTA RICA"/>
    <s v="Hered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641"/>
    <n v="119.62217659137578"/>
    <n v="9.9685147159479808"/>
  </r>
  <r>
    <x v="0"/>
    <m/>
    <m/>
    <s v="RIÑON"/>
    <x v="1"/>
    <m/>
    <m/>
    <m/>
    <n v="115.95058339052848"/>
    <s v="mama"/>
    <s v="ROBERTO CARLOS"/>
    <s v="AREVALO"/>
    <s v="NOINDICAOTRO"/>
    <n v="1930102438"/>
    <x v="31"/>
    <s v="MASCULINO"/>
    <d v="1993-02-28T00:00:00"/>
    <n v="22.469541409993155"/>
    <s v="O+"/>
    <m/>
    <m/>
    <m/>
    <s v="NICARAGUA"/>
    <s v="ALAJUELA"/>
    <s v="CENTRAL"/>
    <s v="SAN RAFAEL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626"/>
    <n v="119.12936344969199"/>
    <n v="9.9274469541409989"/>
  </r>
  <r>
    <x v="0"/>
    <m/>
    <m/>
    <s v="RIÑON"/>
    <x v="1"/>
    <m/>
    <m/>
    <m/>
    <n v="116.01372683596431"/>
    <s v="hermano"/>
    <s v="DAVID"/>
    <s v="RIVERA"/>
    <s v="SALAZAR"/>
    <n v="115510966"/>
    <x v="32"/>
    <s v="MASCULINO"/>
    <d v="1986-11-08T00:00:00"/>
    <n v="28.840520191649556"/>
    <s v="O+"/>
    <m/>
    <m/>
    <m/>
    <s v="COSTA RICA"/>
    <s v="SAN JOSE"/>
    <s v="CENTRAL"/>
    <s v="MATA REDOND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603"/>
    <n v="118.37371663244353"/>
    <n v="9.8644763860369604"/>
  </r>
  <r>
    <x v="0"/>
    <m/>
    <m/>
    <s v="RIÑON"/>
    <x v="0"/>
    <m/>
    <m/>
    <m/>
    <n v="116.01647220315718"/>
    <s v="2015HM10"/>
    <s v="LUIS DIEGO"/>
    <s v="GUTIERREZ"/>
    <s v="SOTO"/>
    <n v="205920661"/>
    <x v="33"/>
    <s v="MASCULINO"/>
    <d v="1984-03-08T00:00:00"/>
    <n v="31.512662559890487"/>
    <s v="B+"/>
    <m/>
    <m/>
    <m/>
    <s v="COSTA RICA"/>
    <s v="ALAJUELA"/>
    <m/>
    <m/>
    <m/>
    <m/>
    <m/>
    <m/>
    <m/>
    <m/>
    <m/>
    <m/>
    <m/>
    <m/>
    <m/>
    <m/>
    <s v="SI"/>
    <d v="2017-05-0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599"/>
    <n v="19.679671457905545"/>
    <n v="1.6399726214921286"/>
  </r>
  <r>
    <x v="0"/>
    <m/>
    <m/>
    <s v="RIÑON"/>
    <x v="0"/>
    <m/>
    <m/>
    <m/>
    <n v="116.02470830473575"/>
    <s v="2015HM7"/>
    <s v="JUAN MARIA"/>
    <s v="RODRIGUEZ"/>
    <s v="NAVARRO"/>
    <n v="900490039"/>
    <x v="34"/>
    <s v="MASCULINO"/>
    <d v="1953-01-27T00:00:00"/>
    <n v="62.631074606433948"/>
    <s v="O+"/>
    <m/>
    <m/>
    <m/>
    <s v="COSTA RICA"/>
    <s v="Heredia"/>
    <s v="CENTRAL"/>
    <s v="HERED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599"/>
    <n v="118.24229979466119"/>
    <n v="9.8535249828884321"/>
  </r>
  <r>
    <x v="0"/>
    <m/>
    <m/>
    <s v="RIÑON"/>
    <x v="0"/>
    <m/>
    <m/>
    <m/>
    <n v="116.04392587508579"/>
    <s v="2015HMP1"/>
    <m/>
    <m/>
    <m/>
    <n v="15270893"/>
    <x v="35"/>
    <s v="MASCULINO"/>
    <m/>
    <n v="115.7262149212868"/>
    <s v="AB+"/>
    <m/>
    <m/>
    <m/>
    <m/>
    <s v="Hatillo SJ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592"/>
    <n v="118.01232032854209"/>
    <n v="9.8343600273785086"/>
  </r>
  <r>
    <x v="0"/>
    <m/>
    <m/>
    <s v="RIÑON"/>
    <x v="1"/>
    <m/>
    <m/>
    <m/>
    <n v="116.04667124227865"/>
    <s v="hermano"/>
    <s v="CARLOS ANTONIO"/>
    <s v="CORTEZ"/>
    <s v="VALDEZ"/>
    <n v="800550477"/>
    <x v="36"/>
    <s v="MASCULINO"/>
    <d v="1964-12-27T00:00:00"/>
    <n v="50.737850787132103"/>
    <s v="O+"/>
    <m/>
    <m/>
    <m/>
    <s v="COSTA RICA"/>
    <s v="SAN JOSE"/>
    <s v="CENTRAL"/>
    <s v="CARME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591"/>
    <n v="117.97946611909651"/>
    <n v="9.8316221765913756"/>
  </r>
  <r>
    <x v="0"/>
    <m/>
    <m/>
    <s v="RIÑON"/>
    <x v="1"/>
    <m/>
    <m/>
    <m/>
    <n v="116.06588881262869"/>
    <s v="Hermana"/>
    <s v="ISABEL"/>
    <s v="CALDERON"/>
    <s v="CENTENO"/>
    <n v="16864134"/>
    <x v="37"/>
    <s v="MASCULINO"/>
    <d v="1968-07-08T00:00:00"/>
    <n v="47.227926078028744"/>
    <s v="O+"/>
    <m/>
    <m/>
    <m/>
    <s v=""/>
    <s v="GUANACASTE"/>
    <s v="LIBERIA"/>
    <s v="LIBERIA"/>
    <m/>
    <m/>
    <m/>
    <m/>
    <m/>
    <m/>
    <m/>
    <m/>
    <m/>
    <m/>
    <m/>
    <m/>
    <s v="SI"/>
    <d v="2021-10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213"/>
    <n v="72.706365503080079"/>
    <n v="6.0588637919233399"/>
  </r>
  <r>
    <x v="0"/>
    <m/>
    <m/>
    <s v="RIÑON"/>
    <x v="1"/>
    <m/>
    <m/>
    <m/>
    <n v="116.08236101578586"/>
    <s v="hermano"/>
    <s v="JUAN LUIS"/>
    <s v="VILLEGAS"/>
    <s v="MENDOZA"/>
    <n v="502630980"/>
    <x v="38"/>
    <s v="MASCULINO"/>
    <d v="1970-06-13T00:00:00"/>
    <n v="45.314168377823407"/>
    <s v="A+"/>
    <m/>
    <m/>
    <m/>
    <s v="COSTA RICA"/>
    <s v="GUANACASTE"/>
    <s v="LIBERIA"/>
    <s v="MAYORGA"/>
    <m/>
    <m/>
    <m/>
    <m/>
    <m/>
    <m/>
    <m/>
    <m/>
    <m/>
    <m/>
    <m/>
    <m/>
    <s v="SI"/>
    <d v="2022-08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504"/>
    <n v="82.266940451745384"/>
    <n v="6.8555783709787814"/>
  </r>
  <r>
    <x v="0"/>
    <m/>
    <m/>
    <s v="RIÑON"/>
    <x v="0"/>
    <m/>
    <m/>
    <m/>
    <n v="116.09059711736445"/>
    <s v="2015HM6"/>
    <s v="SARA MARIA"/>
    <s v="CORDOBA"/>
    <s v="ARTAVIA"/>
    <n v="113930616"/>
    <x v="39"/>
    <s v="FEMENINA"/>
    <d v="1989-06-15T00:00:00"/>
    <n v="26.316221765913756"/>
    <s v="A-"/>
    <m/>
    <m/>
    <m/>
    <s v="COSTA RICA"/>
    <s v="Hered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575"/>
    <n v="117.45379876796714"/>
    <n v="9.7878165639972625"/>
  </r>
  <r>
    <x v="0"/>
    <m/>
    <m/>
    <s v="RIÑON"/>
    <x v="1"/>
    <m/>
    <m/>
    <m/>
    <n v="116.10432395332876"/>
    <s v="Hermana"/>
    <s v="DANNY GERARDO"/>
    <s v="GOMEZ"/>
    <s v="SALAZAR"/>
    <n v="206170943"/>
    <x v="40"/>
    <s v="MASCULINO"/>
    <d v="1986-03-09T00:00:00"/>
    <n v="29.598904859685145"/>
    <s v="B+"/>
    <m/>
    <m/>
    <m/>
    <s v="COSTA RICA"/>
    <s v="ALAJUELA"/>
    <s v="SAN CARLOS"/>
    <s v="VENECIA"/>
    <m/>
    <m/>
    <m/>
    <m/>
    <m/>
    <m/>
    <m/>
    <m/>
    <m/>
    <m/>
    <m/>
    <m/>
    <s v="SI"/>
    <d v="2021-03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994"/>
    <n v="65.511293634496923"/>
    <n v="5.4592744695414099"/>
  </r>
  <r>
    <x v="0"/>
    <m/>
    <m/>
    <s v="RIÑON"/>
    <x v="0"/>
    <m/>
    <m/>
    <m/>
    <n v="116.10706932052162"/>
    <s v="2015HM8"/>
    <s v="EDSON"/>
    <s v="ZAMORA"/>
    <s v="DIAZ"/>
    <n v="205230474"/>
    <x v="41"/>
    <s v="MASCULINO"/>
    <d v="1977-10-01T00:00:00"/>
    <n v="38.036960985626287"/>
    <s v="A+"/>
    <m/>
    <m/>
    <m/>
    <s v="COSTA RICA"/>
    <s v="ALAJUELA"/>
    <s v="CENTRAL"/>
    <s v="ALAJUEL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569"/>
    <n v="117.25667351129364"/>
    <n v="9.7713894592744701"/>
  </r>
  <r>
    <x v="0"/>
    <m/>
    <m/>
    <s v="RIÑON"/>
    <x v="0"/>
    <m/>
    <m/>
    <m/>
    <n v="116.10706932052162"/>
    <s v="2015HM8"/>
    <s v="DANNY ALONSO"/>
    <s v="QUIROS"/>
    <s v="ALVAREZ"/>
    <n v="503860682"/>
    <x v="41"/>
    <s v="MASCULINO"/>
    <d v="1992-03-23T00:00:00"/>
    <n v="23.561943874058862"/>
    <s v="A+"/>
    <m/>
    <m/>
    <m/>
    <s v="COSTA RICA"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569"/>
    <n v="117.25667351129364"/>
    <n v="9.7713894592744701"/>
  </r>
  <r>
    <x v="0"/>
    <m/>
    <m/>
    <s v="RIÑON"/>
    <x v="1"/>
    <m/>
    <m/>
    <m/>
    <n v="116.12079615648592"/>
    <s v="Esposa"/>
    <s v="RAFAEL"/>
    <s v="VALVERDE"/>
    <s v="ROJAS"/>
    <n v="110220150"/>
    <x v="42"/>
    <s v="MASCULINO"/>
    <d v="1978-11-16T00:00:00"/>
    <n v="36.925393566050651"/>
    <s v="A+"/>
    <m/>
    <m/>
    <m/>
    <s v="COSTA RICA"/>
    <s v="ALAJUELA"/>
    <s v="OROTINA"/>
    <s v="OROTIN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564"/>
    <n v="117.09240246406571"/>
    <n v="9.7577002053388089"/>
  </r>
  <r>
    <x v="0"/>
    <m/>
    <m/>
    <s v="RIÑON"/>
    <x v="0"/>
    <m/>
    <m/>
    <m/>
    <n v="116.13452299245024"/>
    <s v="2015LIB1"/>
    <s v="DAVID GERARDO"/>
    <s v="NAVARRO"/>
    <s v="ALVARADO"/>
    <n v="502090433"/>
    <x v="43"/>
    <s v="MASCULINO"/>
    <d v="1963-04-10T00:00:00"/>
    <n v="52.542094455852158"/>
    <s v="O+"/>
    <m/>
    <m/>
    <m/>
    <s v="COSTA RICA"/>
    <s v="GUANACASTE"/>
    <s v="BAGACES"/>
    <s v="BAGACES"/>
    <m/>
    <m/>
    <m/>
    <m/>
    <m/>
    <m/>
    <m/>
    <m/>
    <m/>
    <m/>
    <m/>
    <m/>
    <s v="SI"/>
    <d v="2020-12-2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892"/>
    <n v="62.160164271047229"/>
    <n v="5.1800136892539355"/>
  </r>
  <r>
    <x v="0"/>
    <m/>
    <m/>
    <s v="RIÑON"/>
    <x v="0"/>
    <m/>
    <m/>
    <m/>
    <n v="116.13452299245024"/>
    <s v="2015LIB1"/>
    <s v="CARMEN MARIA"/>
    <s v="FONSECA"/>
    <s v="VILLARREAL"/>
    <n v="502500546"/>
    <x v="43"/>
    <s v="FEMENINA"/>
    <d v="1968-12-03T00:00:00"/>
    <n v="46.891170431211499"/>
    <s v="O+"/>
    <m/>
    <m/>
    <m/>
    <s v="COSTA RICA"/>
    <s v="GUANACASTE"/>
    <m/>
    <m/>
    <m/>
    <m/>
    <m/>
    <m/>
    <m/>
    <m/>
    <m/>
    <m/>
    <m/>
    <m/>
    <m/>
    <m/>
    <s v="SI"/>
    <d v="2020-09-0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778"/>
    <n v="58.414784394250511"/>
    <n v="4.8678986995208762"/>
  </r>
  <r>
    <x v="0"/>
    <m/>
    <m/>
    <s v="RIÑON"/>
    <x v="1"/>
    <m/>
    <m/>
    <m/>
    <n v="116.14275909402883"/>
    <s v="Hija"/>
    <s v="ANA PATRICIA"/>
    <s v="PRENDAS"/>
    <s v="ALVAREZ"/>
    <n v="501710638"/>
    <x v="44"/>
    <s v="FEMENINA"/>
    <d v="1958-04-03T00:00:00"/>
    <n v="57.568788501026695"/>
    <s v="O+"/>
    <m/>
    <m/>
    <m/>
    <s v="COSTA RICA"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556"/>
    <n v="116.82956878850102"/>
    <n v="9.7357973990417523"/>
  </r>
  <r>
    <x v="0"/>
    <m/>
    <m/>
    <s v="RIÑON"/>
    <x v="1"/>
    <m/>
    <m/>
    <m/>
    <n v="116.15648592999314"/>
    <s v="hermano"/>
    <s v="CARLOS ALFREDO"/>
    <s v="LOPEZ"/>
    <s v="MEDINA"/>
    <n v="15218835"/>
    <x v="45"/>
    <s v="MASCULINO"/>
    <d v="1952-07-07T00:00:00"/>
    <n v="63.32101300479124"/>
    <s v="O+"/>
    <m/>
    <m/>
    <m/>
    <s v="NO ESPECIFICADO"/>
    <s v="GUANACASTE"/>
    <s v="LIBERIA"/>
    <s v="LIBERIA"/>
    <m/>
    <m/>
    <m/>
    <m/>
    <m/>
    <m/>
    <m/>
    <m/>
    <m/>
    <m/>
    <m/>
    <m/>
    <s v="SI"/>
    <d v="2017-03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499"/>
    <n v="16.394250513347021"/>
    <n v="1.3661875427789185"/>
  </r>
  <r>
    <x v="0"/>
    <m/>
    <m/>
    <s v="RIÑON"/>
    <x v="1"/>
    <m/>
    <m/>
    <m/>
    <n v="116.159231297186"/>
    <s v="Hermana"/>
    <s v="LUIS MARCIANO"/>
    <s v="CUBILLO"/>
    <s v="VILLARREAL"/>
    <n v="501810549"/>
    <x v="46"/>
    <s v="MASCULINO"/>
    <d v="1959-07-26T00:00:00"/>
    <n v="56.27378507871321"/>
    <s v="A+"/>
    <m/>
    <m/>
    <m/>
    <s v="COSTA RICA"/>
    <s v="GUANACASTE"/>
    <s v="SANTA CRUZ"/>
    <s v="SANTA CRUZ"/>
    <m/>
    <m/>
    <m/>
    <m/>
    <m/>
    <m/>
    <m/>
    <m/>
    <m/>
    <m/>
    <m/>
    <m/>
    <s v="SI"/>
    <d v="2023-06-2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795"/>
    <n v="91.827515400410675"/>
    <n v="7.6522929500342229"/>
  </r>
  <r>
    <x v="0"/>
    <m/>
    <m/>
    <s v="RIÑON"/>
    <x v="0"/>
    <m/>
    <m/>
    <m/>
    <n v="116.17570350034318"/>
    <s v="2015HM6"/>
    <s v="ZENEYDA MELANIA DEL ROSARIO"/>
    <s v="AVELLAN"/>
    <s v="RAMIREZ"/>
    <n v="2910091403"/>
    <x v="47"/>
    <s v="FEMENINA"/>
    <d v="1991-01-03T00:00:00"/>
    <n v="24.84873374401095"/>
    <s v="O+"/>
    <m/>
    <m/>
    <m/>
    <s v="NICARAGUA"/>
    <s v="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544"/>
    <n v="116.435318275154"/>
    <n v="9.7029431895961675"/>
  </r>
  <r>
    <x v="0"/>
    <m/>
    <m/>
    <s v="RIÑON"/>
    <x v="1"/>
    <m/>
    <m/>
    <m/>
    <n v="116.18119423472889"/>
    <s v="Hijo"/>
    <s v="ROGER OLEGARIO"/>
    <s v="HURTADO"/>
    <s v="ALVAREZ"/>
    <n v="501580418"/>
    <x v="48"/>
    <s v="MASCULINO"/>
    <d v="1955-10-02T00:00:00"/>
    <n v="60.109514031485283"/>
    <s v="O-"/>
    <m/>
    <m/>
    <m/>
    <s v="COSTA RICA"/>
    <s v="GUANACASTE"/>
    <s v="CAÑAS"/>
    <s v="CAÑAS"/>
    <m/>
    <m/>
    <m/>
    <m/>
    <m/>
    <m/>
    <m/>
    <m/>
    <m/>
    <m/>
    <m/>
    <m/>
    <s v="SI"/>
    <d v="2022-03-0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306"/>
    <n v="75.761806981519513"/>
    <n v="6.3134839151266258"/>
  </r>
  <r>
    <x v="0"/>
    <m/>
    <m/>
    <s v="RIÑON"/>
    <x v="1"/>
    <m/>
    <m/>
    <m/>
    <n v="116.20041180507893"/>
    <s v="Hermana"/>
    <s v="ELISA MARIA"/>
    <s v="SANCHEZ"/>
    <s v="SANCHEZ"/>
    <n v="401890726"/>
    <x v="49"/>
    <s v="FEMENINA"/>
    <d v="1985-11-30T00:00:00"/>
    <n v="29.965776865160848"/>
    <s v="A-"/>
    <m/>
    <m/>
    <m/>
    <s v="COSTA RICA"/>
    <s v="Heredia"/>
    <s v="CENTRAL"/>
    <s v="MERCEDE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535"/>
    <n v="116.13963039014374"/>
    <n v="9.678302532511978"/>
  </r>
  <r>
    <x v="0"/>
    <m/>
    <m/>
    <s v="RIÑON"/>
    <x v="1"/>
    <m/>
    <m/>
    <m/>
    <n v="116.21962937542897"/>
    <s v="Hermana"/>
    <s v="JOSE ANDRES"/>
    <s v="ROSENDAHL"/>
    <s v="ALVAREZ"/>
    <n v="109050088"/>
    <x v="50"/>
    <s v="MASCULINO"/>
    <d v="1975-01-21T00:00:00"/>
    <n v="40.843258042436688"/>
    <s v="A+"/>
    <m/>
    <m/>
    <m/>
    <s v="COSTA RICA"/>
    <s v="ALAJUELA"/>
    <s v="SAN MATEO"/>
    <s v="SAN MATE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528"/>
    <n v="115.90965092402465"/>
    <n v="9.6591375770020527"/>
  </r>
  <r>
    <x v="0"/>
    <m/>
    <m/>
    <s v="RIÑON"/>
    <x v="1"/>
    <m/>
    <m/>
    <m/>
    <n v="116.25531914893617"/>
    <s v="hermano"/>
    <s v="MINOR"/>
    <s v="GONZALEZ"/>
    <s v="SOTO"/>
    <n v="204360765"/>
    <x v="51"/>
    <s v="MASCULINO"/>
    <d v="1968-02-26T00:00:00"/>
    <n v="47.780971937029435"/>
    <s v="A+"/>
    <m/>
    <m/>
    <m/>
    <s v="COSTA RICA"/>
    <s v="ALAJUELA"/>
    <m/>
    <m/>
    <m/>
    <m/>
    <m/>
    <m/>
    <m/>
    <m/>
    <m/>
    <m/>
    <m/>
    <m/>
    <m/>
    <m/>
    <s v="SI"/>
    <d v="2017-06-1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550"/>
    <n v="18.069815195071868"/>
    <n v="1.5058179329226558"/>
  </r>
  <r>
    <x v="0"/>
    <m/>
    <m/>
    <s v="RIÑON"/>
    <x v="1"/>
    <m/>
    <m/>
    <m/>
    <n v="116.27728208647906"/>
    <s v="Hija"/>
    <s v="MINOR RAFAEL"/>
    <s v="CASTRILLO"/>
    <s v="GARCIA"/>
    <n v="601940092"/>
    <x v="52"/>
    <s v="MASCULINO"/>
    <d v="1965-10-28T00:00:00"/>
    <n v="50.13278576317591"/>
    <s v="O+"/>
    <m/>
    <m/>
    <m/>
    <s v="COSTA RICA"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507"/>
    <n v="115.21971252566735"/>
    <n v="9.6016427104722801"/>
  </r>
  <r>
    <x v="0"/>
    <m/>
    <m/>
    <s v="RIÑON"/>
    <x v="1"/>
    <m/>
    <m/>
    <m/>
    <n v="116.33218943033631"/>
    <m/>
    <s v="ADRIANA"/>
    <s v="MEDRANO"/>
    <s v="PEÑA"/>
    <n v="503610156"/>
    <x v="53"/>
    <s v="FEMENINA"/>
    <d v="1987-11-03T00:00:00"/>
    <n v="28.172484599589321"/>
    <s v="A+"/>
    <m/>
    <m/>
    <m/>
    <s v="COSTA RICA"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487"/>
    <n v="114.56262833675565"/>
    <n v="9.546885694729637"/>
  </r>
  <r>
    <x v="0"/>
    <m/>
    <m/>
    <s v="RIÑON"/>
    <x v="1"/>
    <m/>
    <m/>
    <m/>
    <n v="116.35415236787921"/>
    <s v="Padre"/>
    <s v="ANTHONY JOSUE"/>
    <s v="VENEGAS"/>
    <s v="QUESADA"/>
    <n v="207290134"/>
    <x v="54"/>
    <s v="MASCULINO"/>
    <d v="1994-08-22T00:00:00"/>
    <n v="21.393566050650239"/>
    <s v="O+"/>
    <m/>
    <m/>
    <m/>
    <s v="COSTA RICA"/>
    <s v="ALAJUELA"/>
    <m/>
    <m/>
    <m/>
    <m/>
    <m/>
    <m/>
    <m/>
    <m/>
    <m/>
    <m/>
    <m/>
    <m/>
    <m/>
    <m/>
    <s v="SI"/>
    <d v="2016-03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65"/>
    <n v="2.1355236139630391"/>
    <n v="0.17796030116358658"/>
  </r>
  <r>
    <x v="0"/>
    <m/>
    <m/>
    <s v="RIÑON"/>
    <x v="1"/>
    <m/>
    <m/>
    <m/>
    <n v="116.39258750857927"/>
    <s v="Media hermana"/>
    <s v="CRISTIAN"/>
    <s v="CAMACHO"/>
    <s v="ARTEAGA"/>
    <n v="603110105"/>
    <x v="55"/>
    <s v="MASCULINO"/>
    <d v="1980-12-16T00:00:00"/>
    <n v="35.112936344969199"/>
    <s v="B+"/>
    <m/>
    <m/>
    <m/>
    <s v="COSTA RICA"/>
    <s v="GUANACASTE"/>
    <s v="LIBERIA"/>
    <s v="LIBER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465"/>
    <n v="113.83983572895278"/>
    <n v="9.4866529774127315"/>
  </r>
  <r>
    <x v="0"/>
    <m/>
    <m/>
    <s v="RIÑON"/>
    <x v="1"/>
    <m/>
    <m/>
    <m/>
    <n v="116.4337680164722"/>
    <s v="Tia politica"/>
    <s v="RANDALL GEOVANNY"/>
    <s v="MADRIGAL"/>
    <s v="ALVAREZ"/>
    <n v="602840547"/>
    <x v="56"/>
    <s v="MASCULINO"/>
    <d v="1977-08-21T00:00:00"/>
    <n v="38.475017111567418"/>
    <s v="O+"/>
    <m/>
    <m/>
    <m/>
    <s v="COSTA RICA"/>
    <s v="PUNTARENAS"/>
    <s v="CENTRAL"/>
    <s v="BARRANC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450"/>
    <n v="113.347022587269"/>
    <n v="9.4455852156057496"/>
  </r>
  <r>
    <x v="0"/>
    <m/>
    <m/>
    <s v="RIÑON"/>
    <x v="1"/>
    <m/>
    <m/>
    <m/>
    <n v="116.45024021962938"/>
    <s v="Hija"/>
    <s v="NEFTALI DEL CARMEN"/>
    <s v="SANDI"/>
    <s v="SANDOVAL"/>
    <n v="106180600"/>
    <x v="57"/>
    <s v="MASCULINO"/>
    <d v="1964-01-15T00:00:00"/>
    <n v="52.090349075975361"/>
    <s v="A+"/>
    <m/>
    <m/>
    <m/>
    <s v="COSTA RICA"/>
    <s v="ALAJUELA"/>
    <s v="CENTRAL"/>
    <s v="SAN RAFAEL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444"/>
    <n v="113.14989733059548"/>
    <n v="9.4291581108829572"/>
  </r>
  <r>
    <x v="0"/>
    <m/>
    <m/>
    <s v="RIÑON"/>
    <x v="1"/>
    <m/>
    <m/>
    <m/>
    <n v="116.46945778997942"/>
    <s v="Hija"/>
    <s v="LESBIA VERONICA"/>
    <s v="CHAVES"/>
    <s v="CHAVES"/>
    <n v="26522526"/>
    <x v="58"/>
    <s v="FEMENINA"/>
    <d v="1965-03-29T00:00:00"/>
    <n v="50.907597535934293"/>
    <s v="A+"/>
    <m/>
    <m/>
    <m/>
    <s v=""/>
    <s v="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437"/>
    <n v="112.91991786447639"/>
    <n v="9.4099931553730318"/>
  </r>
  <r>
    <x v="0"/>
    <m/>
    <m/>
    <s v="RIÑON"/>
    <x v="0"/>
    <m/>
    <m/>
    <m/>
    <n v="116.49965682910089"/>
    <m/>
    <s v="LUIS GERARDO"/>
    <s v="VENEGAS"/>
    <s v="ALFARO"/>
    <n v="501950170"/>
    <x v="59"/>
    <s v="MASCULINO"/>
    <d v="1961-07-25T00:00:00"/>
    <n v="54.614647501711154"/>
    <s v="A+"/>
    <m/>
    <m/>
    <m/>
    <s v="COSTA RICA"/>
    <s v="GUANACASTE"/>
    <s v="NANDAYURE"/>
    <s v="CARMONA"/>
    <m/>
    <m/>
    <m/>
    <m/>
    <m/>
    <m/>
    <m/>
    <m/>
    <m/>
    <m/>
    <m/>
    <m/>
    <s v="SI"/>
    <d v="2017-04-1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403"/>
    <n v="13.240246406570842"/>
    <n v="1.1033538672142369"/>
  </r>
  <r>
    <x v="0"/>
    <m/>
    <m/>
    <s v="RIÑON"/>
    <x v="0"/>
    <m/>
    <m/>
    <m/>
    <n v="116.51338366506521"/>
    <s v="2016HM9"/>
    <s v="ANA MARIA"/>
    <s v="LIZANO"/>
    <s v="ESPINOZA"/>
    <n v="204650891"/>
    <x v="60"/>
    <s v="FEMENINA"/>
    <d v="1971-03-21T00:00:00"/>
    <n v="44.974674880219027"/>
    <s v="AB+"/>
    <m/>
    <m/>
    <m/>
    <s v="COSTA RICA"/>
    <s v="ALAJUELA"/>
    <s v="CENTRAL"/>
    <s v="SAN JOS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421"/>
    <n v="112.39425051334702"/>
    <n v="9.3661875427789187"/>
  </r>
  <r>
    <x v="0"/>
    <m/>
    <m/>
    <s v="RIÑON"/>
    <x v="1"/>
    <m/>
    <m/>
    <m/>
    <n v="116.51887439945092"/>
    <s v="Prima"/>
    <s v="ROYNER GERARDO"/>
    <s v="TIJERINO"/>
    <s v="SALAZAR"/>
    <n v="503920107"/>
    <x v="61"/>
    <s v="MASCULINO"/>
    <d v="1993-03-12T00:00:00"/>
    <n v="23.003422313483917"/>
    <s v="O+"/>
    <m/>
    <m/>
    <m/>
    <s v="COSTA RICA"/>
    <s v="GUANACASTE"/>
    <s v="LIBERIA"/>
    <s v="LIBER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419"/>
    <n v="112.32854209445586"/>
    <n v="9.3607118412046546"/>
  </r>
  <r>
    <x v="0"/>
    <m/>
    <m/>
    <s v="RIÑON"/>
    <x v="1"/>
    <m/>
    <m/>
    <m/>
    <n v="116.52711050102951"/>
    <s v="Hermana"/>
    <s v="JOSE ANTONIO"/>
    <s v="BONILLA"/>
    <s v="RUIZ"/>
    <n v="18551071"/>
    <x v="62"/>
    <s v="MASCULINO"/>
    <d v="1985-01-06T00:00:00"/>
    <n v="31.189596167008897"/>
    <s v="O+"/>
    <m/>
    <m/>
    <m/>
    <s v="NICARAGUA"/>
    <s v="Hered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416"/>
    <n v="112.22997946611909"/>
    <n v="9.3524982888432575"/>
  </r>
  <r>
    <x v="0"/>
    <m/>
    <m/>
    <s v="RIÑON"/>
    <x v="1"/>
    <m/>
    <m/>
    <m/>
    <n v="116.53809196980096"/>
    <s v="Prima"/>
    <s v="MARIA ESTHER"/>
    <s v="ALPIZAR"/>
    <s v="RODRIGUEZ"/>
    <n v="109450197"/>
    <x v="63"/>
    <s v="FEMENINA"/>
    <d v="1976-07-24T00:00:00"/>
    <n v="39.655030800821358"/>
    <s v="B+"/>
    <m/>
    <m/>
    <m/>
    <s v="COSTA RICA"/>
    <s v="ALAJUELA"/>
    <s v="SAN CARLOS"/>
    <s v="AGUAS ZARCA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412"/>
    <n v="112.09856262833675"/>
    <n v="9.3415468856947292"/>
  </r>
  <r>
    <x v="0"/>
    <m/>
    <m/>
    <s v="RIÑON"/>
    <x v="1"/>
    <m/>
    <m/>
    <m/>
    <n v="116.56554564172959"/>
    <m/>
    <s v="JOSE FRANCISCO"/>
    <s v="BONILLA"/>
    <s v="ESPINOZA"/>
    <n v="1610100799"/>
    <x v="64"/>
    <s v="MASCULINO"/>
    <d v="1961-09-01T00:00:00"/>
    <n v="54.57631759069131"/>
    <s v="O+"/>
    <m/>
    <m/>
    <m/>
    <s v="NICARAGUA"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402"/>
    <n v="111.77002053388091"/>
    <n v="9.3141683778234086"/>
  </r>
  <r>
    <x v="0"/>
    <m/>
    <m/>
    <s v="RIÑON"/>
    <x v="0"/>
    <m/>
    <m/>
    <m/>
    <n v="116.57378174330817"/>
    <s v="2016HM1"/>
    <s v="SANDRA MARIA"/>
    <s v="CISNEROS"/>
    <s v="CISNEROS"/>
    <n v="113000465"/>
    <x v="65"/>
    <s v="FEMENINA"/>
    <d v="1986-12-07T00:00:00"/>
    <n v="29.319644079397673"/>
    <s v="O+"/>
    <m/>
    <m/>
    <m/>
    <s v="COSTA RICA"/>
    <s v="Heredia"/>
    <s v="CENTRAL"/>
    <s v="HERED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399"/>
    <n v="111.67145790554414"/>
    <n v="9.3059548254620115"/>
  </r>
  <r>
    <x v="0"/>
    <m/>
    <m/>
    <s v="RIÑON"/>
    <x v="1"/>
    <m/>
    <m/>
    <m/>
    <n v="116.58201784488675"/>
    <s v="Primo"/>
    <s v="CARLOS ALEJANDRO"/>
    <s v="MARTINEZ"/>
    <s v="SALAZAR"/>
    <n v="113760435"/>
    <x v="66"/>
    <s v="MASCULINO"/>
    <d v="1988-12-30T00:00:00"/>
    <n v="27.263518138261464"/>
    <s v="O+"/>
    <m/>
    <m/>
    <m/>
    <s v="COSTA RICA"/>
    <s v="Cartago"/>
    <s v="LA UNION"/>
    <s v="SAN DIEG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396"/>
    <n v="111.57289527720739"/>
    <n v="9.2977412731006162"/>
  </r>
  <r>
    <x v="0"/>
    <m/>
    <m/>
    <s v="RIÑON"/>
    <x v="0"/>
    <m/>
    <m/>
    <m/>
    <n v="116.65065202470831"/>
    <s v="2016HM2"/>
    <s v="NICOLAS HUMBERTO"/>
    <s v="CRUZ"/>
    <s v="AVILES"/>
    <n v="17711962"/>
    <x v="67"/>
    <s v="MASCULINO"/>
    <d v="1977-02-14T00:00:00"/>
    <n v="39.206023271731688"/>
    <s v="O+"/>
    <m/>
    <m/>
    <m/>
    <s v="NICARAGUA"/>
    <s v="LIMON"/>
    <s v="SIQUIRRES"/>
    <s v="PACUARIT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371"/>
    <n v="110.75154004106776"/>
    <n v="9.2292950034223136"/>
  </r>
  <r>
    <x v="0"/>
    <m/>
    <m/>
    <s v="RIÑON"/>
    <x v="0"/>
    <m/>
    <m/>
    <m/>
    <n v="116.65065202470831"/>
    <s v="2016HM2"/>
    <s v="GERARDO ENRIQUE"/>
    <s v="BOLIVAR"/>
    <s v="RIOS"/>
    <n v="701140251"/>
    <x v="67"/>
    <s v="MASCULINO"/>
    <d v="1975-03-10T00:00:00"/>
    <n v="41.141683778234089"/>
    <s v="O+"/>
    <m/>
    <m/>
    <m/>
    <s v="COSTA RICA"/>
    <s v="LIMON"/>
    <s v="CENTRAL"/>
    <s v="LIMON"/>
    <m/>
    <m/>
    <m/>
    <m/>
    <m/>
    <m/>
    <m/>
    <m/>
    <m/>
    <m/>
    <m/>
    <m/>
    <s v="SI"/>
    <d v="2024-01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824"/>
    <n v="92.780287474332653"/>
    <n v="7.7316906228610538"/>
  </r>
  <r>
    <x v="0"/>
    <m/>
    <m/>
    <s v="RIÑON"/>
    <x v="1"/>
    <m/>
    <m/>
    <m/>
    <n v="116.67810569663692"/>
    <s v="Padre"/>
    <s v="ESTEBAN"/>
    <s v="ARAYA"/>
    <s v="CALVO"/>
    <n v="207010426"/>
    <x v="68"/>
    <s v="MASCULINO"/>
    <d v="1992-07-06T00:00:00"/>
    <n v="23.843942505133469"/>
    <s v="A+"/>
    <m/>
    <m/>
    <m/>
    <s v="COSTA RICA"/>
    <s v="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361"/>
    <n v="110.42299794661191"/>
    <n v="9.2019164955509929"/>
  </r>
  <r>
    <x v="0"/>
    <m/>
    <m/>
    <s v="RIÑON"/>
    <x v="0"/>
    <m/>
    <m/>
    <m/>
    <n v="116.68085106382979"/>
    <s v="2016HM9"/>
    <s v="JUAN JOSE"/>
    <s v="BOLAÑOS"/>
    <s v="GARITA"/>
    <n v="109990611"/>
    <x v="69"/>
    <s v="MASCULINO"/>
    <d v="1978-04-25T00:00:00"/>
    <n v="38.045174537987677"/>
    <s v="B+"/>
    <m/>
    <m/>
    <m/>
    <s v="COSTA RICA"/>
    <s v="Heredia"/>
    <s v="CENTRAL"/>
    <s v="SAN FRANCISCO"/>
    <m/>
    <m/>
    <m/>
    <m/>
    <m/>
    <m/>
    <m/>
    <m/>
    <m/>
    <m/>
    <m/>
    <m/>
    <s v="SI"/>
    <d v="2019-10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248"/>
    <n v="41.002053388090346"/>
    <n v="3.4168377823408624"/>
  </r>
  <r>
    <x v="0"/>
    <m/>
    <m/>
    <s v="RIÑON"/>
    <x v="1"/>
    <m/>
    <m/>
    <m/>
    <n v="116.70006863417983"/>
    <s v="Hija"/>
    <s v="YORLENI"/>
    <s v="QUIROS"/>
    <s v="ARIAS"/>
    <n v="602480089"/>
    <x v="70"/>
    <s v="FEMENINA"/>
    <d v="1972-08-28T00:00:00"/>
    <n v="43.720739219712527"/>
    <s v="O+"/>
    <m/>
    <m/>
    <m/>
    <s v="COSTA RICA"/>
    <s v="PUNTARENA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353"/>
    <n v="110.16016427104722"/>
    <n v="9.1800136892539363"/>
  </r>
  <r>
    <x v="0"/>
    <m/>
    <m/>
    <s v="RIÑON"/>
    <x v="0"/>
    <m/>
    <m/>
    <m/>
    <n v="116.71379547014413"/>
    <s v="2016HM3"/>
    <s v="ANDREA JEANNETTE"/>
    <s v="AVELLAN"/>
    <s v="CABRERA"/>
    <n v="205870097"/>
    <x v="71"/>
    <s v="FEMENINA"/>
    <d v="1983-09-07T00:00:00"/>
    <n v="32.709103353867214"/>
    <s v="O+"/>
    <m/>
    <m/>
    <m/>
    <s v="COSTA RICA"/>
    <s v="ALAJUELA"/>
    <s v="CENTRAL"/>
    <s v="ALAJUELA"/>
    <m/>
    <m/>
    <m/>
    <m/>
    <m/>
    <m/>
    <m/>
    <m/>
    <m/>
    <m/>
    <m/>
    <m/>
    <s v="SI"/>
    <d v="2022-03-2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136"/>
    <n v="70.176591375770016"/>
    <n v="5.848049281314168"/>
  </r>
  <r>
    <x v="0"/>
    <m/>
    <m/>
    <s v="RIÑON"/>
    <x v="0"/>
    <m/>
    <m/>
    <m/>
    <n v="116.71379547014413"/>
    <s v="2016HM3"/>
    <s v="YESENIA"/>
    <s v="ARIAS"/>
    <s v="BERMUDEZ"/>
    <n v="603500737"/>
    <x v="71"/>
    <s v="FEMENINA"/>
    <d v="1985-11-02T00:00:00"/>
    <n v="30.55441478439425"/>
    <s v="A+"/>
    <m/>
    <m/>
    <m/>
    <s v="COSTA RICA"/>
    <s v="Heredia"/>
    <s v="SAN ISIDRO"/>
    <s v="SAN ISIDR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348"/>
    <n v="109.99589322381931"/>
    <n v="9.1663244353182751"/>
  </r>
  <r>
    <x v="0"/>
    <m/>
    <m/>
    <s v="RIÑON"/>
    <x v="1"/>
    <m/>
    <m/>
    <m/>
    <n v="116.71928620452985"/>
    <s v="sobrina"/>
    <s v="MIGUEL ANGEL"/>
    <s v="OBANDO"/>
    <s v="TORUÑO"/>
    <n v="501960613"/>
    <x v="72"/>
    <s v="MASCULINO"/>
    <d v="1961-10-01T00:00:00"/>
    <n v="54.647501711156742"/>
    <s v="O+"/>
    <m/>
    <m/>
    <m/>
    <s v="COSTA RICA"/>
    <s v="GUANACASTE"/>
    <m/>
    <m/>
    <m/>
    <m/>
    <m/>
    <m/>
    <m/>
    <m/>
    <m/>
    <m/>
    <m/>
    <m/>
    <m/>
    <m/>
    <s v="SI"/>
    <d v="2016-10-1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44"/>
    <n v="4.731006160164271"/>
    <n v="0.3942505133470226"/>
  </r>
  <r>
    <x v="0"/>
    <m/>
    <m/>
    <s v="RIÑON"/>
    <x v="0"/>
    <m/>
    <m/>
    <m/>
    <n v="116.73575840768703"/>
    <s v="2016HM4"/>
    <s v="KAROLINA DE LOS ANGELES"/>
    <s v="CERDAS"/>
    <s v="TRIGUEROS"/>
    <n v="114630180"/>
    <x v="73"/>
    <s v="FEMENINA"/>
    <d v="1991-04-23T00:00:00"/>
    <n v="25.10609171800137"/>
    <s v="O+"/>
    <m/>
    <m/>
    <m/>
    <s v="COSTA RICA"/>
    <s v="SAN JOSE"/>
    <s v="TIBAS"/>
    <s v="SAN JUA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340"/>
    <n v="109.73305954825462"/>
    <n v="9.1444216290212186"/>
  </r>
  <r>
    <x v="0"/>
    <m/>
    <m/>
    <s v="RIÑON"/>
    <x v="0"/>
    <m/>
    <m/>
    <m/>
    <n v="116.73575840768703"/>
    <s v="2016HM4"/>
    <s v="WILLIAN ANTONIO"/>
    <s v="SILVA"/>
    <s v="MARTINEZ"/>
    <n v="17886021"/>
    <x v="73"/>
    <s v="MASCULINO"/>
    <d v="1978-06-01T00:00:00"/>
    <n v="37.998631074606436"/>
    <s v="O+"/>
    <m/>
    <m/>
    <m/>
    <s v="NICARAGUA"/>
    <s v="GUANACASTE"/>
    <s v="CARRILLO"/>
    <s v="SARDINAL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340"/>
    <n v="109.73305954825462"/>
    <n v="9.1444216290212186"/>
  </r>
  <r>
    <x v="0"/>
    <m/>
    <m/>
    <s v="RIÑON"/>
    <x v="1"/>
    <m/>
    <m/>
    <m/>
    <n v="116.73850377487989"/>
    <s v="Hija"/>
    <s v="ANA IRIS"/>
    <s v="ZAMORA"/>
    <s v="GARCIA"/>
    <n v="204700223"/>
    <x v="74"/>
    <s v="FEMENINA"/>
    <d v="1971-08-15T00:00:00"/>
    <n v="44.79671457905544"/>
    <s v="B+"/>
    <m/>
    <m/>
    <m/>
    <s v="COSTA RICA"/>
    <s v="ALAJUELA"/>
    <s v="CENTRAL"/>
    <s v="ALAJUEL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339"/>
    <n v="109.70020533880904"/>
    <n v="9.1416837782340856"/>
  </r>
  <r>
    <x v="0"/>
    <m/>
    <m/>
    <s v="RIÑON"/>
    <x v="1"/>
    <m/>
    <m/>
    <m/>
    <n v="116.77693891557996"/>
    <s v="Hermana"/>
    <s v="LUIS ENRIQUE"/>
    <s v="HERNANDEZ"/>
    <s v="CERDAS"/>
    <n v="502660042"/>
    <x v="75"/>
    <s v="MASCULINO"/>
    <d v="1970-09-26T00:00:00"/>
    <n v="45.719370294318956"/>
    <s v="O+"/>
    <m/>
    <m/>
    <m/>
    <s v="COSTA RICA"/>
    <s v="GUANACASTE"/>
    <m/>
    <m/>
    <m/>
    <m/>
    <m/>
    <m/>
    <m/>
    <m/>
    <m/>
    <m/>
    <m/>
    <m/>
    <m/>
    <m/>
    <s v="SI"/>
    <d v="2022-09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277"/>
    <n v="74.809034907597535"/>
    <n v="6.2340862422997949"/>
  </r>
  <r>
    <x v="0"/>
    <m/>
    <m/>
    <s v="RIÑON"/>
    <x v="0"/>
    <m/>
    <m/>
    <m/>
    <n v="116.77968428277282"/>
    <s v="2016HM5"/>
    <s v="ORLANDO ADOLFO"/>
    <s v="HERRERA"/>
    <s v="SERRA"/>
    <n v="108090345"/>
    <x v="76"/>
    <s v="MASCULINO"/>
    <d v="1971-09-15T00:00:00"/>
    <n v="44.752908966461327"/>
    <s v="B+"/>
    <m/>
    <m/>
    <m/>
    <s v="COSTA RICA"/>
    <s v="Tibas, SJ"/>
    <m/>
    <m/>
    <m/>
    <m/>
    <m/>
    <m/>
    <m/>
    <m/>
    <m/>
    <m/>
    <m/>
    <m/>
    <m/>
    <m/>
    <s v="SI"/>
    <d v="2021-05-2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808"/>
    <n v="59.400410677618069"/>
    <n v="4.9500342231348391"/>
  </r>
  <r>
    <x v="0"/>
    <m/>
    <m/>
    <s v="RIÑON"/>
    <x v="1"/>
    <m/>
    <m/>
    <m/>
    <n v="116.84282772820865"/>
    <s v="Hermano"/>
    <m/>
    <m/>
    <m/>
    <n v="11660027"/>
    <x v="77"/>
    <s v="MASCULINO"/>
    <m/>
    <n v="116.52292950034223"/>
    <s v="O+"/>
    <m/>
    <m/>
    <m/>
    <m/>
    <s v="Escaz,SJ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301"/>
    <n v="108.4517453798768"/>
    <n v="9.037645448323067"/>
  </r>
  <r>
    <x v="0"/>
    <m/>
    <m/>
    <s v="RIÑON"/>
    <x v="1"/>
    <m/>
    <m/>
    <m/>
    <n v="116.85106382978724"/>
    <m/>
    <s v="RANDALL ELIAS"/>
    <s v="MADRIZ"/>
    <s v="GRANADOS"/>
    <n v="110470481"/>
    <x v="78"/>
    <s v="MASCULINO"/>
    <d v="1979-08-24T00:00:00"/>
    <n v="36.884325804243666"/>
    <s v="A+"/>
    <m/>
    <m/>
    <m/>
    <s v="COSTA RICA"/>
    <s v="Cartago"/>
    <s v="OREAMUNO"/>
    <s v="SAN RAFAEL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298"/>
    <n v="108.35318275154005"/>
    <n v="9.02943189596167"/>
  </r>
  <r>
    <x v="0"/>
    <m/>
    <m/>
    <s v="RIÑON"/>
    <x v="1"/>
    <m/>
    <m/>
    <m/>
    <n v="116.85380919698009"/>
    <s v="Hermana"/>
    <s v="OSCAR"/>
    <s v="CARVAJAL"/>
    <s v="BENAVIDES"/>
    <n v="601270789"/>
    <x v="79"/>
    <s v="MASCULINO"/>
    <d v="1956-10-21T00:00:00"/>
    <n v="59.72621492128679"/>
    <s v="A+"/>
    <m/>
    <m/>
    <m/>
    <s v="COSTA RICA"/>
    <s v="Grec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297"/>
    <n v="108.32032854209446"/>
    <n v="9.0266940451745388"/>
  </r>
  <r>
    <x v="0"/>
    <m/>
    <m/>
    <s v="RIÑON"/>
    <x v="0"/>
    <m/>
    <m/>
    <m/>
    <n v="116.86204529855868"/>
    <s v="2016HM7"/>
    <s v="ASDRUBAL FELIPE"/>
    <s v="CAMBRONERO"/>
    <s v="DURAN"/>
    <n v="109130296"/>
    <x v="80"/>
    <s v="MASCULINO"/>
    <d v="1975-06-19T00:00:00"/>
    <n v="41.075975359342912"/>
    <s v="B+"/>
    <m/>
    <m/>
    <m/>
    <s v="COSTA RICA"/>
    <s v="PUNTARENAS"/>
    <s v="GOLFITO"/>
    <s v="GOLFIT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294"/>
    <n v="108.22176591375771"/>
    <n v="9.0184804928131417"/>
  </r>
  <r>
    <x v="0"/>
    <m/>
    <m/>
    <s v="RIÑON"/>
    <x v="0"/>
    <m/>
    <m/>
    <m/>
    <n v="116.86204529855868"/>
    <s v="2016HM7"/>
    <s v="JOSE PABLO"/>
    <s v="HERNANDEZ"/>
    <s v="LEITON"/>
    <n v="304120490"/>
    <x v="80"/>
    <s v="MASCULINO"/>
    <d v="1986-07-01T00:00:00"/>
    <n v="30.042436687200549"/>
    <s v="B+"/>
    <m/>
    <m/>
    <m/>
    <s v="COSTA RICA"/>
    <s v="GUANACASTE"/>
    <s v="LIBERIA"/>
    <s v="LIBER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294"/>
    <n v="108.22176591375771"/>
    <n v="9.0184804928131417"/>
  </r>
  <r>
    <x v="0"/>
    <m/>
    <m/>
    <s v="RIÑON"/>
    <x v="0"/>
    <m/>
    <m/>
    <m/>
    <n v="116.86204529855868"/>
    <s v="2016HM6"/>
    <s v="ODIR"/>
    <s v="RUIZ"/>
    <s v="DIAZ"/>
    <n v="503320059"/>
    <x v="80"/>
    <s v="MASCULINO"/>
    <d v="1983-01-27T00:00:00"/>
    <n v="33.46748802190281"/>
    <s v="AB+"/>
    <m/>
    <m/>
    <m/>
    <s v="COSTA RICA"/>
    <s v="Sabanilla,SJ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294"/>
    <n v="108.22176591375771"/>
    <n v="9.0184804928131417"/>
  </r>
  <r>
    <x v="0"/>
    <m/>
    <m/>
    <s v="RIÑON"/>
    <x v="0"/>
    <m/>
    <m/>
    <m/>
    <n v="116.86204529855868"/>
    <s v="2016HM6"/>
    <s v="LUIS GENARO"/>
    <s v="QUINTERO"/>
    <s v="GARCIA"/>
    <n v="1840105462"/>
    <x v="80"/>
    <s v="MASCULINO"/>
    <d v="1984-09-19T00:00:00"/>
    <n v="31.822039698836413"/>
    <s v="A+"/>
    <m/>
    <m/>
    <m/>
    <s v="NICARAGUA"/>
    <s v="GUANACASTE"/>
    <s v="LA CRUZ"/>
    <s v="LA CRUZ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294"/>
    <n v="108.22176591375771"/>
    <n v="9.0184804928131417"/>
  </r>
  <r>
    <x v="0"/>
    <m/>
    <m/>
    <s v="RIÑON"/>
    <x v="1"/>
    <m/>
    <m/>
    <m/>
    <n v="116.89224433768017"/>
    <s v="Hermana"/>
    <s v="CARLOS ROBERTO"/>
    <s v="WILLE"/>
    <s v="GONZALEZ"/>
    <n v="104740485"/>
    <x v="81"/>
    <s v="MASCULINO"/>
    <d v="1957-04-12T00:00:00"/>
    <n v="59.290896646132786"/>
    <s v="A+"/>
    <m/>
    <m/>
    <m/>
    <s v="COSTA RICA"/>
    <s v="SAN JOSE"/>
    <s v="GOICOECHEA"/>
    <s v="GUADALUP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283"/>
    <n v="107.86036960985626"/>
    <n v="8.988364134154688"/>
  </r>
  <r>
    <x v="0"/>
    <m/>
    <m/>
    <s v="RIÑON"/>
    <x v="1"/>
    <m/>
    <m/>
    <m/>
    <n v="116.91969800960878"/>
    <s v="Padre"/>
    <s v="LUIS DIEGO"/>
    <s v="ROJAS"/>
    <s v="GOMEZ"/>
    <n v="114340297"/>
    <x v="82"/>
    <s v="MASCULINO"/>
    <d v="1990-04-19T00:00:00"/>
    <n v="26.299794661190965"/>
    <s v="A+"/>
    <m/>
    <m/>
    <m/>
    <s v="COSTA RICA"/>
    <s v="SAN JOSE"/>
    <s v="TIBAS"/>
    <s v="SAN JUA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273"/>
    <n v="107.53182751540041"/>
    <n v="8.9609856262833674"/>
  </r>
  <r>
    <x v="0"/>
    <m/>
    <m/>
    <s v="RIÑON"/>
    <x v="1"/>
    <m/>
    <m/>
    <m/>
    <n v="116.94989704873026"/>
    <s v="Hermano"/>
    <s v="MARCOS ESTEBAN"/>
    <s v="ARRIETA"/>
    <s v="ESQUIVEL"/>
    <n v="206170508"/>
    <x v="83"/>
    <s v="MASCULINO"/>
    <d v="1986-02-10T00:00:00"/>
    <n v="30.5160848733744"/>
    <s v="O+"/>
    <m/>
    <m/>
    <m/>
    <s v="COSTA RICA"/>
    <s v="ALAJUELA"/>
    <s v="SARCHI"/>
    <s v="SARCHI NORT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262"/>
    <n v="107.17043121149898"/>
    <n v="8.9308692676249137"/>
  </r>
  <r>
    <x v="0"/>
    <m/>
    <m/>
    <s v="RIÑON"/>
    <x v="1"/>
    <m/>
    <m/>
    <m/>
    <n v="116.9691146190803"/>
    <s v="Hermano"/>
    <s v="HENRY HUMBERTO"/>
    <s v="QUESADA"/>
    <s v="ARCE"/>
    <n v="110030793"/>
    <x v="84"/>
    <s v="MASCULINO"/>
    <d v="1978-06-02T00:00:00"/>
    <n v="38.228610540725533"/>
    <s v="O+"/>
    <m/>
    <m/>
    <m/>
    <s v="COSTA RICA"/>
    <s v="Heredia"/>
    <s v="CENTRAL"/>
    <s v="HEREDIA"/>
    <m/>
    <m/>
    <m/>
    <m/>
    <m/>
    <m/>
    <m/>
    <m/>
    <m/>
    <m/>
    <m/>
    <m/>
    <s v="SI"/>
    <d v="2022-05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095"/>
    <n v="68.829568788501021"/>
    <n v="5.7357973990417523"/>
  </r>
  <r>
    <x v="0"/>
    <m/>
    <m/>
    <s v="RIÑON"/>
    <x v="1"/>
    <m/>
    <m/>
    <m/>
    <n v="117.01853122855182"/>
    <s v="Hija"/>
    <s v="DONALD"/>
    <s v="ZUÑIGA"/>
    <s v="PICADO"/>
    <n v="502440280"/>
    <x v="85"/>
    <s v="MASCULINO"/>
    <d v="1967-11-27T00:00:00"/>
    <n v="48.791238877481177"/>
    <s v="B+"/>
    <m/>
    <m/>
    <m/>
    <s v="COSTA RICA"/>
    <s v="SAN JOSE"/>
    <s v="CURRIDABAT"/>
    <s v="GRANADILL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237"/>
    <n v="106.34907597535934"/>
    <n v="8.8624229979466111"/>
  </r>
  <r>
    <x v="0"/>
    <m/>
    <m/>
    <s v="RIÑON"/>
    <x v="1"/>
    <m/>
    <m/>
    <m/>
    <n v="117.07618393960192"/>
    <s v="Padre"/>
    <s v="CESAR ANDRES"/>
    <s v="CERDAS"/>
    <s v="TRIGUEROS"/>
    <n v="114240991"/>
    <x v="86"/>
    <s v="MASCULINO"/>
    <d v="1990-04-24T00:00:00"/>
    <n v="26.442162902121833"/>
    <s v="O+"/>
    <m/>
    <m/>
    <m/>
    <s v="COSTA RICA"/>
    <s v="SAN JOSE"/>
    <s v="TIBAS"/>
    <s v="SAN JUA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216"/>
    <n v="105.65913757700206"/>
    <n v="8.8049281314168386"/>
  </r>
  <r>
    <x v="0"/>
    <m/>
    <m/>
    <s v="RIÑON"/>
    <x v="1"/>
    <m/>
    <m/>
    <m/>
    <n v="117.08991077556624"/>
    <s v="Hermano"/>
    <s v="VIDAL ESTEBAN"/>
    <s v="VANEGAS"/>
    <s v="LOPEZ"/>
    <n v="207110865"/>
    <x v="87"/>
    <s v="MASCULINO"/>
    <d v="1993-04-12T00:00:00"/>
    <n v="23.488021902806295"/>
    <s v="O+"/>
    <m/>
    <m/>
    <m/>
    <s v="COSTA RICA"/>
    <s v="Grecia, Alajuela"/>
    <m/>
    <m/>
    <m/>
    <m/>
    <m/>
    <m/>
    <m/>
    <m/>
    <m/>
    <m/>
    <m/>
    <m/>
    <m/>
    <m/>
    <s v="SI"/>
    <d v="2016-10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0"/>
    <n v="0"/>
    <n v="0"/>
  </r>
  <r>
    <x v="0"/>
    <m/>
    <m/>
    <s v="RIÑON"/>
    <x v="1"/>
    <m/>
    <m/>
    <m/>
    <n v="117.1420727522306"/>
    <s v="Hijo"/>
    <s v="PEDRO JOSE DE LA TRI"/>
    <s v="ALVARADO"/>
    <s v="ALVAREZ"/>
    <n v="107290562"/>
    <x v="88"/>
    <s v="MASCULINO"/>
    <d v="1968-09-13T00:00:00"/>
    <n v="48.11772758384668"/>
    <s v="O+"/>
    <m/>
    <m/>
    <m/>
    <s v="COSTA RICA"/>
    <s v="GUANACASTE"/>
    <s v="CAÑAS"/>
    <s v="CAÑA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192"/>
    <n v="104.87063655030801"/>
    <n v="8.7392197125256672"/>
  </r>
  <r>
    <x v="0"/>
    <m/>
    <m/>
    <s v="RIÑON"/>
    <x v="1"/>
    <m/>
    <m/>
    <m/>
    <n v="117.19972546328071"/>
    <s v="Hermano"/>
    <s v="ENRIQUE GERARDO"/>
    <s v="MORA"/>
    <s v="ARAYA"/>
    <n v="900800223"/>
    <x v="89"/>
    <s v="MASCULINO"/>
    <d v="1969-05-20T00:00:00"/>
    <n v="47.493497604380565"/>
    <s v="A+"/>
    <m/>
    <m/>
    <m/>
    <s v="COSTA RICA"/>
    <s v="LIMON"/>
    <s v="MATINA"/>
    <s v="BATAA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171"/>
    <n v="104.18069815195072"/>
    <n v="8.6817248459958929"/>
  </r>
  <r>
    <x v="0"/>
    <m/>
    <m/>
    <s v="RIÑON"/>
    <x v="0"/>
    <m/>
    <m/>
    <m/>
    <n v="117.20247083047357"/>
    <s v="2016HSRA1"/>
    <s v="DERIAN ORLANDO"/>
    <s v="ESQUIVEL"/>
    <s v="VENEGAS"/>
    <n v="504070202"/>
    <x v="90"/>
    <s v="MASCULINO"/>
    <d v="1995-10-12T00:00:00"/>
    <n v="21.100616016427104"/>
    <s v="O+"/>
    <m/>
    <m/>
    <m/>
    <s v="COSTA RICA"/>
    <s v="GUANACASTE"/>
    <s v="HOJANCHA"/>
    <s v="HOJANCH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170"/>
    <n v="104.14784394250513"/>
    <n v="8.6789869952087617"/>
  </r>
  <r>
    <x v="0"/>
    <m/>
    <m/>
    <s v="RIÑON"/>
    <x v="0"/>
    <m/>
    <m/>
    <m/>
    <n v="117.21619766643789"/>
    <s v="2016HM10"/>
    <s v="LUIS AGUSTIN"/>
    <s v="SOLIS"/>
    <s v="HERRERA"/>
    <n v="103450532"/>
    <x v="91"/>
    <s v="MASCULINO"/>
    <d v="1946-12-20T00:00:00"/>
    <n v="69.924709103353862"/>
    <s v="B+"/>
    <m/>
    <m/>
    <m/>
    <s v="COSTA RICA"/>
    <s v="SAN JOSE"/>
    <s v="ESCAZU"/>
    <s v="ESCAZU"/>
    <m/>
    <m/>
    <m/>
    <m/>
    <m/>
    <m/>
    <m/>
    <m/>
    <m/>
    <m/>
    <m/>
    <m/>
    <s v="SI"/>
    <d v="2021-05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624"/>
    <n v="53.355236139630392"/>
    <n v="4.4462696783025324"/>
  </r>
  <r>
    <x v="0"/>
    <m/>
    <m/>
    <s v="RIÑON"/>
    <x v="0"/>
    <m/>
    <m/>
    <m/>
    <n v="117.21619766643789"/>
    <s v="2016HM10"/>
    <s v="MAYRA"/>
    <s v="SANDOVAL"/>
    <s v="ALVARADO"/>
    <n v="501840894"/>
    <x v="91"/>
    <s v="FEMENINA"/>
    <d v="1959-12-21T00:00:00"/>
    <n v="56.922655715263517"/>
    <s v="A+"/>
    <m/>
    <m/>
    <m/>
    <s v="COSTA RICA"/>
    <s v="GUANACASTE"/>
    <s v="BAGACES"/>
    <s v="BAGACES"/>
    <m/>
    <m/>
    <m/>
    <m/>
    <m/>
    <m/>
    <m/>
    <m/>
    <m/>
    <m/>
    <m/>
    <m/>
    <s v="SI"/>
    <d v="2017-12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387"/>
    <n v="12.714579055441478"/>
    <n v="1.0595482546201231"/>
  </r>
  <r>
    <x v="0"/>
    <m/>
    <m/>
    <s v="RIÑON"/>
    <x v="1"/>
    <m/>
    <m/>
    <m/>
    <n v="117.23816060398079"/>
    <m/>
    <s v="KAROLINA DE LOS ANGELES"/>
    <s v="CERDAS"/>
    <s v="TRIGUEROS"/>
    <n v="114630180"/>
    <x v="92"/>
    <s v="FEMENINA"/>
    <d v="1991-04-23T00:00:00"/>
    <n v="25.607118412046542"/>
    <s v="O+"/>
    <m/>
    <m/>
    <m/>
    <s v="COSTA RICA"/>
    <s v="SAN JOS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157"/>
    <n v="103.72073921971253"/>
    <n v="8.6433949349760439"/>
  </r>
  <r>
    <x v="0"/>
    <m/>
    <m/>
    <s v="RIÑON"/>
    <x v="1"/>
    <m/>
    <m/>
    <m/>
    <n v="117.2656142759094"/>
    <s v="Hermano"/>
    <s v="LIZBETH DE LOS ANGELES"/>
    <s v="ALVARADO"/>
    <s v="SANDOVAL"/>
    <n v="401650609"/>
    <x v="93"/>
    <s v="FEMENINA"/>
    <d v="1977-06-07T00:00:00"/>
    <n v="39.509924709103352"/>
    <s v="O+"/>
    <m/>
    <m/>
    <m/>
    <s v="COSTA RICA"/>
    <s v="Heredia"/>
    <s v="CENTRAL"/>
    <s v="HEREDIA"/>
    <m/>
    <m/>
    <m/>
    <m/>
    <m/>
    <m/>
    <m/>
    <m/>
    <m/>
    <m/>
    <m/>
    <m/>
    <s v="SI"/>
    <d v="2020-04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225"/>
    <n v="40.246406570841891"/>
    <n v="3.353867214236824"/>
  </r>
  <r>
    <x v="0"/>
    <m/>
    <m/>
    <s v="RIÑON"/>
    <x v="1"/>
    <m/>
    <m/>
    <m/>
    <n v="117.27659574468085"/>
    <m/>
    <s v="ESTEBAN DE JESUS"/>
    <s v="UMAÑA"/>
    <s v="CHAVES"/>
    <n v="502290436"/>
    <x v="94"/>
    <s v="MASCULINO"/>
    <d v="1965-12-10T00:00:00"/>
    <n v="51.011635865845314"/>
    <s v="A+"/>
    <m/>
    <m/>
    <m/>
    <s v="COSTA RICA"/>
    <s v="GUANACASTE"/>
    <s v="LIBERIA"/>
    <s v="LIBERIA"/>
    <m/>
    <m/>
    <m/>
    <m/>
    <m/>
    <m/>
    <m/>
    <m/>
    <m/>
    <m/>
    <m/>
    <m/>
    <s v="SI"/>
    <d v="2024-07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786"/>
    <n v="91.531827515400408"/>
    <n v="7.6276522929500343"/>
  </r>
  <r>
    <x v="0"/>
    <m/>
    <m/>
    <s v="RIÑON"/>
    <x v="0"/>
    <m/>
    <m/>
    <m/>
    <n v="117.29581331503088"/>
    <s v="2016HSJD1"/>
    <s v="EMILADY DEL SOCORRO"/>
    <s v="GAMBOA"/>
    <s v="ELIZONDO"/>
    <n v="107960436"/>
    <x v="95"/>
    <s v="FEMENINA"/>
    <d v="1971-04-29T00:00:00"/>
    <n v="45.648186173853524"/>
    <s v="AB+"/>
    <m/>
    <m/>
    <m/>
    <s v="COSTA RICA"/>
    <s v="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136"/>
    <n v="103.03080082135524"/>
    <n v="8.5859000684462696"/>
  </r>
  <r>
    <x v="0"/>
    <m/>
    <m/>
    <s v="RIÑON"/>
    <x v="0"/>
    <m/>
    <m/>
    <m/>
    <n v="117.29581331503088"/>
    <s v="2016HM12"/>
    <s v="OMAR ENRIQUE"/>
    <s v="MARENCO"/>
    <s v="MEDINA"/>
    <n v="800760289"/>
    <x v="95"/>
    <s v="MASCULINO"/>
    <d v="1967-05-30T00:00:00"/>
    <n v="49.563312799452433"/>
    <s v="O+"/>
    <m/>
    <m/>
    <m/>
    <s v="COSTA RICA"/>
    <s v="Hered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136"/>
    <n v="103.03080082135524"/>
    <n v="8.5859000684462696"/>
  </r>
  <r>
    <x v="0"/>
    <m/>
    <m/>
    <s v="RIÑON"/>
    <x v="1"/>
    <m/>
    <m/>
    <m/>
    <n v="117.32875772134523"/>
    <s v="Hija"/>
    <s v="GISELLE"/>
    <s v="MORA"/>
    <s v="CASTRO"/>
    <n v="203720379"/>
    <x v="96"/>
    <s v="FEMENINA"/>
    <d v="1962-05-29T00:00:00"/>
    <n v="54.598220396988367"/>
    <m/>
    <m/>
    <m/>
    <m/>
    <s v="COSTA RICA"/>
    <s v="LIMON"/>
    <s v="POCOCI"/>
    <s v="GUAPILES"/>
    <m/>
    <m/>
    <m/>
    <m/>
    <m/>
    <m/>
    <m/>
    <m/>
    <m/>
    <m/>
    <m/>
    <m/>
    <s v="SI"/>
    <d v="2022-02-0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863"/>
    <n v="61.207392197125259"/>
    <n v="5.1006160164271046"/>
  </r>
  <r>
    <x v="0"/>
    <m/>
    <m/>
    <s v="RIÑON"/>
    <x v="1"/>
    <m/>
    <m/>
    <m/>
    <n v="117.33150308853808"/>
    <s v="hija"/>
    <s v="GUIDO EFREN"/>
    <s v="ROJAS"/>
    <s v="BARQUERO"/>
    <n v="501990917"/>
    <x v="97"/>
    <s v="MASCULINO"/>
    <d v="1962-05-03T00:00:00"/>
    <n v="54.672142368240934"/>
    <m/>
    <m/>
    <m/>
    <m/>
    <s v="COSTA RICA"/>
    <s v="ALAJUELA"/>
    <s v="SAN RAMON"/>
    <s v="SAN JUA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123"/>
    <n v="102.60369609856262"/>
    <n v="8.5503080082135519"/>
  </r>
  <r>
    <x v="1"/>
    <m/>
    <m/>
    <s v="RIÑON"/>
    <x v="1"/>
    <m/>
    <m/>
    <m/>
    <n v="117.37268359643102"/>
    <m/>
    <s v="YASCARA"/>
    <s v="RODRIGUEZ"/>
    <s v="PINEDA"/>
    <n v="800780382"/>
    <x v="98"/>
    <s v="FEMENINA"/>
    <d v="1968-08-12T00:00:00"/>
    <n v="48.435318275154003"/>
    <m/>
    <m/>
    <m/>
    <m/>
    <s v="COSTA RICA"/>
    <m/>
    <m/>
    <m/>
    <m/>
    <m/>
    <m/>
    <m/>
    <m/>
    <m/>
    <m/>
    <m/>
    <m/>
    <m/>
    <m/>
    <m/>
    <s v="SI"/>
    <d v="2019-06-2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891"/>
    <n v="29.273100616016428"/>
    <n v="2.4394250513347022"/>
  </r>
  <r>
    <x v="0"/>
    <m/>
    <m/>
    <s v="RIÑON"/>
    <x v="1"/>
    <m/>
    <m/>
    <m/>
    <n v="117.39190116678105"/>
    <s v="Primo"/>
    <s v="KEYLOR"/>
    <s v="CARAZO"/>
    <s v="ACEVEDO"/>
    <n v="504180410"/>
    <x v="99"/>
    <s v="MASCULINO"/>
    <d v="1997-09-30T00:00:00"/>
    <n v="19.32101300479124"/>
    <m/>
    <m/>
    <m/>
    <m/>
    <s v="COSTA RICA"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101"/>
    <n v="101.88090349075975"/>
    <n v="8.4900752908966464"/>
  </r>
  <r>
    <x v="1"/>
    <m/>
    <m/>
    <s v="RIÑON"/>
    <x v="1"/>
    <m/>
    <m/>
    <m/>
    <n v="117.43033630748113"/>
    <m/>
    <s v="JOSE BENIGNO"/>
    <s v="MEJIA"/>
    <s v="REDONDO"/>
    <n v="302260619"/>
    <x v="100"/>
    <s v="MASCULINO"/>
    <d v="1958-04-07T00:00:00"/>
    <n v="58.841889117043124"/>
    <m/>
    <m/>
    <m/>
    <m/>
    <s v="COSTA RICA"/>
    <s v="Cartago"/>
    <s v="PARAISO"/>
    <s v="PARAIS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87"/>
    <n v="101.42094455852155"/>
    <n v="8.4517453798767974"/>
  </r>
  <r>
    <x v="2"/>
    <m/>
    <m/>
    <s v="RIÑÓN"/>
    <x v="0"/>
    <m/>
    <m/>
    <m/>
    <n v="117.12525667351129"/>
    <s v="N/A"/>
    <m/>
    <m/>
    <m/>
    <n v="302810358"/>
    <x v="101"/>
    <m/>
    <m/>
    <n v="117.12525667351129"/>
    <m/>
    <m/>
    <m/>
    <m/>
    <m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81"/>
    <n v="101.22381930184805"/>
    <n v="8.4353182751540032"/>
  </r>
  <r>
    <x v="0"/>
    <m/>
    <m/>
    <s v="RIÑON"/>
    <x v="1"/>
    <m/>
    <m/>
    <m/>
    <n v="117.44955387783116"/>
    <s v="madre"/>
    <s v="WILLIAM JOSE"/>
    <s v="MENDEZ"/>
    <s v="VELASQUEZ"/>
    <n v="19908995"/>
    <x v="102"/>
    <s v="MASCULINO"/>
    <d v="1999-06-09T00:00:00"/>
    <n v="17.689253935660506"/>
    <m/>
    <m/>
    <m/>
    <m/>
    <s v=""/>
    <s v="ALAJUELA"/>
    <s v="CENTRAL"/>
    <s v="ALAJUEL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80"/>
    <n v="101.19096509240246"/>
    <n v="8.4325804243668721"/>
  </r>
  <r>
    <x v="3"/>
    <s v="UP2103 - HOSPITAL NACIONAL DE NIÑOS"/>
    <m/>
    <s v="RIÑON"/>
    <x v="0"/>
    <m/>
    <m/>
    <m/>
    <n v="117.44955387783116"/>
    <m/>
    <s v="JUSTIN ADRIAN"/>
    <s v="PICADO"/>
    <s v="GUERRERO"/>
    <n v="605130022"/>
    <x v="102"/>
    <s v="MASCULINO"/>
    <d v="2008-07-29T00:00:00"/>
    <n v="8.5503080082135519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80"/>
    <n v="101.19096509240246"/>
    <n v="8.4325804243668721"/>
  </r>
  <r>
    <x v="0"/>
    <m/>
    <m/>
    <s v="RIÑON"/>
    <x v="1"/>
    <m/>
    <m/>
    <m/>
    <n v="117.4687714481812"/>
    <s v="hermana"/>
    <s v="IVONNE MARCELA"/>
    <s v="MURILLO"/>
    <s v="ARPECHE"/>
    <n v="205790787"/>
    <x v="103"/>
    <s v="FEMENINA"/>
    <d v="1983-01-29T00:00:00"/>
    <n v="34.067077344284733"/>
    <m/>
    <m/>
    <m/>
    <m/>
    <s v="COSTA RICA"/>
    <s v="ALAJUELA"/>
    <s v="CENTRAL"/>
    <s v="DESAMPARADO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73"/>
    <n v="100.96098562628337"/>
    <n v="8.4134154688569467"/>
  </r>
  <r>
    <x v="0"/>
    <m/>
    <m/>
    <s v="RIÑON"/>
    <x v="0"/>
    <m/>
    <m/>
    <m/>
    <n v="117.48524365133837"/>
    <s v="2017HM3"/>
    <s v="CARLOS ROBERTO"/>
    <s v="GUELL"/>
    <s v="VARGAS"/>
    <n v="108060867"/>
    <x v="104"/>
    <s v="MASCULINO"/>
    <d v="1971-10-20T00:00:00"/>
    <n v="45.360711841204655"/>
    <m/>
    <m/>
    <m/>
    <m/>
    <s v="COSTA RICA"/>
    <s v="Tibas, SJ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67"/>
    <n v="100.76386036960986"/>
    <n v="8.3969883641341543"/>
  </r>
  <r>
    <x v="3"/>
    <s v="UP2103 - HOSPITAL NACIONAL DE NIÑOS"/>
    <m/>
    <s v="RIÑON"/>
    <x v="0"/>
    <m/>
    <m/>
    <m/>
    <n v="117.48524365133837"/>
    <m/>
    <s v="NAYELI GEORGINA"/>
    <s v="RIOS"/>
    <s v="REYES"/>
    <n v="504450826"/>
    <x v="104"/>
    <s v="FEMENINA"/>
    <d v="2002-10-07T00:00:00"/>
    <n v="14.395619438740589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67"/>
    <n v="100.76386036960986"/>
    <n v="8.3969883641341543"/>
  </r>
  <r>
    <x v="1"/>
    <m/>
    <m/>
    <s v="RIÑON"/>
    <x v="1"/>
    <m/>
    <m/>
    <m/>
    <n v="117.48798901853122"/>
    <m/>
    <s v="CECILIA"/>
    <s v="ARAYA"/>
    <s v="PEREZ"/>
    <n v="302200315"/>
    <x v="105"/>
    <s v="FEMENINA"/>
    <d v="1957-03-17T00:00:00"/>
    <n v="59.956194387405887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66"/>
    <n v="100.73100616016427"/>
    <n v="8.3942505133470231"/>
  </r>
  <r>
    <x v="4"/>
    <m/>
    <m/>
    <s v="RIÑON"/>
    <x v="1"/>
    <m/>
    <m/>
    <m/>
    <n v="117.16632443531827"/>
    <s v="Relacionado"/>
    <s v="MAURICIO"/>
    <s v="FERNANDEZ"/>
    <s v="ULATE"/>
    <n v="602850057"/>
    <x v="105"/>
    <m/>
    <m/>
    <n v="117.16632443531827"/>
    <m/>
    <m/>
    <s v="ERC ESTADÍO V"/>
    <m/>
    <s v="COSTA RICA"/>
    <s v="SAN JOSE"/>
    <s v="DESAMPARADOS"/>
    <s v="GRAVILIAS"/>
    <m/>
    <m/>
    <m/>
    <m/>
    <m/>
    <m/>
    <m/>
    <m/>
    <m/>
    <m/>
    <m/>
    <m/>
    <s v="SI"/>
    <d v="2021-07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593"/>
    <n v="52.336755646817245"/>
    <n v="4.3613963039014374"/>
  </r>
  <r>
    <x v="0"/>
    <m/>
    <m/>
    <s v="RIÑON"/>
    <x v="1"/>
    <m/>
    <m/>
    <m/>
    <n v="117.49897048730267"/>
    <s v="Hijo"/>
    <s v="JOSE ALBERTO"/>
    <s v="RAMIREZ"/>
    <s v="GONZALEZ"/>
    <n v="203390738"/>
    <x v="106"/>
    <s v="MASCULINO"/>
    <d v="1959-04-27T00:00:00"/>
    <n v="57.856262833675565"/>
    <m/>
    <m/>
    <m/>
    <m/>
    <s v="COSTA RICA"/>
    <s v="ALAJUELA"/>
    <s v="CENTRAL"/>
    <s v="TURRUCARE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62"/>
    <n v="100.59958932238193"/>
    <n v="8.3832991101984948"/>
  </r>
  <r>
    <x v="1"/>
    <m/>
    <m/>
    <s v="RIÑON"/>
    <x v="1"/>
    <m/>
    <m/>
    <m/>
    <n v="117.50720658888126"/>
    <m/>
    <s v="PRISCILLA DEL MILAGRO"/>
    <s v="GAMBOA"/>
    <s v="FONSECA"/>
    <n v="305410977"/>
    <x v="107"/>
    <s v="FEMENINA"/>
    <d v="2002-10-06T00:00:00"/>
    <n v="14.420260095824778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59"/>
    <n v="100.50102669404518"/>
    <n v="8.3750855578370977"/>
  </r>
  <r>
    <x v="4"/>
    <m/>
    <m/>
    <s v="RIÑON"/>
    <x v="1"/>
    <m/>
    <m/>
    <m/>
    <n v="117.20465434633813"/>
    <s v="Relacionado"/>
    <s v="JOSE MANUEL"/>
    <s v="VARELA"/>
    <s v="NOINDICAOTRO"/>
    <n v="16919823"/>
    <x v="108"/>
    <m/>
    <m/>
    <n v="117.20465434633813"/>
    <m/>
    <m/>
    <s v="ERC ESTADÍO V"/>
    <m/>
    <s v="NICARAGU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52"/>
    <n v="100.27104722792608"/>
    <n v="8.3559206023271724"/>
  </r>
  <r>
    <x v="0"/>
    <m/>
    <m/>
    <s v="RIÑON"/>
    <x v="0"/>
    <m/>
    <m/>
    <m/>
    <n v="117.54289636238848"/>
    <s v="2017HM6"/>
    <s v="MARCOS ESTEBAN"/>
    <s v="ARRIETA"/>
    <s v="ESQUIVEL"/>
    <n v="206170508"/>
    <x v="109"/>
    <s v="MASCULINO"/>
    <d v="1986-02-10T00:00:00"/>
    <n v="31.107460643394933"/>
    <s v="O +"/>
    <m/>
    <m/>
    <m/>
    <s v="COSTA RICA"/>
    <s v="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46"/>
    <n v="100.07392197125257"/>
    <n v="8.33949349760438"/>
  </r>
  <r>
    <x v="0"/>
    <m/>
    <m/>
    <s v="RIÑON"/>
    <x v="0"/>
    <m/>
    <m/>
    <m/>
    <n v="117.54289636238848"/>
    <s v="2017HM6"/>
    <s v="CARLOS STEVEN"/>
    <s v="VARGAS"/>
    <s v="VALERIO"/>
    <n v="402400687"/>
    <x v="109"/>
    <s v="MASCULINO"/>
    <d v="1998-10-26T00:00:00"/>
    <n v="18.401095140314855"/>
    <s v="O +"/>
    <m/>
    <m/>
    <m/>
    <s v="COSTA RICA"/>
    <s v="Hered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46"/>
    <n v="100.07392197125257"/>
    <n v="8.33949349760438"/>
  </r>
  <r>
    <x v="0"/>
    <m/>
    <m/>
    <s v="RIÑON"/>
    <x v="1"/>
    <m/>
    <m/>
    <m/>
    <n v="117.54564172958133"/>
    <s v="Hija"/>
    <s v="ROBERTO EDUARDO"/>
    <s v="LEFEBRE"/>
    <s v="MENDEZ"/>
    <n v="602280642"/>
    <x v="110"/>
    <s v="MASCULINO"/>
    <d v="1969-12-24T00:00:00"/>
    <n v="47.241615331964411"/>
    <m/>
    <m/>
    <m/>
    <m/>
    <s v="COSTA RICA"/>
    <s v="PUNTARENAS"/>
    <s v="CENTRAL"/>
    <s v="BARRANC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45"/>
    <n v="100.04106776180699"/>
    <n v="8.3367556468172488"/>
  </r>
  <r>
    <x v="0"/>
    <m/>
    <m/>
    <s v="RIÑON"/>
    <x v="1"/>
    <m/>
    <m/>
    <m/>
    <n v="117.56485929993137"/>
    <s v="Hija"/>
    <s v="MARICELA MAYELA"/>
    <s v="RODRIGUEZ"/>
    <s v="SEGURA"/>
    <n v="204960566"/>
    <x v="111"/>
    <s v="FEMENINA"/>
    <d v="1974-09-14T00:00:00"/>
    <n v="42.53798767967146"/>
    <m/>
    <m/>
    <m/>
    <m/>
    <s v="COSTA RICA"/>
    <s v="ALAJUELA"/>
    <s v="SAN CARLOS"/>
    <s v="CUTRI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38"/>
    <n v="99.811088295687881"/>
    <n v="8.3175906913073234"/>
  </r>
  <r>
    <x v="0"/>
    <m/>
    <m/>
    <s v="RIÑON"/>
    <x v="1"/>
    <m/>
    <m/>
    <m/>
    <n v="117.62251201098147"/>
    <s v="Mama"/>
    <s v="ANDERSON"/>
    <s v="VIALES"/>
    <s v="VEGA"/>
    <n v="117440700"/>
    <x v="112"/>
    <s v="MASCULINO"/>
    <d v="1999-06-06T00:00:00"/>
    <n v="17.869952087611225"/>
    <m/>
    <m/>
    <m/>
    <m/>
    <s v="COSTA RICA"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17"/>
    <n v="99.121149897330596"/>
    <n v="8.2600958247775491"/>
  </r>
  <r>
    <x v="0"/>
    <m/>
    <m/>
    <s v="RIÑON"/>
    <x v="1"/>
    <m/>
    <m/>
    <m/>
    <n v="117.6417295813315"/>
    <s v="Hermana"/>
    <s v="HECTOR ISAAC DEL DUL"/>
    <s v="PORRAS"/>
    <s v="CRUZ"/>
    <n v="105380612"/>
    <x v="113"/>
    <s v="MASCULINO"/>
    <d v="1960-08-23T00:00:00"/>
    <n v="56.673511293634498"/>
    <m/>
    <m/>
    <m/>
    <m/>
    <s v="COSTA RICA"/>
    <s v="SAN JOSE"/>
    <s v="SANTA ANA"/>
    <s v="SANTA AN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10"/>
    <n v="98.891170431211492"/>
    <n v="8.2409308692676255"/>
  </r>
  <r>
    <x v="1"/>
    <m/>
    <m/>
    <s v="RIÑON"/>
    <x v="0"/>
    <m/>
    <m/>
    <m/>
    <n v="117.6636925188744"/>
    <m/>
    <s v="LUIS FERNANDO"/>
    <s v="MORGAN"/>
    <s v="MONTEALEGRE"/>
    <n v="105340207"/>
    <x v="114"/>
    <s v="MASCULINO"/>
    <d v="1956-08-31T00:00:00"/>
    <n v="60.673511293634498"/>
    <m/>
    <m/>
    <m/>
    <m/>
    <s v="COSTA RICA"/>
    <s v="SAN JOSE"/>
    <s v="MORAVIA"/>
    <s v="SAN VICENTE"/>
    <m/>
    <m/>
    <m/>
    <m/>
    <m/>
    <m/>
    <m/>
    <m/>
    <m/>
    <m/>
    <m/>
    <m/>
    <s v="SI"/>
    <d v="2017-05-2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4"/>
    <n v="0.7885010266940452"/>
    <n v="6.5708418891170434E-2"/>
  </r>
  <r>
    <x v="1"/>
    <m/>
    <m/>
    <s v="RIÑON"/>
    <x v="0"/>
    <m/>
    <m/>
    <m/>
    <n v="117.6636925188744"/>
    <m/>
    <s v="LAURA"/>
    <s v="ARAYA"/>
    <s v="VALVERDE"/>
    <n v="112810594"/>
    <x v="114"/>
    <s v="FEMENINA"/>
    <d v="1986-06-10T00:00:00"/>
    <n v="30.899383983572896"/>
    <m/>
    <m/>
    <m/>
    <m/>
    <s v="COSTA RICA"/>
    <s v="SAN JOSE"/>
    <s v="GOICOECHEA"/>
    <s v="GUADALUP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002"/>
    <n v="98.628336755646814"/>
    <n v="8.219028062970569"/>
  </r>
  <r>
    <x v="1"/>
    <m/>
    <m/>
    <s v="RIÑON"/>
    <x v="0"/>
    <m/>
    <m/>
    <m/>
    <n v="117.67192862045299"/>
    <m/>
    <s v="CAROL VANESSA"/>
    <s v="SEGURA"/>
    <s v="CAMACHO"/>
    <n v="112740024"/>
    <x v="115"/>
    <s v="FEMENINA"/>
    <d v="1986-03-10T00:00:00"/>
    <n v="31.159479808350444"/>
    <m/>
    <m/>
    <m/>
    <m/>
    <s v="COSTA RICA"/>
    <m/>
    <m/>
    <m/>
    <m/>
    <m/>
    <m/>
    <m/>
    <m/>
    <m/>
    <m/>
    <m/>
    <m/>
    <m/>
    <m/>
    <m/>
    <s v="SI"/>
    <d v="2023-11-1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384"/>
    <n v="78.32443531827515"/>
    <n v="6.5270362765229297"/>
  </r>
  <r>
    <x v="1"/>
    <m/>
    <m/>
    <s v="RIÑON"/>
    <x v="0"/>
    <m/>
    <m/>
    <m/>
    <n v="117.67192862045299"/>
    <m/>
    <s v="MARIA AUXILIADORA"/>
    <s v="VARGAS"/>
    <s v="NOINDICAOTRO"/>
    <n v="2860100019"/>
    <x v="115"/>
    <s v="FEMENINA"/>
    <d v="1986-11-11T00:00:00"/>
    <n v="30.48596851471595"/>
    <m/>
    <m/>
    <m/>
    <m/>
    <s v="NICARAGU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99"/>
    <n v="98.529774127310063"/>
    <n v="8.2108145106091719"/>
  </r>
  <r>
    <x v="4"/>
    <m/>
    <m/>
    <s v="RIÑON"/>
    <x v="1"/>
    <m/>
    <m/>
    <m/>
    <n v="117.35797399041752"/>
    <s v="Relacionado"/>
    <s v="MIRIAM ELIZABETH"/>
    <s v="VILLANUEVA"/>
    <s v="ZUÑIGA"/>
    <n v="602410254"/>
    <x v="116"/>
    <m/>
    <m/>
    <n v="117.35797399041752"/>
    <m/>
    <m/>
    <s v="ERC ESTADÍO V"/>
    <m/>
    <s v="COSTA RICA"/>
    <m/>
    <m/>
    <m/>
    <m/>
    <m/>
    <m/>
    <m/>
    <m/>
    <m/>
    <m/>
    <m/>
    <m/>
    <m/>
    <m/>
    <m/>
    <s v="SI"/>
    <d v="2020-07-0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149"/>
    <n v="37.74948665297741"/>
    <n v="3.1457905544147846"/>
  </r>
  <r>
    <x v="0"/>
    <m/>
    <m/>
    <s v="RIÑON"/>
    <x v="1"/>
    <m/>
    <m/>
    <m/>
    <n v="117.71859986273164"/>
    <s v="Esposa"/>
    <s v="OSCAR MAURICIO"/>
    <s v="ARAYA"/>
    <s v="MORA"/>
    <n v="204950322"/>
    <x v="117"/>
    <s v="MASCULINO"/>
    <d v="1974-07-12T00:00:00"/>
    <n v="42.866529774127308"/>
    <m/>
    <m/>
    <m/>
    <m/>
    <s v="COSTA RICA"/>
    <s v="ALAJUELA"/>
    <s v="GRECIA"/>
    <s v="RIO CUART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82"/>
    <n v="97.971252566735117"/>
    <n v="8.1642710472279258"/>
  </r>
  <r>
    <x v="4"/>
    <m/>
    <m/>
    <s v="RIÑON"/>
    <x v="1"/>
    <m/>
    <m/>
    <m/>
    <n v="117.39630390143738"/>
    <s v="Relacionado"/>
    <s v="CARLOS EDGAR"/>
    <s v="THOMPSON"/>
    <s v="CUBILLO"/>
    <n v="602170699"/>
    <x v="117"/>
    <m/>
    <m/>
    <n v="117.39630390143738"/>
    <m/>
    <m/>
    <s v="ERC ESTADÍO V"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82"/>
    <n v="97.971252566735117"/>
    <n v="8.1642710472279258"/>
  </r>
  <r>
    <x v="0"/>
    <m/>
    <m/>
    <s v="RIÑON"/>
    <x v="0"/>
    <m/>
    <m/>
    <m/>
    <n v="117.72134522992451"/>
    <m/>
    <s v="ARMANDO"/>
    <s v="RODRIGUEZ"/>
    <s v="RODRIGUEZ"/>
    <n v="203270607"/>
    <x v="118"/>
    <s v="MASCULINO"/>
    <d v="1957-07-17T00:00:00"/>
    <n v="59.854893908282001"/>
    <m/>
    <m/>
    <m/>
    <m/>
    <s v="COSTA RICA"/>
    <s v="Heredia"/>
    <m/>
    <m/>
    <m/>
    <m/>
    <m/>
    <m/>
    <m/>
    <m/>
    <m/>
    <m/>
    <m/>
    <m/>
    <m/>
    <m/>
    <s v="SI"/>
    <d v="2024-08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636"/>
    <n v="86.603696098562622"/>
    <n v="7.2169746748802188"/>
  </r>
  <r>
    <x v="0"/>
    <m/>
    <m/>
    <s v="RIÑON"/>
    <x v="0"/>
    <m/>
    <m/>
    <m/>
    <n v="117.72134522992451"/>
    <m/>
    <s v="CARLO HANS"/>
    <s v="ARIAS"/>
    <s v="VIQUEZ"/>
    <n v="401480503"/>
    <x v="118"/>
    <s v="MASCULINO"/>
    <d v="1968-11-19T00:00:00"/>
    <n v="48.511978097193705"/>
    <m/>
    <m/>
    <m/>
    <m/>
    <s v="COSTA RICA"/>
    <s v="Heredia"/>
    <m/>
    <m/>
    <m/>
    <m/>
    <m/>
    <m/>
    <m/>
    <m/>
    <m/>
    <m/>
    <m/>
    <m/>
    <m/>
    <m/>
    <s v="SI"/>
    <d v="2018-08-0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440"/>
    <n v="14.455852156057494"/>
    <n v="1.2046543463381245"/>
  </r>
  <r>
    <x v="0"/>
    <m/>
    <m/>
    <s v="RIÑON"/>
    <x v="0"/>
    <m/>
    <m/>
    <m/>
    <n v="117.72683596431023"/>
    <m/>
    <s v="LUIS ALBERTO"/>
    <s v="ABURTO"/>
    <s v="USEDA"/>
    <n v="18219830"/>
    <x v="119"/>
    <s v="MASCULINO"/>
    <d v="1982-01-10T00:00:00"/>
    <n v="35.375770020533878"/>
    <m/>
    <m/>
    <m/>
    <m/>
    <s v=""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79"/>
    <n v="97.872689938398352"/>
    <n v="8.1560574948665305"/>
  </r>
  <r>
    <x v="0"/>
    <m/>
    <m/>
    <s v="RIÑON"/>
    <x v="0"/>
    <m/>
    <m/>
    <m/>
    <n v="117.72683596431023"/>
    <m/>
    <s v="MARTHA LORENA"/>
    <s v="SANCHEZ"/>
    <s v="SANDOVAL"/>
    <n v="207080382"/>
    <x v="119"/>
    <s v="FEMENINA"/>
    <d v="1992-10-02T00:00:00"/>
    <n v="24.648870636550306"/>
    <m/>
    <m/>
    <m/>
    <m/>
    <s v="COSTA RICA"/>
    <s v="Chiles 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79"/>
    <n v="97.872689938398352"/>
    <n v="8.1560574948665305"/>
  </r>
  <r>
    <x v="4"/>
    <m/>
    <m/>
    <s v="RIÑON"/>
    <x v="1"/>
    <m/>
    <m/>
    <m/>
    <n v="117.43463381245722"/>
    <s v="Relacionado"/>
    <s v="ANA LORENA"/>
    <s v="VARGAS"/>
    <s v="CARRANZA"/>
    <n v="203360628"/>
    <x v="120"/>
    <m/>
    <m/>
    <n v="117.43463381245722"/>
    <m/>
    <m/>
    <s v="ERC ESTADÍO V"/>
    <m/>
    <s v="COSTA RICA"/>
    <s v="SAN JOSE"/>
    <s v="CURRIDABAT"/>
    <s v="CURRIDABAT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68"/>
    <n v="97.511293634496923"/>
    <n v="8.1259411362080769"/>
  </r>
  <r>
    <x v="1"/>
    <m/>
    <m/>
    <s v="RIÑON"/>
    <x v="1"/>
    <m/>
    <m/>
    <m/>
    <n v="117.77625257378175"/>
    <m/>
    <s v="JEANNETTE DE LOS ANGELES"/>
    <s v="JIMENEZ"/>
    <s v="CAMACHO"/>
    <n v="302700116"/>
    <x v="121"/>
    <s v="FEMENINA"/>
    <d v="1964-08-02T00:00:00"/>
    <n v="52.865160848733744"/>
    <m/>
    <m/>
    <m/>
    <m/>
    <s v="COSTA RICA"/>
    <s v="Cartago"/>
    <s v="CENTRAL"/>
    <s v="CARMEN"/>
    <m/>
    <m/>
    <m/>
    <m/>
    <m/>
    <m/>
    <m/>
    <m/>
    <m/>
    <m/>
    <m/>
    <m/>
    <s v="SI"/>
    <d v="2020-01-2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955"/>
    <n v="31.375770020533881"/>
    <n v="2.6146475017111568"/>
  </r>
  <r>
    <x v="0"/>
    <m/>
    <m/>
    <s v="RIÑON"/>
    <x v="1"/>
    <m/>
    <m/>
    <m/>
    <n v="117.77625257378175"/>
    <s v="hermana"/>
    <s v="ELIECER"/>
    <s v="CAMBRONERO"/>
    <s v="SOLIS"/>
    <n v="401240443"/>
    <x v="121"/>
    <s v="MASCULINO"/>
    <d v="1960-08-11T00:00:00"/>
    <n v="56.840520191649553"/>
    <m/>
    <m/>
    <m/>
    <m/>
    <s v="COSTA RICA"/>
    <s v="Heredia, st.Barbar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61"/>
    <n v="97.281314168377818"/>
    <n v="8.1067761806981515"/>
  </r>
  <r>
    <x v="0"/>
    <m/>
    <m/>
    <s v="RIÑON"/>
    <x v="1"/>
    <m/>
    <m/>
    <m/>
    <n v="117.79547014413178"/>
    <s v="hermana"/>
    <s v="ANA LAURA"/>
    <s v="MATARRITA"/>
    <s v="CHAVES"/>
    <n v="503370199"/>
    <x v="122"/>
    <s v="FEMENINA"/>
    <d v="1983-12-01T00:00:00"/>
    <n v="33.555099247091036"/>
    <m/>
    <m/>
    <m/>
    <m/>
    <s v="COSTA RICA"/>
    <s v="Desamparados, SJ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54"/>
    <n v="97.051334702258728"/>
    <n v="8.0876112251882279"/>
  </r>
  <r>
    <x v="4"/>
    <m/>
    <m/>
    <s v="RIÑON"/>
    <x v="1"/>
    <m/>
    <m/>
    <m/>
    <n v="117.47296372347706"/>
    <s v="Relacionado"/>
    <s v="MIGUEL ANGEL"/>
    <s v="ARAYA"/>
    <s v="CAMPOS"/>
    <n v="603410686"/>
    <x v="122"/>
    <m/>
    <m/>
    <n v="117.47296372347706"/>
    <m/>
    <m/>
    <s v="ERC ESTADÍO V"/>
    <m/>
    <s v="COSTA RICA"/>
    <s v="SAN JOSE"/>
    <s v="ASERRI"/>
    <s v="SALITRILLO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54"/>
    <n v="97.051334702258728"/>
    <n v="8.0876112251882279"/>
  </r>
  <r>
    <x v="5"/>
    <s v="UP2104 - HOSPITAL MÉXICO"/>
    <m/>
    <s v="RIÑON"/>
    <x v="1"/>
    <m/>
    <m/>
    <m/>
    <n v="117.80645161290323"/>
    <s v="hermano"/>
    <n v="21040017197146"/>
    <m/>
    <m/>
    <n v="2104201701"/>
    <x v="123"/>
    <s v="MASCULINO"/>
    <m/>
    <n v="117.4839151266256"/>
    <s v="Traslado de hospital biblica, donde se realizo el trasplante, no se tiene documentos de entrevistas y valoraciones ya que esta valoracion se realizo en privado"/>
    <m/>
    <m/>
    <m/>
    <m/>
    <s v="nicaraguens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50"/>
    <n v="96.919917864476389"/>
    <n v="8.0766598220396997"/>
  </r>
  <r>
    <x v="0"/>
    <m/>
    <m/>
    <s v="RIÑON"/>
    <x v="1"/>
    <m/>
    <m/>
    <m/>
    <n v="117.81468771448181"/>
    <s v="hija"/>
    <s v="ELSA MARIA"/>
    <s v="CARDOZA"/>
    <s v="CORTES"/>
    <n v="502030577"/>
    <x v="124"/>
    <s v="FEMENINA"/>
    <d v="1962-11-05T00:00:00"/>
    <n v="54.644763860369608"/>
    <m/>
    <m/>
    <m/>
    <m/>
    <s v="COSTA RICA"/>
    <s v="Liberia, Guanacaste"/>
    <m/>
    <m/>
    <m/>
    <m/>
    <m/>
    <m/>
    <m/>
    <m/>
    <m/>
    <m/>
    <m/>
    <m/>
    <m/>
    <m/>
    <s v="SI"/>
    <d v="2017-09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76"/>
    <n v="2.4969199178644765"/>
    <n v="0.20807665982203971"/>
  </r>
  <r>
    <x v="0"/>
    <m/>
    <m/>
    <s v="RIÑON"/>
    <x v="1"/>
    <m/>
    <m/>
    <m/>
    <n v="117.8366506520247"/>
    <s v="Hermana"/>
    <s v="EDER JOSE"/>
    <s v="ROJAS"/>
    <s v="VASQUEZ"/>
    <n v="205830750"/>
    <x v="125"/>
    <s v="MASCULINO"/>
    <d v="1983-06-08T00:00:00"/>
    <n v="34.078028747433265"/>
    <m/>
    <m/>
    <m/>
    <m/>
    <s v="COSTA RICA"/>
    <s v="ALAJUELA"/>
    <s v="PALMARES"/>
    <s v="ZARAGOZ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39"/>
    <n v="96.558521560574945"/>
    <n v="8.046543463381246"/>
  </r>
  <r>
    <x v="3"/>
    <s v="UP2103 - HOSPITAL NACIONAL DE NIÑOS"/>
    <m/>
    <s v="RIÑON"/>
    <x v="0"/>
    <m/>
    <m/>
    <m/>
    <n v="117.85312285518188"/>
    <m/>
    <s v="ASTRID VERONICA"/>
    <s v="FERNANDEZ"/>
    <s v="ROJAS"/>
    <n v="208320683"/>
    <x v="126"/>
    <s v="FEMENINA"/>
    <d v="2002-08-25T00:00:00"/>
    <n v="14.880219028062971"/>
    <m/>
    <m/>
    <m/>
    <m/>
    <s v="COSTA RICA"/>
    <m/>
    <m/>
    <m/>
    <m/>
    <m/>
    <m/>
    <m/>
    <m/>
    <m/>
    <m/>
    <m/>
    <m/>
    <m/>
    <m/>
    <m/>
    <s v="SI"/>
    <d v="2017-11-2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39"/>
    <n v="4.5667351129363452"/>
    <n v="0.3805612594113621"/>
  </r>
  <r>
    <x v="0"/>
    <m/>
    <m/>
    <s v="RIÑON"/>
    <x v="1"/>
    <m/>
    <m/>
    <m/>
    <n v="117.85312285518188"/>
    <s v="Hijastra (mismo apellido)"/>
    <s v="ELOY FREDDY"/>
    <s v="FIGUEROA"/>
    <s v="FIGUEROA"/>
    <n v="701350685"/>
    <x v="126"/>
    <s v="MASCULINO"/>
    <d v="1980-02-18T00:00:00"/>
    <n v="37.396303901437371"/>
    <m/>
    <m/>
    <m/>
    <m/>
    <s v="COSTA RICA"/>
    <s v="Upa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33"/>
    <n v="96.361396303901444"/>
    <n v="8.0301163586584536"/>
  </r>
  <r>
    <x v="0"/>
    <m/>
    <m/>
    <s v="RIÑON"/>
    <x v="1"/>
    <m/>
    <m/>
    <m/>
    <n v="117.85312285518188"/>
    <s v="Hijastra (mismo apellido)"/>
    <s v="ELOY FREDDY"/>
    <s v="FIGUEROA"/>
    <s v="FIGUEROA"/>
    <n v="701350685"/>
    <x v="126"/>
    <s v="MASCULINO"/>
    <d v="1980-02-18T00:00:00"/>
    <n v="37.396303901437371"/>
    <m/>
    <m/>
    <m/>
    <m/>
    <s v="COSTA RICA"/>
    <s v="LIMON"/>
    <s v="CENTRAL"/>
    <s v="LIMO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33"/>
    <n v="96.361396303901444"/>
    <n v="8.0301163586584536"/>
  </r>
  <r>
    <x v="4"/>
    <m/>
    <m/>
    <s v="RIÑON"/>
    <x v="0"/>
    <m/>
    <m/>
    <m/>
    <n v="117.53045859000684"/>
    <s v="N/A"/>
    <s v="AVIMELET"/>
    <s v="BOLIVAR"/>
    <s v="BOLIVAR"/>
    <n v="501610050"/>
    <x v="126"/>
    <m/>
    <m/>
    <n v="117.53045859000684"/>
    <m/>
    <m/>
    <s v="ERC ESTADÍO V"/>
    <m/>
    <s v="COSTA RICA"/>
    <s v="SAN JOSE"/>
    <s v="ASERRI"/>
    <s v="ASERRI"/>
    <m/>
    <m/>
    <m/>
    <m/>
    <m/>
    <m/>
    <m/>
    <m/>
    <m/>
    <m/>
    <m/>
    <m/>
    <s v="SI"/>
    <d v="2020-12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258"/>
    <n v="41.330595482546201"/>
    <n v="3.4442162902121836"/>
  </r>
  <r>
    <x v="0"/>
    <m/>
    <m/>
    <s v="RIÑON"/>
    <x v="1"/>
    <m/>
    <m/>
    <m/>
    <n v="117.87234042553192"/>
    <s v="hijo"/>
    <s v="JOSE MIGUEL"/>
    <s v="MUÑOZ"/>
    <s v="GOMEZ"/>
    <n v="501700083"/>
    <x v="127"/>
    <s v="MASCULINO"/>
    <d v="1957-09-29T00:00:00"/>
    <n v="59.802874743326491"/>
    <m/>
    <m/>
    <m/>
    <m/>
    <s v="COSTA RICA"/>
    <s v="Hojancha, Guanacaste"/>
    <m/>
    <m/>
    <m/>
    <m/>
    <m/>
    <m/>
    <m/>
    <m/>
    <m/>
    <m/>
    <m/>
    <m/>
    <m/>
    <m/>
    <s v="SI"/>
    <d v="2024-01-1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366"/>
    <n v="77.733059548254616"/>
    <n v="6.4777549623545516"/>
  </r>
  <r>
    <x v="0"/>
    <m/>
    <m/>
    <s v="RIÑON"/>
    <x v="1"/>
    <m/>
    <m/>
    <m/>
    <n v="117.89155799588195"/>
    <m/>
    <s v="PEDRO WALTER"/>
    <s v="ALVARADO"/>
    <s v="QUIROS"/>
    <n v="502470310"/>
    <x v="128"/>
    <s v="MASCULINO"/>
    <d v="1968-06-29T00:00:00"/>
    <n v="49.073237508555785"/>
    <m/>
    <m/>
    <m/>
    <m/>
    <s v="COSTA RICA"/>
    <s v="GUANACASTE"/>
    <s v="BAGACES"/>
    <s v="BAGACES"/>
    <m/>
    <m/>
    <m/>
    <m/>
    <m/>
    <m/>
    <m/>
    <m/>
    <m/>
    <m/>
    <m/>
    <m/>
    <s v="SI"/>
    <d v="2023-01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015"/>
    <n v="66.201232032854207"/>
    <n v="5.5167693360711842"/>
  </r>
  <r>
    <x v="4"/>
    <m/>
    <m/>
    <s v="RIÑON"/>
    <x v="1"/>
    <m/>
    <m/>
    <m/>
    <n v="117.56878850102669"/>
    <s v="Relacionado"/>
    <s v="DIEGO JOSE"/>
    <s v="ORTIZ"/>
    <s v="ORTIZ"/>
    <n v="114260179"/>
    <x v="128"/>
    <m/>
    <m/>
    <n v="117.56878850102669"/>
    <m/>
    <m/>
    <s v="ERC ESTADÍO V"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19"/>
    <n v="95.901437371663249"/>
    <n v="7.9917864476386038"/>
  </r>
  <r>
    <x v="0"/>
    <m/>
    <m/>
    <s v="RIÑON"/>
    <x v="1"/>
    <m/>
    <m/>
    <m/>
    <n v="117.91352093342485"/>
    <s v="prima"/>
    <s v="ODALIA"/>
    <s v="PORRAS"/>
    <s v="CRUZ"/>
    <n v="501650475"/>
    <x v="129"/>
    <s v="FEMENINA"/>
    <d v="1956-12-25T00:00:00"/>
    <n v="60.605065023956193"/>
    <m/>
    <m/>
    <m/>
    <m/>
    <s v="COSTA RICA"/>
    <s v="ALAJUELA"/>
    <s v="CENTRAL"/>
    <s v="ALAJUEL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11"/>
    <n v="95.638603696098556"/>
    <n v="7.9698836413415473"/>
  </r>
  <r>
    <x v="0"/>
    <m/>
    <m/>
    <s v="RIÑON"/>
    <x v="0"/>
    <m/>
    <m/>
    <m/>
    <n v="117.9245024021963"/>
    <m/>
    <s v="LEONIDAS"/>
    <s v="ELIZONDO"/>
    <s v="ARIAS"/>
    <n v="204560965"/>
    <x v="130"/>
    <s v="MASCULINO"/>
    <d v="1970-02-10T00:00:00"/>
    <n v="47.488021902806295"/>
    <m/>
    <m/>
    <m/>
    <m/>
    <s v="COSTA RICA"/>
    <s v="Palmares 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07"/>
    <n v="95.507186858316217"/>
    <n v="7.9589322381930181"/>
  </r>
  <r>
    <x v="0"/>
    <m/>
    <m/>
    <s v="RIÑON"/>
    <x v="0"/>
    <m/>
    <m/>
    <m/>
    <n v="117.9245024021963"/>
    <m/>
    <s v="FREDDY ALEXIS"/>
    <s v="NARVAEZ"/>
    <s v="MONTIEL"/>
    <n v="502980382"/>
    <x v="130"/>
    <s v="MASCULINO"/>
    <d v="1977-03-26T00:00:00"/>
    <n v="40.366872005475699"/>
    <m/>
    <m/>
    <m/>
    <m/>
    <s v="COSTA RICA"/>
    <s v="GUANACASTE"/>
    <s v="LA CRUZ"/>
    <s v="LA CRUZ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07"/>
    <n v="95.507186858316217"/>
    <n v="7.9589322381930181"/>
  </r>
  <r>
    <x v="0"/>
    <m/>
    <m/>
    <s v="RIÑON"/>
    <x v="1"/>
    <m/>
    <m/>
    <m/>
    <n v="117.92999313658201"/>
    <s v="hermano"/>
    <s v="JONATHAN"/>
    <s v="RODRIGUEZ"/>
    <s v="ROJAS"/>
    <n v="206240810"/>
    <x v="131"/>
    <s v="MASCULINO"/>
    <d v="1986-09-19T00:00:00"/>
    <n v="30.888432580424368"/>
    <m/>
    <m/>
    <m/>
    <m/>
    <s v="COSTA RICA"/>
    <s v="ALAJUELA"/>
    <s v="CENTRAL"/>
    <s v="RIO SEGUND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05"/>
    <n v="95.441478439425055"/>
    <n v="7.953456536618754"/>
  </r>
  <r>
    <x v="4"/>
    <m/>
    <m/>
    <s v="RIÑON"/>
    <x v="0"/>
    <m/>
    <m/>
    <m/>
    <n v="117.6208076659822"/>
    <s v="N/A"/>
    <s v="MARIA FERNANDA"/>
    <s v="ABARCA"/>
    <s v="ROBINSON"/>
    <n v="117910918"/>
    <x v="132"/>
    <m/>
    <m/>
    <n v="117.6208076659822"/>
    <m/>
    <m/>
    <s v="ERC ESTADÍO V"/>
    <m/>
    <s v="COSTA RICA"/>
    <s v="SAN JOSE"/>
    <s v="CENTRAL"/>
    <s v="HATILLO"/>
    <m/>
    <m/>
    <m/>
    <m/>
    <m/>
    <m/>
    <m/>
    <m/>
    <m/>
    <m/>
    <m/>
    <m/>
    <s v="SI"/>
    <d v="2022-10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899"/>
    <n v="62.390143737166326"/>
    <n v="5.1991786447638599"/>
  </r>
  <r>
    <x v="3"/>
    <s v="UP2103 - HOSPITAL NACIONAL DE NIÑOS"/>
    <m/>
    <s v="RIÑON"/>
    <x v="0"/>
    <m/>
    <m/>
    <m/>
    <n v="117.94646533973919"/>
    <m/>
    <s v="LUIS ANGEL"/>
    <s v="CAMPOS"/>
    <s v="HIDALGO"/>
    <n v="305910926"/>
    <x v="133"/>
    <s v="MASCULINO"/>
    <d v="2010-01-30T00:00:00"/>
    <n v="7.5400410677618073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99"/>
    <n v="95.244353182751539"/>
    <n v="7.9370294318959616"/>
  </r>
  <r>
    <x v="0"/>
    <m/>
    <m/>
    <s v="RIÑON"/>
    <x v="0"/>
    <m/>
    <m/>
    <m/>
    <n v="117.96293754289636"/>
    <m/>
    <s v="MARIO ALBERTO"/>
    <s v="AVENDAÑO"/>
    <s v="VARGAS"/>
    <n v="205340022"/>
    <x v="134"/>
    <s v="MASCULINO"/>
    <d v="1978-10-21T00:00:00"/>
    <n v="38.833675564681727"/>
    <m/>
    <m/>
    <m/>
    <m/>
    <s v="COSTA RICA"/>
    <s v="ALAJUELA"/>
    <s v="POAS"/>
    <s v="SABANA REDONDA"/>
    <m/>
    <m/>
    <m/>
    <m/>
    <m/>
    <m/>
    <m/>
    <m/>
    <m/>
    <m/>
    <m/>
    <m/>
    <s v="SI"/>
    <d v="2021-03-0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290"/>
    <n v="42.381930184804929"/>
    <n v="3.5318275154004106"/>
  </r>
  <r>
    <x v="1"/>
    <m/>
    <m/>
    <s v="RIÑON"/>
    <x v="0"/>
    <m/>
    <m/>
    <m/>
    <n v="117.96293754289636"/>
    <m/>
    <s v="CARLOS EDUARDO"/>
    <s v="GOMEZ"/>
    <s v="MUÑOZ"/>
    <n v="302220965"/>
    <x v="134"/>
    <s v="MASCULINO"/>
    <d v="1957-12-28T00:00:00"/>
    <n v="59.646817248459961"/>
    <m/>
    <m/>
    <m/>
    <m/>
    <s v="COSTA RICA"/>
    <m/>
    <m/>
    <m/>
    <m/>
    <m/>
    <m/>
    <m/>
    <m/>
    <m/>
    <m/>
    <m/>
    <m/>
    <m/>
    <m/>
    <m/>
    <s v="SI"/>
    <d v="2017-08-2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7"/>
    <n v="0.2299794661190965"/>
    <n v="1.9164955509924708E-2"/>
  </r>
  <r>
    <x v="0"/>
    <m/>
    <m/>
    <s v="RIÑON"/>
    <x v="1"/>
    <m/>
    <m/>
    <m/>
    <n v="117.96842827728209"/>
    <s v="sobrina"/>
    <s v="INES JUANITA"/>
    <s v="ARCE"/>
    <s v="SIRIAS"/>
    <n v="900800738"/>
    <x v="135"/>
    <s v="FEMENINA"/>
    <d v="1963-01-21T00:00:00"/>
    <n v="54.587268993839835"/>
    <m/>
    <m/>
    <m/>
    <m/>
    <s v="COSTA RICA"/>
    <s v="GUANACASTE"/>
    <s v="CAÑAS"/>
    <s v="CAÑAS"/>
    <m/>
    <m/>
    <m/>
    <m/>
    <m/>
    <m/>
    <m/>
    <m/>
    <m/>
    <m/>
    <m/>
    <m/>
    <s v="SI"/>
    <d v="2019-11-2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826"/>
    <n v="27.137577002053387"/>
    <n v="2.2614647501711156"/>
  </r>
  <r>
    <x v="2"/>
    <m/>
    <m/>
    <s v="RIÑÓN"/>
    <x v="0"/>
    <m/>
    <m/>
    <m/>
    <n v="117.66735112936345"/>
    <s v="N/A"/>
    <m/>
    <m/>
    <m/>
    <n v="114990721"/>
    <x v="136"/>
    <m/>
    <m/>
    <n v="117.66735112936345"/>
    <m/>
    <m/>
    <m/>
    <m/>
    <m/>
    <m/>
    <m/>
    <m/>
    <m/>
    <m/>
    <m/>
    <m/>
    <m/>
    <m/>
    <m/>
    <m/>
    <m/>
    <m/>
    <m/>
    <m/>
    <s v="SI"/>
    <d v="2019-11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812"/>
    <n v="26.677618069815196"/>
    <n v="2.2231348391512662"/>
  </r>
  <r>
    <x v="2"/>
    <m/>
    <m/>
    <s v="RIÑÓN"/>
    <x v="0"/>
    <m/>
    <m/>
    <m/>
    <n v="117.66735112936345"/>
    <s v="N/A"/>
    <m/>
    <m/>
    <m/>
    <n v="303180494"/>
    <x v="136"/>
    <m/>
    <m/>
    <n v="117.66735112936345"/>
    <m/>
    <m/>
    <m/>
    <m/>
    <m/>
    <m/>
    <m/>
    <m/>
    <m/>
    <m/>
    <m/>
    <m/>
    <m/>
    <m/>
    <m/>
    <m/>
    <m/>
    <m/>
    <m/>
    <m/>
    <s v="SI"/>
    <d v="2017-09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"/>
    <n v="3.2854209445585217E-2"/>
    <n v="2.7378507871321013E-3"/>
  </r>
  <r>
    <x v="1"/>
    <m/>
    <m/>
    <s v="RIÑON"/>
    <x v="0"/>
    <m/>
    <m/>
    <m/>
    <n v="117.99313658201784"/>
    <m/>
    <s v="MINOR STANLEY"/>
    <s v="ARTAVIA"/>
    <s v="VARGAS"/>
    <n v="700750082"/>
    <x v="137"/>
    <s v="MASCULINO"/>
    <d v="1962-10-27T00:00:00"/>
    <n v="54.847364818617386"/>
    <m/>
    <m/>
    <m/>
    <m/>
    <s v="COSTA RICA"/>
    <s v="LIMON"/>
    <s v="SIQUIRRES"/>
    <s v="SIQUIRRES"/>
    <m/>
    <m/>
    <m/>
    <m/>
    <m/>
    <m/>
    <m/>
    <m/>
    <m/>
    <m/>
    <m/>
    <m/>
    <s v="SI"/>
    <d v="2021-11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530"/>
    <n v="50.266940451745377"/>
    <n v="4.1889117043121153"/>
  </r>
  <r>
    <x v="1"/>
    <m/>
    <m/>
    <s v="RIÑON"/>
    <x v="0"/>
    <m/>
    <m/>
    <m/>
    <n v="117.99313658201784"/>
    <m/>
    <s v="HAYDEE MIREYA"/>
    <s v="CHACON"/>
    <s v="VARGAS"/>
    <n v="700940903"/>
    <x v="137"/>
    <s v="FEMENINA"/>
    <d v="1969-09-16T00:00:00"/>
    <n v="47.958932238193022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82"/>
    <n v="94.685831622176593"/>
    <n v="7.8904859685147155"/>
  </r>
  <r>
    <x v="0"/>
    <m/>
    <m/>
    <s v="RIÑON"/>
    <x v="0"/>
    <m/>
    <m/>
    <m/>
    <n v="118.03706245710364"/>
    <m/>
    <s v="MAGALLY CHARLOTTE"/>
    <s v="SANCHEZ"/>
    <s v="CHAVARRIA"/>
    <n v="401790249"/>
    <x v="138"/>
    <s v="FEMENINA"/>
    <d v="1982-10-17T00:00:00"/>
    <n v="34.918548939082818"/>
    <m/>
    <m/>
    <m/>
    <m/>
    <s v="COSTA RICA"/>
    <s v="Heredia"/>
    <s v="SAN RAFAEL"/>
    <s v="CONCEPCION"/>
    <m/>
    <m/>
    <m/>
    <m/>
    <m/>
    <m/>
    <m/>
    <m/>
    <m/>
    <m/>
    <m/>
    <m/>
    <s v="SI"/>
    <d v="2023-01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935"/>
    <n v="63.572895277207394"/>
    <n v="5.2977412731006162"/>
  </r>
  <r>
    <x v="0"/>
    <m/>
    <m/>
    <s v="RIÑON"/>
    <x v="0"/>
    <m/>
    <m/>
    <m/>
    <n v="118.03706245710364"/>
    <m/>
    <s v="CLAUDIO LEOPOLDO"/>
    <s v="OYANEDEL"/>
    <s v="JARA"/>
    <n v="1650101752"/>
    <x v="138"/>
    <s v="MASCULINO"/>
    <d v="1965-09-04T00:00:00"/>
    <n v="52.035592060232716"/>
    <m/>
    <m/>
    <m/>
    <m/>
    <s v="CHILE"/>
    <s v="San Pablo, Hered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66"/>
    <n v="94.160164271047222"/>
    <n v="7.8466803559206024"/>
  </r>
  <r>
    <x v="1"/>
    <m/>
    <m/>
    <s v="RIÑON"/>
    <x v="0"/>
    <m/>
    <m/>
    <m/>
    <n v="118.04255319148936"/>
    <m/>
    <s v="RAFAELA CLARA SEIDI"/>
    <s v="ARROYO"/>
    <s v="MORA"/>
    <n v="700350588"/>
    <x v="139"/>
    <s v="FEMENINA"/>
    <d v="1944-08-12T00:00:00"/>
    <n v="73.103353867214238"/>
    <m/>
    <m/>
    <m/>
    <m/>
    <s v="COSTA RICA"/>
    <m/>
    <m/>
    <m/>
    <m/>
    <m/>
    <m/>
    <m/>
    <m/>
    <m/>
    <m/>
    <m/>
    <m/>
    <m/>
    <m/>
    <m/>
    <s v="SI"/>
    <d v="2022-04-0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657"/>
    <n v="54.439425051334702"/>
    <n v="4.5366187542778915"/>
  </r>
  <r>
    <x v="1"/>
    <m/>
    <m/>
    <s v="RIÑON"/>
    <x v="0"/>
    <m/>
    <m/>
    <m/>
    <n v="118.07824296499656"/>
    <m/>
    <s v="VALERY NATASHA"/>
    <s v="VARGAS"/>
    <s v="MONTES"/>
    <n v="116500181"/>
    <x v="140"/>
    <s v="FEMENINA"/>
    <d v="1996-08-17T00:00:00"/>
    <n v="21.125256673511295"/>
    <m/>
    <m/>
    <m/>
    <m/>
    <s v="COSTA RICA"/>
    <m/>
    <m/>
    <m/>
    <m/>
    <m/>
    <m/>
    <m/>
    <m/>
    <m/>
    <m/>
    <m/>
    <m/>
    <m/>
    <m/>
    <m/>
    <s v="SI"/>
    <d v="2017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9"/>
    <n v="0.95277207392197127"/>
    <n v="7.939767282683094E-2"/>
  </r>
  <r>
    <x v="0"/>
    <m/>
    <m/>
    <s v="RIÑON"/>
    <x v="0"/>
    <m/>
    <m/>
    <m/>
    <n v="118.07824296499656"/>
    <m/>
    <s v="YOURI FERNANDO DE JESUS"/>
    <s v="VEGA"/>
    <s v="NUÑEZ"/>
    <n v="502240312"/>
    <x v="140"/>
    <s v="MASCULINO"/>
    <d v="1965-03-02T00:00:00"/>
    <n v="52.585900068446271"/>
    <m/>
    <m/>
    <m/>
    <m/>
    <s v="COSTA RICA"/>
    <s v="Cañas, 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51"/>
    <n v="93.667351129363453"/>
    <n v="7.8056125941136205"/>
  </r>
  <r>
    <x v="4"/>
    <m/>
    <m/>
    <s v="RIÑON"/>
    <x v="1"/>
    <m/>
    <m/>
    <m/>
    <n v="117.76043805612593"/>
    <s v="Relacionado"/>
    <m/>
    <m/>
    <m/>
    <n v="29404934"/>
    <x v="141"/>
    <m/>
    <m/>
    <n v="117.76043805612593"/>
    <m/>
    <m/>
    <s v="ERC ESTADÍO V"/>
    <m/>
    <m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49"/>
    <n v="93.601642710472277"/>
    <n v="7.8001368925393564"/>
  </r>
  <r>
    <x v="3"/>
    <s v="UP2103 - HOSPITAL NACIONAL DE NIÑOS"/>
    <m/>
    <s v="RIÑON"/>
    <x v="0"/>
    <m/>
    <m/>
    <m/>
    <n v="118.09196980096088"/>
    <m/>
    <s v="FARID JOSUE"/>
    <s v="MENDOZA"/>
    <s v="TORRES"/>
    <n v="118200518"/>
    <x v="142"/>
    <s v="MASCULINO"/>
    <d v="2001-08-14T00:00:00"/>
    <n v="16.147843942505133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46"/>
    <n v="93.503080082135526"/>
    <n v="7.7919233401779602"/>
  </r>
  <r>
    <x v="1"/>
    <m/>
    <m/>
    <s v="RIÑON"/>
    <x v="0"/>
    <m/>
    <m/>
    <m/>
    <n v="118.09196980096088"/>
    <m/>
    <s v="MINOR JULIO"/>
    <s v="RIVERA"/>
    <s v="AGUILAR"/>
    <n v="302180501"/>
    <x v="142"/>
    <s v="MASCULINO"/>
    <d v="1956-12-26T00:00:00"/>
    <n v="60.780287474332646"/>
    <m/>
    <m/>
    <m/>
    <m/>
    <s v="COSTA RICA"/>
    <m/>
    <m/>
    <m/>
    <m/>
    <m/>
    <m/>
    <m/>
    <m/>
    <m/>
    <m/>
    <m/>
    <m/>
    <m/>
    <m/>
    <m/>
    <s v="SI"/>
    <d v="2021-03-2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262"/>
    <n v="41.46201232032854"/>
    <n v="3.4551676933607118"/>
  </r>
  <r>
    <x v="2"/>
    <m/>
    <m/>
    <s v="RIÑÓN"/>
    <x v="0"/>
    <m/>
    <m/>
    <m/>
    <n v="117.77686516084873"/>
    <s v="N/A"/>
    <m/>
    <m/>
    <m/>
    <n v="303310236"/>
    <x v="143"/>
    <m/>
    <m/>
    <n v="117.77686516084873"/>
    <m/>
    <m/>
    <m/>
    <m/>
    <m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43"/>
    <n v="93.404517453798775"/>
    <n v="7.783709787816564"/>
  </r>
  <r>
    <x v="0"/>
    <m/>
    <m/>
    <s v="RIÑON"/>
    <x v="0"/>
    <m/>
    <m/>
    <m/>
    <n v="118.10295126973233"/>
    <m/>
    <s v="DEYVI ADOLFO"/>
    <s v="GAGO"/>
    <s v="MENDOZA"/>
    <n v="207030297"/>
    <x v="144"/>
    <s v="MASCULINO"/>
    <d v="1992-08-28T00:00:00"/>
    <n v="25.119780971937029"/>
    <m/>
    <m/>
    <m/>
    <m/>
    <s v="COSTA RICA"/>
    <s v="GUANACASTE"/>
    <s v="CARRILLO"/>
    <s v="FILADELF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42"/>
    <n v="93.371663244353186"/>
    <n v="7.7809719370294319"/>
  </r>
  <r>
    <x v="0"/>
    <m/>
    <m/>
    <s v="RIÑON"/>
    <x v="1"/>
    <m/>
    <m/>
    <m/>
    <n v="118.10295126973233"/>
    <s v="sobrino"/>
    <s v="LORENZO ALBERTO"/>
    <s v="GONZALEZ"/>
    <s v="CASTRO"/>
    <n v="501860858"/>
    <x v="144"/>
    <s v="MASCULINO"/>
    <d v="1960-06-19T00:00:00"/>
    <n v="57.311430527036279"/>
    <m/>
    <m/>
    <m/>
    <m/>
    <s v="COSTA RICA"/>
    <s v="GUANACASTE"/>
    <s v="BAGACES"/>
    <s v="CENTRO"/>
    <m/>
    <m/>
    <m/>
    <m/>
    <m/>
    <m/>
    <m/>
    <m/>
    <m/>
    <m/>
    <m/>
    <m/>
    <s v="SI"/>
    <d v="2020-04-0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910"/>
    <n v="29.897330595482547"/>
    <n v="2.4914442162902124"/>
  </r>
  <r>
    <x v="4"/>
    <m/>
    <m/>
    <s v="RIÑON"/>
    <x v="1"/>
    <m/>
    <m/>
    <m/>
    <n v="117.77960301163587"/>
    <s v="Relacionado"/>
    <s v="MARCOS VINICIO"/>
    <s v="QUIROS"/>
    <s v="MONTENEGRO"/>
    <n v="110320504"/>
    <x v="144"/>
    <m/>
    <m/>
    <n v="117.77960301163587"/>
    <m/>
    <m/>
    <s v="ERC ESTADÍO V"/>
    <m/>
    <s v="COSTA RICA"/>
    <s v="Cartago"/>
    <s v="LA UNION"/>
    <s v="TRES RIO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42"/>
    <n v="93.371663244353186"/>
    <n v="7.7809719370294319"/>
  </r>
  <r>
    <x v="2"/>
    <m/>
    <m/>
    <s v="RIÑÓN"/>
    <x v="0"/>
    <m/>
    <m/>
    <m/>
    <n v="117.7905544147844"/>
    <s v="N/A"/>
    <m/>
    <m/>
    <m/>
    <n v="304210042"/>
    <x v="145"/>
    <m/>
    <m/>
    <n v="117.7905544147844"/>
    <m/>
    <m/>
    <m/>
    <m/>
    <m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38"/>
    <n v="93.240246406570847"/>
    <n v="7.7700205338809036"/>
  </r>
  <r>
    <x v="4"/>
    <m/>
    <m/>
    <s v="RIÑON"/>
    <x v="1"/>
    <m/>
    <m/>
    <m/>
    <n v="117.81793292265571"/>
    <s v="Relacionado"/>
    <s v="RAFAEL"/>
    <s v="SARMIENTO"/>
    <s v="PERAZA"/>
    <n v="104460767"/>
    <x v="146"/>
    <m/>
    <m/>
    <n v="117.81793292265571"/>
    <m/>
    <m/>
    <s v="ERC ESTADÍO V"/>
    <m/>
    <s v="COSTA RICA"/>
    <s v="SAN JOSE"/>
    <s v="PURISCAL"/>
    <s v="DISTRITO ELECTORAL DESHABILITAD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28"/>
    <n v="92.911704312114992"/>
    <n v="7.7426420260095821"/>
  </r>
  <r>
    <x v="1"/>
    <m/>
    <m/>
    <s v="RIÑON"/>
    <x v="0"/>
    <m/>
    <m/>
    <m/>
    <n v="118.15511324639671"/>
    <m/>
    <s v="HECTOR WILLIAM"/>
    <s v="AGUERO"/>
    <s v="BARBOZA"/>
    <n v="113750866"/>
    <x v="147"/>
    <s v="MASCULINO"/>
    <d v="1988-12-30T00:00:00"/>
    <n v="28.832306639288159"/>
    <m/>
    <m/>
    <m/>
    <m/>
    <s v="COSTA RICA"/>
    <s v="SAN JOSE"/>
    <s v="CORONADO"/>
    <s v="CASCAJAL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23"/>
    <n v="92.747433264887064"/>
    <n v="7.7289527720739217"/>
  </r>
  <r>
    <x v="0"/>
    <m/>
    <m/>
    <s v="RIÑON"/>
    <x v="1"/>
    <m/>
    <m/>
    <m/>
    <n v="118.16060398078243"/>
    <s v="Hijo"/>
    <s v="ALLAN ADEMAR"/>
    <s v="ALVARADO"/>
    <s v="BEGNOZZI"/>
    <n v="107050341"/>
    <x v="148"/>
    <s v="MASCULINO"/>
    <d v="1967-07-29T00:00:00"/>
    <n v="50.261464750171115"/>
    <m/>
    <m/>
    <m/>
    <m/>
    <s v="COSTA RICA"/>
    <s v="Heredia"/>
    <s v="CENTRAL"/>
    <s v="SAN FRANCISC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21"/>
    <n v="92.681724845995888"/>
    <n v="7.7234770704996576"/>
  </r>
  <r>
    <x v="4"/>
    <m/>
    <m/>
    <s v="RIÑON"/>
    <x v="0"/>
    <m/>
    <m/>
    <m/>
    <n v="117.83709787816564"/>
    <s v="N/A"/>
    <s v="NELSON PORFIRIO DE LOS ANGELES"/>
    <s v="AMAYA"/>
    <s v="SOLORZANO"/>
    <n v="601340926"/>
    <x v="148"/>
    <m/>
    <m/>
    <n v="117.83709787816564"/>
    <m/>
    <m/>
    <s v="ERC ESTADÍO V"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21"/>
    <n v="92.681724845995888"/>
    <n v="7.7234770704996576"/>
  </r>
  <r>
    <x v="1"/>
    <m/>
    <m/>
    <s v="RIÑON"/>
    <x v="0"/>
    <m/>
    <m/>
    <m/>
    <n v="118.20452985586822"/>
    <m/>
    <s v="OSCAR GERARDO"/>
    <s v="JAUBERT"/>
    <s v="CALVO"/>
    <n v="104001332"/>
    <x v="149"/>
    <s v="MASCULINO"/>
    <d v="1951-10-19T00:00:00"/>
    <n v="66.080766598220393"/>
    <m/>
    <m/>
    <m/>
    <m/>
    <s v="COSTA RICA"/>
    <s v="SAN JOSE"/>
    <s v="DESAMPARADOS"/>
    <s v="DESAMPARADOS"/>
    <m/>
    <m/>
    <m/>
    <m/>
    <m/>
    <m/>
    <m/>
    <m/>
    <m/>
    <m/>
    <m/>
    <m/>
    <s v="SI"/>
    <d v="2018-08-2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85"/>
    <n v="9.3634496919917858"/>
    <n v="0.78028747433264889"/>
  </r>
  <r>
    <x v="0"/>
    <m/>
    <m/>
    <s v="RIÑON"/>
    <x v="0"/>
    <m/>
    <m/>
    <m/>
    <n v="118.20452985586822"/>
    <m/>
    <s v="LUIS ALEJANDRO"/>
    <s v="CARMONA"/>
    <s v="CAMPOS"/>
    <n v="108510711"/>
    <x v="149"/>
    <s v="MASCULINO"/>
    <d v="1973-05-08T00:00:00"/>
    <n v="44.528405201916499"/>
    <m/>
    <m/>
    <m/>
    <m/>
    <s v="COSTA RICA"/>
    <s v="Upala, 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805"/>
    <n v="92.156057494866531"/>
    <n v="7.6796714579055445"/>
  </r>
  <r>
    <x v="0"/>
    <m/>
    <m/>
    <s v="RIÑON"/>
    <x v="1"/>
    <m/>
    <m/>
    <m/>
    <n v="118.23747426218257"/>
    <s v="esposa"/>
    <s v="LUIS DANNY"/>
    <s v="TORRES"/>
    <s v="SOLIS"/>
    <n v="109570320"/>
    <x v="150"/>
    <s v="MASCULINO"/>
    <d v="1976-12-14T00:00:00"/>
    <n v="40.958247775496233"/>
    <m/>
    <m/>
    <m/>
    <m/>
    <s v="COSTA RICA"/>
    <s v="Heredia"/>
    <s v="SANTA BARBARA"/>
    <s v="SANTO DOMING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793"/>
    <n v="91.761806981519513"/>
    <n v="7.6468172484599588"/>
  </r>
  <r>
    <x v="4"/>
    <m/>
    <m/>
    <s v="RIÑON"/>
    <x v="1"/>
    <m/>
    <m/>
    <m/>
    <n v="117.95208761122518"/>
    <s v="Relacionado"/>
    <s v="JULIO CESAR"/>
    <s v="MORALES"/>
    <s v="NOINDICAOTRO"/>
    <n v="17519100"/>
    <x v="151"/>
    <m/>
    <m/>
    <n v="117.95208761122518"/>
    <m/>
    <m/>
    <s v="ERC ESTADÍO V"/>
    <m/>
    <s v="NICARAGU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779"/>
    <n v="91.301848049281318"/>
    <n v="7.6084873374401099"/>
  </r>
  <r>
    <x v="1"/>
    <s v="UP2101 - HOSPITAL RAFAEL A. CALDERÓN GUARDIA"/>
    <m/>
    <s v="Cardio/renal"/>
    <x v="0"/>
    <m/>
    <m/>
    <m/>
    <n v="118.33356211393274"/>
    <m/>
    <s v="RAFAEL ANGEL"/>
    <s v="ZUÑIGA"/>
    <s v="HERNANDEZ"/>
    <n v="104840658"/>
    <x v="152"/>
    <s v="MASCULINO"/>
    <d v="1958-02-26T00:00:00"/>
    <n v="59.852156057494867"/>
    <m/>
    <m/>
    <m/>
    <m/>
    <s v="COSTA RICA"/>
    <s v="SAN JOSE"/>
    <s v="DESAMPARADOS"/>
    <s v="SAN RAFAEL ARRIBA"/>
    <m/>
    <m/>
    <m/>
    <m/>
    <m/>
    <m/>
    <m/>
    <m/>
    <m/>
    <m/>
    <m/>
    <m/>
    <s v="SI"/>
    <d v="2018-05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31"/>
    <n v="4.3039014373716631"/>
    <n v="0.35865845311430528"/>
  </r>
  <r>
    <x v="0"/>
    <m/>
    <m/>
    <s v="RIÑON"/>
    <x v="0"/>
    <m/>
    <m/>
    <m/>
    <n v="118.33356211393274"/>
    <m/>
    <s v="MARIA INES"/>
    <s v="CORRALES"/>
    <s v="CHACON"/>
    <n v="203370368"/>
    <x v="152"/>
    <s v="FEMENINA"/>
    <d v="1958-12-15T00:00:00"/>
    <n v="59.052703627652292"/>
    <m/>
    <m/>
    <m/>
    <m/>
    <s v="COSTA RICA"/>
    <m/>
    <m/>
    <m/>
    <m/>
    <m/>
    <m/>
    <m/>
    <m/>
    <m/>
    <m/>
    <m/>
    <m/>
    <m/>
    <m/>
    <m/>
    <s v="SI"/>
    <d v="2018-02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51"/>
    <n v="1.675564681724846"/>
    <n v="0.13963039014373715"/>
  </r>
  <r>
    <x v="0"/>
    <m/>
    <m/>
    <s v="RIÑON"/>
    <x v="1"/>
    <m/>
    <m/>
    <m/>
    <n v="118.39121482498284"/>
    <m/>
    <s v="SERGIO"/>
    <s v="SOLIS"/>
    <s v="MORERA"/>
    <n v="401430796"/>
    <x v="153"/>
    <s v="MASCULINO"/>
    <d v="1967-05-12T00:00:00"/>
    <n v="50.704996577686515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737"/>
    <n v="89.921971252566735"/>
    <n v="7.4934976043805612"/>
  </r>
  <r>
    <x v="0"/>
    <m/>
    <m/>
    <s v="RIÑON"/>
    <x v="1"/>
    <m/>
    <m/>
    <m/>
    <n v="118.41043239533288"/>
    <m/>
    <s v="WILLIAM ENRIQUE"/>
    <s v="SCOTT"/>
    <s v="WRIGHT"/>
    <n v="105400439"/>
    <x v="154"/>
    <s v="MASCULINO"/>
    <d v="1960-08-11T00:00:00"/>
    <n v="57.472963723477072"/>
    <m/>
    <m/>
    <m/>
    <m/>
    <s v="COSTA RICA"/>
    <s v="SAN JOSE"/>
    <s v="CENTRAL"/>
    <s v="CARME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730"/>
    <n v="89.691991786447645"/>
    <n v="7.4743326488706368"/>
  </r>
  <r>
    <x v="4"/>
    <m/>
    <m/>
    <s v="RIÑON"/>
    <x v="1"/>
    <m/>
    <m/>
    <m/>
    <n v="118.08624229979466"/>
    <s v="Relacionado"/>
    <s v="LUIS HUMBERTO"/>
    <s v="SANCHEZ"/>
    <s v="HERRERA"/>
    <n v="116430961"/>
    <x v="154"/>
    <m/>
    <m/>
    <n v="118.08624229979466"/>
    <m/>
    <m/>
    <s v="ERC ESTADÍO V"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730"/>
    <n v="89.691991786447645"/>
    <n v="7.4743326488706368"/>
  </r>
  <r>
    <x v="0"/>
    <m/>
    <m/>
    <s v="RIÑON"/>
    <x v="1"/>
    <m/>
    <m/>
    <m/>
    <n v="118.42964996568291"/>
    <m/>
    <s v="RAMON"/>
    <s v="ROMERO"/>
    <s v="GUZMAN"/>
    <n v="900890662"/>
    <x v="155"/>
    <s v="MASCULINO"/>
    <d v="1970-09-05T00:00:00"/>
    <n v="47.42505133470226"/>
    <m/>
    <m/>
    <m/>
    <m/>
    <s v="COSTA RICA"/>
    <s v="GUANACASTE"/>
    <s v="LIBERIA"/>
    <s v="LIBERIA"/>
    <m/>
    <m/>
    <m/>
    <m/>
    <m/>
    <m/>
    <m/>
    <m/>
    <m/>
    <m/>
    <m/>
    <m/>
    <s v="SI"/>
    <d v="2018-03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32"/>
    <n v="1.0513347022587269"/>
    <n v="8.761122518822724E-2"/>
  </r>
  <r>
    <x v="1"/>
    <m/>
    <m/>
    <s v="RIÑON"/>
    <x v="0"/>
    <m/>
    <m/>
    <m/>
    <n v="118.44337680164722"/>
    <m/>
    <s v="LIDIETTE"/>
    <s v="ROJAS"/>
    <s v="PRADO"/>
    <n v="203220038"/>
    <x v="156"/>
    <s v="FEMENINA"/>
    <d v="1950-10-07T00:00:00"/>
    <n v="67.351129363449687"/>
    <m/>
    <m/>
    <m/>
    <m/>
    <s v="COSTA RICA"/>
    <m/>
    <m/>
    <m/>
    <m/>
    <m/>
    <m/>
    <m/>
    <m/>
    <m/>
    <m/>
    <m/>
    <m/>
    <m/>
    <m/>
    <m/>
    <s v="SI"/>
    <d v="2018-07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56"/>
    <n v="5.1252566735112932"/>
    <n v="0.4271047227926078"/>
  </r>
  <r>
    <x v="1"/>
    <m/>
    <m/>
    <s v="RIÑON"/>
    <x v="0"/>
    <m/>
    <m/>
    <m/>
    <n v="118.46533973919011"/>
    <m/>
    <s v="JUAN CARLOS"/>
    <s v="SEQUEIRA"/>
    <s v="TENORIO"/>
    <n v="107370074"/>
    <x v="157"/>
    <s v="MASCULINO"/>
    <d v="1968-11-14T00:00:00"/>
    <n v="49.267624914442166"/>
    <m/>
    <m/>
    <m/>
    <m/>
    <s v="COSTA RICA"/>
    <s v="SAN JOSE"/>
    <s v="CORONADO"/>
    <s v="SAN ISIDRO"/>
    <m/>
    <m/>
    <m/>
    <m/>
    <m/>
    <m/>
    <m/>
    <m/>
    <m/>
    <m/>
    <m/>
    <m/>
    <s v="SI"/>
    <d v="2020-12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031"/>
    <n v="33.872689938398359"/>
    <n v="2.8227241615331966"/>
  </r>
  <r>
    <x v="1"/>
    <m/>
    <m/>
    <s v="RIÑON"/>
    <x v="0"/>
    <m/>
    <m/>
    <m/>
    <n v="118.46533973919011"/>
    <m/>
    <s v="SHERAND CAROLINA"/>
    <s v="PETERKIN"/>
    <s v="BROWN"/>
    <n v="700960534"/>
    <x v="157"/>
    <s v="FEMENINA"/>
    <d v="1969-10-22T00:00:00"/>
    <n v="48.331279945242983"/>
    <m/>
    <m/>
    <m/>
    <m/>
    <s v="COSTA RICA"/>
    <s v="LIMON"/>
    <s v="CENTRAL"/>
    <s v="LIMO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710"/>
    <n v="89.034907597535934"/>
    <n v="7.4195756331279945"/>
  </r>
  <r>
    <x v="0"/>
    <m/>
    <m/>
    <s v="RIÑON"/>
    <x v="1"/>
    <m/>
    <m/>
    <m/>
    <n v="118.50652024708305"/>
    <m/>
    <s v="ALEXANDER"/>
    <s v="HERNANDEZ"/>
    <s v="MIRANDA"/>
    <n v="402040922"/>
    <x v="158"/>
    <s v="MASCULINO"/>
    <d v="1989-12-12T00:00:00"/>
    <n v="28.232717316906228"/>
    <m/>
    <m/>
    <m/>
    <m/>
    <s v="COSTA RICA"/>
    <m/>
    <m/>
    <m/>
    <m/>
    <m/>
    <m/>
    <m/>
    <m/>
    <m/>
    <m/>
    <m/>
    <m/>
    <m/>
    <m/>
    <m/>
    <s v="SI"/>
    <d v="2021-10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323"/>
    <n v="43.466119096509239"/>
    <n v="3.6221765913757702"/>
  </r>
  <r>
    <x v="1"/>
    <m/>
    <m/>
    <s v="RIÑON"/>
    <x v="0"/>
    <m/>
    <m/>
    <m/>
    <n v="118.52299245024022"/>
    <m/>
    <s v="OSCAR ARNOLDO JOSE"/>
    <s v="MENDEZ"/>
    <s v="NUÑEZ"/>
    <n v="106270004"/>
    <x v="159"/>
    <s v="MASCULINO"/>
    <d v="1964-04-15T00:00:00"/>
    <n v="53.908281998631075"/>
    <m/>
    <m/>
    <m/>
    <m/>
    <s v="COSTA RICA"/>
    <s v="Heredia"/>
    <s v="CENTRAL"/>
    <s v="ULLO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89"/>
    <n v="88.344969199178649"/>
    <n v="7.3620807665982202"/>
  </r>
  <r>
    <x v="1"/>
    <m/>
    <m/>
    <s v="RIÑON"/>
    <x v="0"/>
    <m/>
    <m/>
    <m/>
    <n v="118.52299245024022"/>
    <m/>
    <s v="HECTOR VINICIO"/>
    <s v="RAMIREZ"/>
    <s v="MUÑOZ"/>
    <n v="109160054"/>
    <x v="159"/>
    <s v="MASCULINO"/>
    <d v="1975-07-16T00:00:00"/>
    <n v="42.658453114305267"/>
    <m/>
    <m/>
    <m/>
    <m/>
    <s v="COSTA RICA"/>
    <s v="SAN JOSE"/>
    <s v="CURRIDABAT"/>
    <s v="CURRIDABAT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89"/>
    <n v="88.344969199178649"/>
    <n v="7.3620807665982202"/>
  </r>
  <r>
    <x v="1"/>
    <m/>
    <m/>
    <s v="RIÑON"/>
    <x v="0"/>
    <m/>
    <m/>
    <m/>
    <n v="118.53946465339739"/>
    <m/>
    <s v="JORGE EDUARDO"/>
    <s v="BONILLA"/>
    <s v="ALFARO"/>
    <n v="106930795"/>
    <x v="160"/>
    <s v="MASCULINO"/>
    <d v="1967-02-01T00:00:00"/>
    <n v="51.126625598904859"/>
    <m/>
    <m/>
    <m/>
    <m/>
    <s v="COSTA RICA"/>
    <s v="SAN JOSE"/>
    <s v="CENTRAL"/>
    <s v="PAVAS"/>
    <m/>
    <m/>
    <m/>
    <m/>
    <m/>
    <m/>
    <m/>
    <m/>
    <m/>
    <m/>
    <m/>
    <m/>
    <s v="SI"/>
    <d v="2018-04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35"/>
    <n v="1.1498973305954825"/>
    <n v="9.5824777549623541E-2"/>
  </r>
  <r>
    <x v="0"/>
    <m/>
    <m/>
    <s v="RIÑON"/>
    <x v="0"/>
    <m/>
    <m/>
    <m/>
    <n v="118.53946465339739"/>
    <m/>
    <s v="ROMY EUGENIA"/>
    <s v="REÑAZCO"/>
    <s v="MARTINEZ"/>
    <n v="108280496"/>
    <x v="160"/>
    <s v="FEMENINA"/>
    <d v="1972-06-20T00:00:00"/>
    <n v="45.744010951403148"/>
    <m/>
    <m/>
    <m/>
    <m/>
    <s v="COSTA RICA"/>
    <s v="SAN JOSE"/>
    <s v="MONTES DE OCA"/>
    <s v="SAN PEDR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83"/>
    <n v="88.147843942505133"/>
    <n v="7.3456536618754278"/>
  </r>
  <r>
    <x v="1"/>
    <m/>
    <m/>
    <s v="RIÑON"/>
    <x v="0"/>
    <m/>
    <m/>
    <m/>
    <n v="118.53946465339739"/>
    <m/>
    <s v="VALQUIRUTH"/>
    <s v="LAMPIN"/>
    <s v="SERRANO"/>
    <n v="2770101036"/>
    <x v="160"/>
    <s v="FEMENINA"/>
    <d v="1977-12-24T00:00:00"/>
    <n v="40.232717316906232"/>
    <m/>
    <m/>
    <m/>
    <m/>
    <s v="NICARAGUA"/>
    <m/>
    <m/>
    <m/>
    <m/>
    <m/>
    <m/>
    <m/>
    <m/>
    <m/>
    <m/>
    <m/>
    <m/>
    <m/>
    <m/>
    <m/>
    <s v="SI"/>
    <d v="2021-10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322"/>
    <n v="43.433264887063658"/>
    <n v="3.6194387405886381"/>
  </r>
  <r>
    <x v="2"/>
    <m/>
    <m/>
    <s v="RIÑÓN"/>
    <x v="0"/>
    <m/>
    <m/>
    <m/>
    <n v="118.21492128678987"/>
    <s v="N/A"/>
    <m/>
    <m/>
    <m/>
    <n v="112800798"/>
    <x v="160"/>
    <m/>
    <m/>
    <n v="118.21492128678987"/>
    <m/>
    <m/>
    <m/>
    <m/>
    <m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83"/>
    <n v="88.147843942505133"/>
    <n v="7.3456536618754278"/>
  </r>
  <r>
    <x v="4"/>
    <m/>
    <m/>
    <s v="RIÑON"/>
    <x v="0"/>
    <m/>
    <m/>
    <m/>
    <n v="118.2340862422998"/>
    <s v="N/A"/>
    <s v="LUIS"/>
    <s v="ROBLES"/>
    <s v="COLLADO"/>
    <n v="110060302"/>
    <x v="161"/>
    <m/>
    <m/>
    <n v="118.2340862422998"/>
    <m/>
    <m/>
    <s v="ERC ESTADÍO V"/>
    <m/>
    <s v="COSTA RICA"/>
    <m/>
    <m/>
    <m/>
    <m/>
    <m/>
    <m/>
    <m/>
    <m/>
    <m/>
    <m/>
    <m/>
    <m/>
    <m/>
    <m/>
    <m/>
    <s v="SI"/>
    <d v="2019-09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540"/>
    <n v="17.741273100616016"/>
    <n v="1.4784394250513346"/>
  </r>
  <r>
    <x v="0"/>
    <m/>
    <m/>
    <s v="RIÑON"/>
    <x v="1"/>
    <m/>
    <m/>
    <m/>
    <n v="118.58339052848318"/>
    <m/>
    <s v="MARICELA MAYELA"/>
    <s v="RODRIGUEZ"/>
    <s v="SEGURA"/>
    <n v="204960566"/>
    <x v="162"/>
    <s v="FEMENINA"/>
    <d v="1974-09-14T00:00:00"/>
    <n v="43.553730321697465"/>
    <m/>
    <m/>
    <m/>
    <m/>
    <s v="COSTA RICA"/>
    <s v="ALAJUELA"/>
    <s v="SAN CARLOS"/>
    <s v="CUTRI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67"/>
    <n v="87.622176591375776"/>
    <n v="7.3018480492813138"/>
  </r>
  <r>
    <x v="1"/>
    <m/>
    <m/>
    <s v="RIÑON"/>
    <x v="1"/>
    <m/>
    <m/>
    <m/>
    <n v="118.58339052848318"/>
    <m/>
    <s v="ADOLFO ENRIQUE"/>
    <s v="CORRALES"/>
    <s v="ARIAS"/>
    <n v="302050228"/>
    <x v="162"/>
    <s v="MASCULINO"/>
    <d v="1954-11-22T00:00:00"/>
    <n v="63.364818617385353"/>
    <m/>
    <m/>
    <m/>
    <m/>
    <s v="COSTA RICA"/>
    <s v="SAN JOSE"/>
    <s v="CENTRAL"/>
    <s v="SAN FRANCISCO DE DOS RIO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67"/>
    <n v="87.622176591375776"/>
    <n v="7.3018480492813138"/>
  </r>
  <r>
    <x v="1"/>
    <m/>
    <m/>
    <s v="RIÑON"/>
    <x v="0"/>
    <m/>
    <m/>
    <m/>
    <n v="118.63006177076184"/>
    <m/>
    <s v="DOLORES PATRICIA"/>
    <s v="ESQUIVEL"/>
    <s v="PADILLA"/>
    <n v="800660246"/>
    <x v="163"/>
    <s v="FEMENINA"/>
    <d v="1962-10-01T00:00:00"/>
    <n v="55.553730321697465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50"/>
    <n v="87.063655030800817"/>
    <n v="7.2553045859000687"/>
  </r>
  <r>
    <x v="2"/>
    <m/>
    <m/>
    <s v="RIÑÓN"/>
    <x v="0"/>
    <m/>
    <m/>
    <m/>
    <n v="118.30527036276523"/>
    <s v="N/A"/>
    <m/>
    <m/>
    <m/>
    <n v="302480309"/>
    <x v="163"/>
    <m/>
    <m/>
    <n v="118.30527036276523"/>
    <m/>
    <m/>
    <m/>
    <m/>
    <m/>
    <m/>
    <m/>
    <m/>
    <m/>
    <m/>
    <m/>
    <m/>
    <m/>
    <m/>
    <m/>
    <m/>
    <m/>
    <m/>
    <m/>
    <m/>
    <s v="SI"/>
    <d v="2018-12-2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51"/>
    <n v="8.2464065708418897"/>
    <n v="0.68720054757015747"/>
  </r>
  <r>
    <x v="1"/>
    <m/>
    <m/>
    <s v="RIÑON"/>
    <x v="0"/>
    <m/>
    <m/>
    <m/>
    <n v="118.64378860672615"/>
    <m/>
    <s v="JAIRO MAURICIO"/>
    <s v="JIMENEZ"/>
    <s v="SOLANO"/>
    <n v="115780592"/>
    <x v="164"/>
    <s v="MASCULINO"/>
    <d v="1994-08-10T00:00:00"/>
    <n v="23.709787816563999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45"/>
    <n v="86.899383983572889"/>
    <n v="7.2416153319644083"/>
  </r>
  <r>
    <x v="1"/>
    <m/>
    <m/>
    <s v="RIÑON"/>
    <x v="0"/>
    <m/>
    <m/>
    <m/>
    <n v="118.64927934111188"/>
    <m/>
    <s v="GISSELLE DE LOS ANGELES"/>
    <s v="GOMEZ"/>
    <s v="GOMEZ"/>
    <n v="109580277"/>
    <x v="165"/>
    <s v="FEMENINA"/>
    <d v="1976-12-14T00:00:00"/>
    <n v="41.368925393566052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43"/>
    <n v="86.833675564681727"/>
    <n v="7.2361396303901433"/>
  </r>
  <r>
    <x v="2"/>
    <m/>
    <m/>
    <s v="RIÑÓN"/>
    <x v="0"/>
    <m/>
    <m/>
    <m/>
    <n v="118.32443531827515"/>
    <s v="N/A"/>
    <m/>
    <m/>
    <m/>
    <n v="301800801"/>
    <x v="165"/>
    <m/>
    <m/>
    <n v="118.32443531827515"/>
    <m/>
    <m/>
    <m/>
    <m/>
    <m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43"/>
    <n v="86.833675564681727"/>
    <n v="7.2361396303901433"/>
  </r>
  <r>
    <x v="3"/>
    <s v="UP2103 - HOSPITAL NACIONAL DE NIÑOS"/>
    <m/>
    <s v="RIÑON"/>
    <x v="0"/>
    <m/>
    <m/>
    <m/>
    <n v="118.65477007549759"/>
    <m/>
    <s v="DANIEL ESTEBAN"/>
    <s v="SERRANO"/>
    <s v="ESPINOZA"/>
    <n v="117970284"/>
    <x v="166"/>
    <s v="MASCULINO"/>
    <d v="2000-12-19T00:00:00"/>
    <n v="17.360711841204655"/>
    <m/>
    <m/>
    <m/>
    <m/>
    <s v="COSTA RICA"/>
    <s v="SAN JOSE"/>
    <s v="GOICOECHEA"/>
    <s v="CALLE BLANCO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41"/>
    <n v="86.76796714579055"/>
    <n v="7.2306639288158792"/>
  </r>
  <r>
    <x v="0"/>
    <m/>
    <m/>
    <s v="RIÑON"/>
    <x v="0"/>
    <m/>
    <m/>
    <m/>
    <n v="118.65477007549759"/>
    <m/>
    <s v="NOE GERARDO DE JESUS"/>
    <s v="ROJAS"/>
    <s v="MIRANDA"/>
    <n v="401001453"/>
    <x v="166"/>
    <s v="MASCULINO"/>
    <d v="1951-06-28T00:00:00"/>
    <n v="66.839151266255996"/>
    <m/>
    <m/>
    <m/>
    <m/>
    <s v="COSTA RICA"/>
    <s v="SAN JOSE"/>
    <s v="CENTRAL"/>
    <s v="MERCED"/>
    <m/>
    <m/>
    <m/>
    <m/>
    <m/>
    <m/>
    <m/>
    <m/>
    <m/>
    <m/>
    <m/>
    <m/>
    <s v="SI"/>
    <d v="2021-12-1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328"/>
    <n v="43.630390143737166"/>
    <n v="3.6358658453114305"/>
  </r>
  <r>
    <x v="0"/>
    <m/>
    <m/>
    <s v="RIÑON"/>
    <x v="1"/>
    <m/>
    <m/>
    <m/>
    <n v="118.66026080988333"/>
    <m/>
    <s v="JEISON"/>
    <s v="ARGUEDAS"/>
    <s v="CASCANTE"/>
    <n v="112060113"/>
    <x v="167"/>
    <s v="MASCULINO"/>
    <d v="1984-04-19T00:00:00"/>
    <n v="34.034223134839152"/>
    <m/>
    <m/>
    <m/>
    <m/>
    <s v="COSTA RICA"/>
    <s v="PUNTARENAS"/>
    <s v="BUENOS AIRES"/>
    <s v="BUENOS AIRE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39"/>
    <n v="86.702258726899387"/>
    <n v="7.225188227241615"/>
  </r>
  <r>
    <x v="0"/>
    <m/>
    <m/>
    <s v="RIÑON"/>
    <x v="1"/>
    <m/>
    <m/>
    <m/>
    <n v="118.66026080988333"/>
    <m/>
    <s v="YARELYS FANNETH"/>
    <s v="ARGUEDAS"/>
    <s v="BEITA"/>
    <n v="603580405"/>
    <x v="167"/>
    <s v="FEMENINA"/>
    <d v="1986-09-16T00:00:00"/>
    <n v="31.6249144421629"/>
    <m/>
    <m/>
    <m/>
    <m/>
    <s v="COSTA RICA"/>
    <s v="Heredia"/>
    <s v="CENTRAL"/>
    <s v="ULLO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39"/>
    <n v="86.702258726899387"/>
    <n v="7.225188227241615"/>
  </r>
  <r>
    <x v="0"/>
    <m/>
    <m/>
    <s v="RIÑON"/>
    <x v="1"/>
    <m/>
    <m/>
    <m/>
    <n v="118.67947838023336"/>
    <m/>
    <s v="IVANNIA MARIA"/>
    <s v="GOMEZ"/>
    <s v="PORTUGUEZ"/>
    <n v="401480147"/>
    <x v="168"/>
    <s v="FEMENINA"/>
    <d v="1968-09-21T00:00:00"/>
    <n v="49.629021218343603"/>
    <m/>
    <m/>
    <m/>
    <m/>
    <s v="COSTA RICA"/>
    <s v="Heredia"/>
    <s v="SAN RAFAEL"/>
    <s v="SAN JOSECIT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32"/>
    <n v="86.472279260780283"/>
    <n v="7.2060232717316905"/>
  </r>
  <r>
    <x v="4"/>
    <m/>
    <m/>
    <s v="RIÑON"/>
    <x v="1"/>
    <m/>
    <m/>
    <m/>
    <n v="118.35455167693361"/>
    <s v="No Relacionado"/>
    <s v="OSCAR GERARDO"/>
    <s v="NARANJO"/>
    <s v="PORRAS"/>
    <n v="108250475"/>
    <x v="168"/>
    <m/>
    <m/>
    <n v="118.35455167693361"/>
    <m/>
    <m/>
    <s v="ERC ESTADÍO V"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32"/>
    <n v="86.472279260780283"/>
    <n v="7.2060232717316905"/>
  </r>
  <r>
    <x v="1"/>
    <m/>
    <m/>
    <s v="RIÑON"/>
    <x v="0"/>
    <m/>
    <m/>
    <m/>
    <n v="118.68771448181194"/>
    <m/>
    <s v="RAFAEL ANGEL"/>
    <s v="ZUÑIGA"/>
    <s v="HERNANDEZ"/>
    <n v="104840658"/>
    <x v="169"/>
    <s v="MASCULINO"/>
    <d v="1958-02-26T00:00:00"/>
    <n v="60.205338809034906"/>
    <m/>
    <m/>
    <m/>
    <m/>
    <s v="COSTA RICA"/>
    <s v="SAN JOSE"/>
    <s v="DESAMPARADOS"/>
    <s v="SAN RAFAEL ARRIBA"/>
    <m/>
    <m/>
    <m/>
    <m/>
    <m/>
    <m/>
    <m/>
    <m/>
    <m/>
    <m/>
    <m/>
    <m/>
    <s v="SI"/>
    <d v="2018-05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"/>
    <n v="6.5708418891170434E-2"/>
    <n v="5.4757015742642025E-3"/>
  </r>
  <r>
    <x v="2"/>
    <m/>
    <m/>
    <s v="RIÑÓN"/>
    <x v="0"/>
    <m/>
    <m/>
    <m/>
    <n v="118.36276522929501"/>
    <s v="N/A"/>
    <m/>
    <m/>
    <m/>
    <n v="301690868"/>
    <x v="169"/>
    <m/>
    <m/>
    <n v="118.36276522929501"/>
    <m/>
    <m/>
    <m/>
    <m/>
    <m/>
    <m/>
    <m/>
    <m/>
    <m/>
    <m/>
    <m/>
    <m/>
    <m/>
    <m/>
    <m/>
    <m/>
    <m/>
    <m/>
    <m/>
    <m/>
    <s v="SI"/>
    <d v="2018-05-1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"/>
    <n v="3.2854209445585217E-2"/>
    <n v="2.7378507871321013E-3"/>
  </r>
  <r>
    <x v="1"/>
    <m/>
    <m/>
    <s v="RIÑON"/>
    <x v="0"/>
    <m/>
    <m/>
    <m/>
    <n v="118.69045984900481"/>
    <m/>
    <s v="MASIEL VANESSA"/>
    <s v="SALVATIERRA"/>
    <s v="CAMBRONERO"/>
    <n v="303820117"/>
    <x v="170"/>
    <s v="FEMENINA"/>
    <d v="1982-05-18T00:00:00"/>
    <n v="35.986310746064341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28"/>
    <n v="86.340862422997944"/>
    <n v="7.1950718685831623"/>
  </r>
  <r>
    <x v="1"/>
    <m/>
    <m/>
    <s v="RIÑON"/>
    <x v="0"/>
    <m/>
    <m/>
    <m/>
    <n v="118.69045984900481"/>
    <m/>
    <s v="JENNY CAROLINA"/>
    <s v="CASTILLO"/>
    <s v="GUTIERREZ"/>
    <n v="901200446"/>
    <x v="170"/>
    <s v="FEMENINA"/>
    <d v="1982-10-15T00:00:00"/>
    <n v="35.575633127994521"/>
    <m/>
    <m/>
    <m/>
    <m/>
    <s v="COSTA RICA"/>
    <s v="LIMON"/>
    <s v="POCOCI"/>
    <s v="LA COLON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28"/>
    <n v="86.340862422997944"/>
    <n v="7.1950718685831623"/>
  </r>
  <r>
    <x v="0"/>
    <m/>
    <m/>
    <s v="RIÑON"/>
    <x v="1"/>
    <m/>
    <m/>
    <m/>
    <n v="118.69869595058339"/>
    <m/>
    <s v="NORMAN"/>
    <s v="ZUÑIGA"/>
    <s v="ALFARO"/>
    <n v="202921392"/>
    <x v="171"/>
    <s v="MASCULINO"/>
    <d v="1954-01-04T00:00:00"/>
    <n v="64.361396303901444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25"/>
    <n v="86.242299794661193"/>
    <n v="7.1868583162217661"/>
  </r>
  <r>
    <x v="1"/>
    <m/>
    <m/>
    <s v="RIÑON"/>
    <x v="0"/>
    <m/>
    <m/>
    <m/>
    <n v="118.70693205216197"/>
    <m/>
    <s v="RICARDO DE JESUS"/>
    <s v="MONGE"/>
    <s v="BOZA"/>
    <n v="106940846"/>
    <x v="172"/>
    <s v="MASCULINO"/>
    <d v="1967-03-13T00:00:00"/>
    <n v="51.184120465434631"/>
    <m/>
    <m/>
    <m/>
    <m/>
    <s v="COSTA RICA"/>
    <s v="SAN JOSE"/>
    <s v="CURRIDABAT"/>
    <s v="TIRRASES"/>
    <m/>
    <m/>
    <m/>
    <m/>
    <m/>
    <m/>
    <m/>
    <m/>
    <m/>
    <m/>
    <m/>
    <m/>
    <s v="SI"/>
    <d v="2019-12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579"/>
    <n v="19.022587268993838"/>
    <n v="1.5852156057494866"/>
  </r>
  <r>
    <x v="2"/>
    <m/>
    <m/>
    <s v="RIÑÓN"/>
    <x v="0"/>
    <m/>
    <m/>
    <m/>
    <n v="118.39561943874058"/>
    <s v="N/A"/>
    <m/>
    <m/>
    <m/>
    <n v="302980888"/>
    <x v="173"/>
    <m/>
    <m/>
    <n v="118.39561943874058"/>
    <m/>
    <m/>
    <m/>
    <m/>
    <m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17"/>
    <n v="85.979466119096514"/>
    <n v="7.1649555099247095"/>
  </r>
  <r>
    <x v="1"/>
    <m/>
    <m/>
    <s v="RIÑON"/>
    <x v="0"/>
    <m/>
    <m/>
    <m/>
    <n v="118.72340425531915"/>
    <m/>
    <s v="MARLENE MILADIZ"/>
    <s v="ALVAREZ"/>
    <s v="ALVAREZ"/>
    <n v="501870673"/>
    <x v="174"/>
    <s v="FEMENINA"/>
    <d v="1960-06-26T00:00:00"/>
    <n v="57.91101984941821"/>
    <m/>
    <m/>
    <m/>
    <m/>
    <s v="COSTA RICA"/>
    <s v="GUANACASTE"/>
    <s v="LA CRUZ"/>
    <s v="LA GARITA"/>
    <m/>
    <m/>
    <m/>
    <m/>
    <m/>
    <m/>
    <m/>
    <m/>
    <m/>
    <m/>
    <m/>
    <m/>
    <s v="SI"/>
    <d v="2018-09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09"/>
    <n v="3.5811088295687883"/>
    <n v="0.29842573579739906"/>
  </r>
  <r>
    <x v="0"/>
    <m/>
    <m/>
    <s v="RIÑON"/>
    <x v="0"/>
    <m/>
    <m/>
    <m/>
    <n v="118.74262182566919"/>
    <m/>
    <s v="RAMON ANTONIO"/>
    <s v="LOBO"/>
    <s v="RAMIREZ"/>
    <n v="202630535"/>
    <x v="175"/>
    <s v="MASCULINO"/>
    <d v="1949-03-23T00:00:00"/>
    <n v="69.190965092402465"/>
    <m/>
    <m/>
    <m/>
    <m/>
    <s v="COSTA RICA"/>
    <s v="ALAJUELA"/>
    <s v="SAN RAMON"/>
    <s v="DISTRITO ELECTORAL DESHABILITAD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609"/>
    <n v="85.716632443531822"/>
    <n v="7.1430527036276521"/>
  </r>
  <r>
    <x v="4"/>
    <m/>
    <m/>
    <s v="RIÑON"/>
    <x v="0"/>
    <m/>
    <m/>
    <m/>
    <n v="118.43121149897331"/>
    <s v="N/A"/>
    <s v="DANIEL"/>
    <s v="MENDEZ"/>
    <s v="FENNELL"/>
    <n v="109980499"/>
    <x v="176"/>
    <m/>
    <m/>
    <n v="118.43121149897331"/>
    <m/>
    <m/>
    <s v="ERC ESTADÍO V"/>
    <m/>
    <s v="COSTA RICA"/>
    <s v="SAN JOSE"/>
    <s v="CENTRAL"/>
    <s v="PAVAS"/>
    <m/>
    <m/>
    <m/>
    <m/>
    <m/>
    <m/>
    <m/>
    <m/>
    <m/>
    <m/>
    <m/>
    <m/>
    <s v="SI"/>
    <d v="2018-06-1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7"/>
    <n v="0.2299794661190965"/>
    <n v="1.9164955509924708E-2"/>
  </r>
  <r>
    <x v="3"/>
    <s v="UP2103 - HOSPITAL NACIONAL DE NIÑOS"/>
    <m/>
    <s v="RIÑON"/>
    <x v="1"/>
    <m/>
    <m/>
    <m/>
    <n v="118.77282086479066"/>
    <m/>
    <s v="LUCIANA"/>
    <s v="PUSCHENDORF"/>
    <s v="QUESADA"/>
    <n v="120260889"/>
    <x v="177"/>
    <s v="FEMENINA"/>
    <d v="2008-06-09T00:00:00"/>
    <n v="10.00684462696783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598"/>
    <n v="85.355236139630392"/>
    <n v="7.1129363449691994"/>
  </r>
  <r>
    <x v="0"/>
    <m/>
    <m/>
    <s v="RIÑON"/>
    <x v="1"/>
    <m/>
    <m/>
    <m/>
    <n v="118.77556623198353"/>
    <m/>
    <s v="MARTIN ANTONIO"/>
    <s v="MORALES"/>
    <s v="OLIVARES"/>
    <n v="15820759"/>
    <x v="178"/>
    <s v="MASCULINO"/>
    <d v="1958-11-12T00:00:00"/>
    <n v="59.583846680355919"/>
    <m/>
    <m/>
    <m/>
    <m/>
    <s v="NICARAGU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597"/>
    <n v="85.322381930184804"/>
    <n v="7.1101984941820673"/>
  </r>
  <r>
    <x v="0"/>
    <m/>
    <m/>
    <s v="RIÑON"/>
    <x v="1"/>
    <m/>
    <m/>
    <m/>
    <n v="118.77556623198353"/>
    <m/>
    <s v="GLORIA MAGNA"/>
    <s v="MORALES"/>
    <s v="CHAVARRIA"/>
    <n v="28580762"/>
    <x v="178"/>
    <s v="FEMENINA"/>
    <d v="1985-10-28T00:00:00"/>
    <n v="32.624229979466122"/>
    <m/>
    <m/>
    <m/>
    <m/>
    <s v="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597"/>
    <n v="85.322381930184804"/>
    <n v="7.1101984941820673"/>
  </r>
  <r>
    <x v="4"/>
    <m/>
    <m/>
    <s v="RIÑON"/>
    <x v="1"/>
    <m/>
    <m/>
    <m/>
    <n v="118.46954140999316"/>
    <s v="Relacionado"/>
    <s v="GERMAN ALEJANDRO"/>
    <s v="MEZA"/>
    <s v="MEZA"/>
    <n v="109730280"/>
    <x v="179"/>
    <m/>
    <m/>
    <n v="118.46954140999316"/>
    <m/>
    <m/>
    <s v="ERC ESTADÍO V"/>
    <m/>
    <s v="COSTA RICA"/>
    <s v="SAN JOSE"/>
    <s v="DESAMPARADOS"/>
    <s v="DESAMPARADO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590"/>
    <n v="85.092402464065714"/>
    <n v="7.0910335386721428"/>
  </r>
  <r>
    <x v="2"/>
    <m/>
    <m/>
    <s v="RIÑÓN"/>
    <x v="0"/>
    <m/>
    <m/>
    <m/>
    <n v="118.50513347022587"/>
    <s v="N/A"/>
    <m/>
    <m/>
    <m/>
    <n v="104370480"/>
    <x v="180"/>
    <m/>
    <m/>
    <n v="118.50513347022587"/>
    <m/>
    <m/>
    <m/>
    <m/>
    <m/>
    <m/>
    <m/>
    <m/>
    <m/>
    <m/>
    <m/>
    <m/>
    <m/>
    <m/>
    <m/>
    <m/>
    <m/>
    <m/>
    <m/>
    <m/>
    <s v="SI"/>
    <d v="2018-11-0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26"/>
    <n v="4.1396303901437372"/>
    <n v="0.34496919917864477"/>
  </r>
  <r>
    <x v="0"/>
    <m/>
    <m/>
    <s v="RIÑON"/>
    <x v="1"/>
    <m/>
    <m/>
    <m/>
    <n v="118.85243651338367"/>
    <m/>
    <s v="JAIRO MAURICIO"/>
    <s v="DELGADO"/>
    <s v="CORDERO"/>
    <n v="701080646"/>
    <x v="181"/>
    <s v="MASCULINO"/>
    <d v="1973-12-09T00:00:00"/>
    <n v="44.585900068446271"/>
    <m/>
    <m/>
    <m/>
    <m/>
    <s v="COSTA RICA"/>
    <s v="SAN JOSE"/>
    <s v="CURRIDABAT"/>
    <s v="CURRIDABAT"/>
    <m/>
    <m/>
    <m/>
    <m/>
    <m/>
    <m/>
    <m/>
    <m/>
    <m/>
    <m/>
    <m/>
    <m/>
    <s v="SI"/>
    <d v="2018-07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0"/>
    <n v="0"/>
    <n v="0"/>
  </r>
  <r>
    <x v="2"/>
    <m/>
    <m/>
    <s v="RIÑÓN"/>
    <x v="0"/>
    <m/>
    <m/>
    <m/>
    <n v="118.56262833675565"/>
    <s v="N/A"/>
    <m/>
    <m/>
    <m/>
    <n v="106440659"/>
    <x v="182"/>
    <m/>
    <m/>
    <n v="118.56262833675565"/>
    <m/>
    <m/>
    <m/>
    <m/>
    <m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556"/>
    <n v="83.975359342915809"/>
    <n v="6.9979466119096507"/>
  </r>
  <r>
    <x v="2"/>
    <m/>
    <m/>
    <s v="RIÑÓN"/>
    <x v="0"/>
    <m/>
    <m/>
    <m/>
    <n v="118.56536618754278"/>
    <s v="N/A"/>
    <m/>
    <m/>
    <m/>
    <n v="302760776"/>
    <x v="183"/>
    <m/>
    <m/>
    <n v="118.56536618754278"/>
    <m/>
    <m/>
    <m/>
    <m/>
    <m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555"/>
    <n v="83.94250513347022"/>
    <n v="6.9952087611225187"/>
  </r>
  <r>
    <x v="0"/>
    <m/>
    <m/>
    <s v="RIÑON"/>
    <x v="1"/>
    <m/>
    <m/>
    <m/>
    <n v="118.91008922443376"/>
    <m/>
    <s v="NYDIA MARITZA"/>
    <s v="FERNANDEZ"/>
    <s v="CASTILLO"/>
    <n v="204100170"/>
    <x v="184"/>
    <s v="FEMENINA"/>
    <d v="1965-09-18T00:00:00"/>
    <n v="52.867898699520879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548"/>
    <n v="83.71252566735113"/>
    <n v="6.9760438056125942"/>
  </r>
  <r>
    <x v="0"/>
    <m/>
    <m/>
    <s v="RIÑON"/>
    <x v="1"/>
    <m/>
    <m/>
    <m/>
    <n v="118.9293067947838"/>
    <m/>
    <s v="KAREN VANESSA"/>
    <s v="PANIAGUA"/>
    <s v="SALAZAR"/>
    <n v="503720566"/>
    <x v="185"/>
    <s v="FEMENINA"/>
    <d v="1989-10-25T00:00:00"/>
    <n v="28.785763175906911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541"/>
    <n v="83.482546201232026"/>
    <n v="6.9568788501026697"/>
  </r>
  <r>
    <x v="4"/>
    <m/>
    <m/>
    <s v="RIÑON"/>
    <x v="1"/>
    <m/>
    <m/>
    <m/>
    <n v="118.60369609856262"/>
    <s v="Relacionado"/>
    <s v="RONALD DE LOS ANGELES"/>
    <s v="OTAROLA"/>
    <s v="MARIN"/>
    <n v="108680104"/>
    <x v="185"/>
    <m/>
    <m/>
    <n v="118.60369609856262"/>
    <m/>
    <m/>
    <s v="ERC ESTADÍO V"/>
    <m/>
    <s v="COSTA RICA"/>
    <s v="SAN JOSE"/>
    <s v="PURISCAL"/>
    <s v="SAN RAFAEL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541"/>
    <n v="83.482546201232026"/>
    <n v="6.9568788501026697"/>
  </r>
  <r>
    <x v="0"/>
    <m/>
    <m/>
    <s v="RIÑON"/>
    <x v="0"/>
    <m/>
    <m/>
    <m/>
    <n v="118.93205216197667"/>
    <m/>
    <s v="SERGIO"/>
    <s v="LOPEZ"/>
    <s v="LOPEZ"/>
    <n v="503370790"/>
    <x v="186"/>
    <s v="MASCULINO"/>
    <d v="1983-12-05T00:00:00"/>
    <n v="34.677618069815196"/>
    <m/>
    <m/>
    <m/>
    <m/>
    <s v="COSTA RICA"/>
    <s v="GUANACASTE"/>
    <s v="LIBERIA"/>
    <s v="NACASCOLO"/>
    <m/>
    <m/>
    <m/>
    <m/>
    <m/>
    <m/>
    <m/>
    <m/>
    <m/>
    <m/>
    <m/>
    <m/>
    <s v="SI"/>
    <d v="2021-06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047"/>
    <n v="34.398357289527723"/>
    <n v="2.8665297741273101"/>
  </r>
  <r>
    <x v="1"/>
    <m/>
    <m/>
    <s v="RIÑON"/>
    <x v="0"/>
    <m/>
    <m/>
    <m/>
    <n v="118.93205216197667"/>
    <m/>
    <s v="LUIS ANTONIO"/>
    <s v="LOPEZ"/>
    <s v="ACUÑA"/>
    <n v="800790175"/>
    <x v="186"/>
    <s v="MASCULINO"/>
    <d v="1963-10-28T00:00:00"/>
    <n v="54.781656399726216"/>
    <m/>
    <m/>
    <m/>
    <m/>
    <s v="COSTA RICA"/>
    <s v="ALAJUELA"/>
    <s v="CENTRAL"/>
    <s v="GARITA"/>
    <m/>
    <m/>
    <m/>
    <m/>
    <m/>
    <m/>
    <m/>
    <m/>
    <m/>
    <m/>
    <m/>
    <m/>
    <s v="SI"/>
    <d v="2018-08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"/>
    <n v="6.5708418891170434E-2"/>
    <n v="5.4757015742642025E-3"/>
  </r>
  <r>
    <x v="4"/>
    <m/>
    <m/>
    <s v="RIÑON"/>
    <x v="0"/>
    <m/>
    <m/>
    <m/>
    <n v="118.63928815879535"/>
    <s v="N/A"/>
    <s v="JORGE ADALBERTO"/>
    <s v="BOLIVAR"/>
    <s v="BOLIVAR"/>
    <n v="501720497"/>
    <x v="187"/>
    <m/>
    <m/>
    <n v="118.63928815879535"/>
    <m/>
    <m/>
    <s v="ERC ESTADÍO V"/>
    <m/>
    <s v="COSTA RICA"/>
    <s v="SAN JOSE"/>
    <s v="CENTRAL"/>
    <s v="HOSPITAL"/>
    <m/>
    <m/>
    <m/>
    <m/>
    <m/>
    <m/>
    <m/>
    <m/>
    <m/>
    <m/>
    <m/>
    <m/>
    <s v="SI"/>
    <d v="2020-07-2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704"/>
    <n v="23.129363449691994"/>
    <n v="1.9274469541409993"/>
  </r>
  <r>
    <x v="0"/>
    <m/>
    <m/>
    <s v="RIÑON"/>
    <x v="1"/>
    <m/>
    <m/>
    <m/>
    <n v="118.96774193548387"/>
    <m/>
    <s v="RAFAEL ANGEL"/>
    <s v="ARROYO"/>
    <s v="AGUILAR"/>
    <n v="205100886"/>
    <x v="188"/>
    <s v="MASCULINO"/>
    <d v="1976-05-19T00:00:00"/>
    <n v="42.258726899383987"/>
    <m/>
    <m/>
    <m/>
    <m/>
    <s v="COSTA RICA"/>
    <s v="ALAJUELA"/>
    <s v="CENTRAL"/>
    <s v="TURRUCARE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527"/>
    <n v="83.022587268993846"/>
    <n v="6.9185489390828199"/>
  </r>
  <r>
    <x v="0"/>
    <m/>
    <m/>
    <s v="RIÑON"/>
    <x v="1"/>
    <m/>
    <m/>
    <m/>
    <n v="119.12148249828415"/>
    <m/>
    <s v="JONATHAN"/>
    <s v="RODRIGUEZ"/>
    <s v="ALVARADO"/>
    <n v="206860934"/>
    <x v="189"/>
    <s v="MASCULINO"/>
    <d v="1991-05-22T00:00:00"/>
    <n v="27.405886379192335"/>
    <m/>
    <m/>
    <m/>
    <m/>
    <s v="COSTA RICA"/>
    <s v="ALAJUELA"/>
    <s v="SAN CARLOS"/>
    <s v="PITAL 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471"/>
    <n v="81.182751540041068"/>
    <n v="6.7652292950034223"/>
  </r>
  <r>
    <x v="0"/>
    <m/>
    <m/>
    <s v="RIÑON"/>
    <x v="1"/>
    <m/>
    <m/>
    <m/>
    <n v="119.14070006863417"/>
    <m/>
    <s v="LUIS ANTONIO"/>
    <s v="MARTINEZ"/>
    <s v="LOPEZ"/>
    <n v="106850441"/>
    <x v="190"/>
    <s v="MASCULINO"/>
    <d v="1966-09-15T00:00:00"/>
    <n v="52.106776180698155"/>
    <m/>
    <m/>
    <m/>
    <m/>
    <s v="COSTA RICA"/>
    <s v="Heredia"/>
    <s v="SAN RAFAEL"/>
    <s v="SAN JOSECITO"/>
    <m/>
    <m/>
    <m/>
    <m/>
    <m/>
    <m/>
    <m/>
    <m/>
    <m/>
    <m/>
    <m/>
    <m/>
    <s v="SI"/>
    <d v="2020-08-2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671"/>
    <n v="22.04517453798768"/>
    <n v="1.83709787816564"/>
  </r>
  <r>
    <x v="4"/>
    <m/>
    <m/>
    <s v="RIÑON"/>
    <x v="1"/>
    <m/>
    <m/>
    <m/>
    <n v="118.8145106091718"/>
    <s v="Relacionado"/>
    <s v="AVELINO"/>
    <s v="AGUILAR"/>
    <s v="JIMENEZ"/>
    <n v="602480139"/>
    <x v="190"/>
    <m/>
    <m/>
    <n v="118.8145106091718"/>
    <m/>
    <m/>
    <s v="ERC ESTADÍO V"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464"/>
    <n v="80.952772073921977"/>
    <n v="6.7460643394934978"/>
  </r>
  <r>
    <x v="0"/>
    <m/>
    <m/>
    <s v="RIÑON"/>
    <x v="1"/>
    <m/>
    <m/>
    <m/>
    <n v="119.15442690459849"/>
    <m/>
    <s v="MANUEL ANTONIO"/>
    <s v="SANCHEZ"/>
    <s v="TELLEZ"/>
    <n v="16459096"/>
    <x v="191"/>
    <s v="MASCULINO"/>
    <d v="1964-07-13T00:00:00"/>
    <n v="54.294318959616703"/>
    <m/>
    <m/>
    <m/>
    <m/>
    <s v="NO ESPECIFICADO"/>
    <s v="GUANACASTE"/>
    <s v="LIBERIA"/>
    <s v="LIBER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459"/>
    <n v="80.78850102669405"/>
    <n v="6.7323750855578375"/>
  </r>
  <r>
    <x v="3"/>
    <s v="UP2103 - HOSPITAL NACIONAL DE NIÑOS"/>
    <m/>
    <s v="RIÑON"/>
    <x v="1"/>
    <m/>
    <m/>
    <m/>
    <n v="119.15717227179135"/>
    <m/>
    <s v="RAFAEL JESUS"/>
    <s v="COTO"/>
    <s v="SERRANO"/>
    <n v="305590364"/>
    <x v="192"/>
    <s v="MASCULINO"/>
    <d v="2005-06-22T00:00:00"/>
    <n v="13.35523613963039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458"/>
    <n v="80.755646817248461"/>
    <n v="6.7296372347707054"/>
  </r>
  <r>
    <x v="0"/>
    <m/>
    <m/>
    <s v="RIÑON"/>
    <x v="1"/>
    <m/>
    <m/>
    <m/>
    <n v="119.17913520933425"/>
    <m/>
    <s v="REMBERTO NAPOLEON"/>
    <s v="DIAZ"/>
    <s v="JOVEL"/>
    <n v="1780104594"/>
    <x v="193"/>
    <s v="MASCULINO"/>
    <d v="1978-01-07T00:00:00"/>
    <n v="40.832306639288156"/>
    <m/>
    <m/>
    <m/>
    <m/>
    <s v="EL SALVADOR"/>
    <s v="Heredia"/>
    <s v="CENTRAL"/>
    <s v="SAN FRANCISC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450"/>
    <n v="80.492813141683783"/>
    <n v="6.707734428473648"/>
  </r>
  <r>
    <x v="0"/>
    <m/>
    <m/>
    <s v="RIÑON"/>
    <x v="1"/>
    <m/>
    <m/>
    <m/>
    <n v="119.21757035003432"/>
    <m/>
    <s v="ELIZABETH"/>
    <s v="MENDEZ"/>
    <s v="MENDEZ"/>
    <n v="202810334"/>
    <x v="194"/>
    <s v="FEMENINA"/>
    <d v="1951-12-21T00:00:00"/>
    <n v="66.918548939082825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436"/>
    <n v="80.032854209445588"/>
    <n v="6.669404517453799"/>
  </r>
  <r>
    <x v="4"/>
    <m/>
    <m/>
    <s v="RIÑON"/>
    <x v="1"/>
    <m/>
    <m/>
    <m/>
    <n v="118.89117043121149"/>
    <s v="Relacionado"/>
    <s v="RODOLFO FRANCISCO DE"/>
    <s v="WATTSON"/>
    <s v="GOMEZ"/>
    <n v="302900157"/>
    <x v="194"/>
    <m/>
    <m/>
    <n v="118.89117043121149"/>
    <m/>
    <m/>
    <s v="ERC ESTADÍO V"/>
    <m/>
    <s v="COSTA RICA"/>
    <s v="SAN JOSE"/>
    <s v="CURRIDABAT"/>
    <s v="CURRIDABAT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436"/>
    <n v="80.032854209445588"/>
    <n v="6.669404517453799"/>
  </r>
  <r>
    <x v="1"/>
    <m/>
    <m/>
    <s v="RIÑON"/>
    <x v="0"/>
    <m/>
    <m/>
    <m/>
    <n v="119.2697323266987"/>
    <m/>
    <s v="YULEISY"/>
    <s v="GUEVARA"/>
    <s v="ALFARO"/>
    <n v="702230270"/>
    <x v="195"/>
    <s v="FEMENINA"/>
    <d v="1993-10-05T00:00:00"/>
    <n v="25.180013689253936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417"/>
    <n v="79.408624229979466"/>
    <n v="6.6173853524982889"/>
  </r>
  <r>
    <x v="2"/>
    <m/>
    <m/>
    <s v="RIÑÓN"/>
    <x v="0"/>
    <m/>
    <m/>
    <m/>
    <n v="118.943189596167"/>
    <s v="N/A"/>
    <m/>
    <m/>
    <m/>
    <n v="118390817"/>
    <x v="195"/>
    <m/>
    <m/>
    <n v="118.943189596167"/>
    <m/>
    <m/>
    <m/>
    <m/>
    <m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417"/>
    <n v="79.408624229979466"/>
    <n v="6.6173853524982889"/>
  </r>
  <r>
    <x v="1"/>
    <m/>
    <m/>
    <s v="RIÑON"/>
    <x v="0"/>
    <m/>
    <m/>
    <m/>
    <n v="119.28620452985587"/>
    <m/>
    <s v="MARIA GISELLE"/>
    <s v="BLANCO"/>
    <s v="VIQUEZ"/>
    <n v="107390112"/>
    <x v="196"/>
    <s v="FEMENINA"/>
    <d v="1968-12-17T00:00:00"/>
    <n v="49.995893223819301"/>
    <m/>
    <m/>
    <m/>
    <m/>
    <s v="COSTA RICA"/>
    <m/>
    <m/>
    <m/>
    <m/>
    <m/>
    <m/>
    <m/>
    <m/>
    <m/>
    <m/>
    <m/>
    <m/>
    <m/>
    <m/>
    <m/>
    <s v="SI"/>
    <d v="2019-01-1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5"/>
    <n v="0.82135523613963035"/>
    <n v="6.8446269678302529E-2"/>
  </r>
  <r>
    <x v="1"/>
    <m/>
    <m/>
    <s v="RIÑON"/>
    <x v="0"/>
    <m/>
    <m/>
    <m/>
    <n v="119.28620452985587"/>
    <m/>
    <s v="FRANDER ALBERTO"/>
    <s v="ZAMORA"/>
    <s v="VEGA"/>
    <n v="305250386"/>
    <x v="196"/>
    <s v="MASCULINO"/>
    <d v="2000-05-10T00:00:00"/>
    <n v="18.600958247775495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411"/>
    <n v="79.21149897330595"/>
    <n v="6.6009582477754964"/>
  </r>
  <r>
    <x v="3"/>
    <s v="UP2103 - HOSPITAL NACIONAL DE NIÑOS"/>
    <m/>
    <s v="RIÑON"/>
    <x v="0"/>
    <m/>
    <m/>
    <m/>
    <n v="119.30267673301304"/>
    <m/>
    <s v="NAOMI RACHELL"/>
    <s v="CASTILLO"/>
    <s v="APU"/>
    <n v="402670265"/>
    <x v="197"/>
    <s v="FEMENINA"/>
    <d v="2005-03-04T00:00:00"/>
    <n v="13.801505817932922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405"/>
    <n v="79.014373716632448"/>
    <n v="6.584531143052704"/>
  </r>
  <r>
    <x v="1"/>
    <m/>
    <m/>
    <s v="RIÑON"/>
    <x v="0"/>
    <m/>
    <m/>
    <m/>
    <n v="119.31640356897735"/>
    <m/>
    <s v="ALEXANDER"/>
    <s v="BARBOZA"/>
    <s v="LEON"/>
    <n v="702660988"/>
    <x v="198"/>
    <s v="MASCULINO"/>
    <d v="1999-03-08T00:00:00"/>
    <n v="19.805612594113622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400"/>
    <n v="78.850102669404521"/>
    <n v="6.5708418891170428"/>
  </r>
  <r>
    <x v="2"/>
    <m/>
    <m/>
    <s v="RIÑÓN"/>
    <x v="0"/>
    <m/>
    <m/>
    <m/>
    <n v="118.98973305954826"/>
    <s v="N/A"/>
    <m/>
    <m/>
    <m/>
    <n v="303870312"/>
    <x v="198"/>
    <m/>
    <m/>
    <n v="118.98973305954826"/>
    <m/>
    <m/>
    <m/>
    <m/>
    <m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400"/>
    <n v="78.850102669404521"/>
    <n v="6.5708418891170428"/>
  </r>
  <r>
    <x v="0"/>
    <m/>
    <m/>
    <s v="RIÑON"/>
    <x v="0"/>
    <m/>
    <m/>
    <m/>
    <n v="119.33836650652025"/>
    <m/>
    <s v="FRANCIS MARIA"/>
    <s v="GONZALEZ"/>
    <s v="SANCHEZ"/>
    <n v="2890102524"/>
    <x v="199"/>
    <s v="FEMENINA"/>
    <d v="1989-01-25T00:00:00"/>
    <n v="29.94113620807666"/>
    <m/>
    <m/>
    <m/>
    <m/>
    <s v="NICARAGUA"/>
    <s v="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92"/>
    <n v="78.587268993839842"/>
    <n v="6.5489390828199863"/>
  </r>
  <r>
    <x v="0"/>
    <m/>
    <m/>
    <s v="RIÑON"/>
    <x v="1"/>
    <m/>
    <m/>
    <m/>
    <n v="119.35209334248455"/>
    <s v="HERMANO"/>
    <s v="MARLEN GERARDA"/>
    <s v="OSES"/>
    <s v="CAMPOS"/>
    <n v="401440362"/>
    <x v="200"/>
    <s v="FEMENINA"/>
    <d v="1967-01-07T00:00:00"/>
    <n v="52.005475701574262"/>
    <m/>
    <m/>
    <m/>
    <m/>
    <s v="COSTA RICA"/>
    <s v="Heredia"/>
    <s v="SARAPIQUI"/>
    <s v="LA VIRGE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87"/>
    <n v="78.422997946611915"/>
    <n v="6.5352498288843259"/>
  </r>
  <r>
    <x v="0"/>
    <m/>
    <m/>
    <s v="RIÑON"/>
    <x v="1"/>
    <m/>
    <m/>
    <m/>
    <n v="119.37131091283459"/>
    <s v="HRMANO"/>
    <s v="CARLOS JOSE"/>
    <s v="SANTANA"/>
    <s v="CERDAS"/>
    <n v="205330808"/>
    <x v="201"/>
    <s v="MASCULINO"/>
    <d v="1974-06-23T00:00:00"/>
    <n v="44.566735112936342"/>
    <m/>
    <m/>
    <m/>
    <m/>
    <s v="COSTA RICA"/>
    <s v="ALAJUELA"/>
    <s v="CENTRAL"/>
    <s v="SABANILLA"/>
    <m/>
    <m/>
    <m/>
    <m/>
    <m/>
    <m/>
    <m/>
    <m/>
    <m/>
    <m/>
    <m/>
    <m/>
    <s v="SI"/>
    <d v="2022-10-0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361"/>
    <n v="44.714579055441476"/>
    <n v="3.7262149212867897"/>
  </r>
  <r>
    <x v="1"/>
    <m/>
    <m/>
    <s v="RIÑON"/>
    <x v="1"/>
    <m/>
    <m/>
    <m/>
    <n v="119.37131091283459"/>
    <m/>
    <s v="KATTYA MARCELA"/>
    <s v="ANGULO"/>
    <s v="BARAHONA"/>
    <n v="303370769"/>
    <x v="201"/>
    <s v="FEMENINA"/>
    <d v="1975-09-15T00:00:00"/>
    <n v="43.337440109514034"/>
    <m/>
    <m/>
    <m/>
    <m/>
    <s v="COSTA RICA"/>
    <s v="Cartago"/>
    <s v="CENTRAL"/>
    <s v="GUADALUPE (ARENILLA)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80"/>
    <n v="78.19301848049281"/>
    <n v="6.5160848733744015"/>
  </r>
  <r>
    <x v="1"/>
    <m/>
    <m/>
    <s v="RIÑON"/>
    <x v="0"/>
    <m/>
    <m/>
    <m/>
    <n v="119.39327385037748"/>
    <m/>
    <s v="ANA ISABEL GERARDINA"/>
    <s v="PEREIRA"/>
    <s v="ALVARADO"/>
    <n v="700680034"/>
    <x v="202"/>
    <s v="FEMENINA"/>
    <d v="1960-07-15T00:00:00"/>
    <n v="58.527036276522928"/>
    <m/>
    <m/>
    <m/>
    <m/>
    <s v="COSTA RICA"/>
    <s v="LIMON"/>
    <s v="SIQUIRRES"/>
    <s v="SIQUIRRE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72"/>
    <n v="77.930184804928132"/>
    <n v="6.494182067077344"/>
  </r>
  <r>
    <x v="1"/>
    <m/>
    <m/>
    <s v="RIÑON"/>
    <x v="0"/>
    <m/>
    <m/>
    <m/>
    <n v="119.39327385037748"/>
    <m/>
    <s v="JIMY"/>
    <s v="GONZALEZ"/>
    <s v="GONZALEZ"/>
    <n v="701980739"/>
    <x v="202"/>
    <s v="MASCULINO"/>
    <d v="1990-08-12T00:00:00"/>
    <n v="28.451745379876797"/>
    <m/>
    <m/>
    <m/>
    <m/>
    <s v="COSTA RICA"/>
    <m/>
    <m/>
    <m/>
    <m/>
    <m/>
    <m/>
    <m/>
    <m/>
    <m/>
    <m/>
    <m/>
    <m/>
    <m/>
    <m/>
    <m/>
    <s v="SI"/>
    <d v="2023-10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740"/>
    <n v="57.166324435318273"/>
    <n v="4.7638603696098567"/>
  </r>
  <r>
    <x v="2"/>
    <m/>
    <m/>
    <s v="RIÑÓN"/>
    <x v="0"/>
    <s v="SI"/>
    <m/>
    <m/>
    <n v="119.06639288158796"/>
    <s v="NINGUNO"/>
    <m/>
    <m/>
    <m/>
    <n v="16121959"/>
    <x v="202"/>
    <s v="MASCULINO "/>
    <d v="1961-04-25T00:00:00"/>
    <n v="57.74948665297741"/>
    <s v="A+"/>
    <m/>
    <s v="NEFROPATIA HIPERTENSIVA"/>
    <s v="DIÁLISIS PERITONEAL"/>
    <s v="NICARAGUA"/>
    <s v="Cartago"/>
    <s v="CARTAGO"/>
    <s v="ORIENTAL"/>
    <m/>
    <m/>
    <m/>
    <n v="0"/>
    <m/>
    <s v="VIVO"/>
    <s v="VIVO"/>
    <s v="VIVO"/>
    <s v="VIVO"/>
    <s v="VIVO"/>
    <s v="VIVO"/>
    <m/>
    <s v="NO"/>
    <s v="NO"/>
    <m/>
    <m/>
    <s v="FUNCIONAL"/>
    <s v="FUNCIONAL"/>
    <s v="FUNCIONAL"/>
    <s v="FUNCIONAL"/>
    <m/>
    <m/>
    <m/>
    <m/>
    <s v="NO"/>
    <m/>
    <s v="TIMO"/>
    <n v="0.9"/>
    <n v="94"/>
    <s v="NO"/>
    <m/>
    <m/>
    <m/>
    <m/>
    <s v="NO"/>
    <m/>
    <m/>
    <s v="NO"/>
    <m/>
    <m/>
    <m/>
    <m/>
    <m/>
    <m/>
    <m/>
    <n v="0"/>
    <n v="2372"/>
    <n v="77.930184804928132"/>
    <n v="6.494182067077344"/>
  </r>
  <r>
    <x v="3"/>
    <s v="UP2103 - HOSPITAL NACIONAL DE NIÑOS"/>
    <m/>
    <s v="RIÑON"/>
    <x v="1"/>
    <m/>
    <m/>
    <m/>
    <n v="119.42621825669183"/>
    <m/>
    <s v="PAULA MARGARITA"/>
    <s v="RETANA"/>
    <s v="CAMARENO"/>
    <n v="119230854"/>
    <x v="203"/>
    <s v="FEMENINA"/>
    <d v="2004-12-21T00:00:00"/>
    <n v="14.124572210814511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60"/>
    <n v="77.535934291581114"/>
    <n v="6.4613278576317592"/>
  </r>
  <r>
    <x v="1"/>
    <m/>
    <m/>
    <s v="RIÑON"/>
    <x v="0"/>
    <m/>
    <m/>
    <m/>
    <n v="119.44543582704186"/>
    <m/>
    <s v="RONALD ADOLFO"/>
    <s v="ARAYA"/>
    <s v="QUIROS"/>
    <n v="303370498"/>
    <x v="204"/>
    <s v="MASCULINO"/>
    <d v="1975-09-03T00:00:00"/>
    <n v="43.444216290212182"/>
    <m/>
    <m/>
    <m/>
    <m/>
    <s v="COSTA RICA"/>
    <s v="LIMON"/>
    <s v="SIQUIRRES"/>
    <s v="SIQUIRRE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53"/>
    <n v="77.30595482546201"/>
    <n v="6.4421629021218347"/>
  </r>
  <r>
    <x v="1"/>
    <m/>
    <m/>
    <s v="RIÑON"/>
    <x v="0"/>
    <m/>
    <m/>
    <m/>
    <n v="119.44543582704186"/>
    <m/>
    <s v="LUIS AUGUSTIN"/>
    <s v="ROSERO"/>
    <s v="BIXBY"/>
    <n v="800640804"/>
    <x v="204"/>
    <s v="MASCULINO"/>
    <d v="1952-03-04T00:00:00"/>
    <n v="66.943189596167002"/>
    <m/>
    <m/>
    <m/>
    <m/>
    <s v="COSTA RICA"/>
    <s v="SAN JOSE"/>
    <s v="MONTES DE OCA"/>
    <s v="SAN PEDR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53"/>
    <n v="77.30595482546201"/>
    <n v="6.4421629021218347"/>
  </r>
  <r>
    <x v="0"/>
    <m/>
    <m/>
    <s v="RIÑON"/>
    <x v="1"/>
    <m/>
    <m/>
    <m/>
    <n v="119.44818119423473"/>
    <s v="prima : Arias Mora Angelica 115959948, 24 años"/>
    <s v="LEONARDO MANUEL"/>
    <s v="MIRANDA"/>
    <s v="GOMEZ"/>
    <n v="117270882"/>
    <x v="205"/>
    <s v="MASCULINO"/>
    <d v="1998-11-25T00:00:00"/>
    <n v="20.219028062970569"/>
    <m/>
    <m/>
    <m/>
    <m/>
    <s v="COSTA RICA"/>
    <s v="SAN JOSE"/>
    <s v="SANTA ANA"/>
    <s v="SANTA AN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52"/>
    <n v="77.273100616016421"/>
    <n v="6.4394250513347027"/>
  </r>
  <r>
    <x v="3"/>
    <s v="UP2103 - HOSPITAL NACIONAL DE NIÑOS"/>
    <m/>
    <s v="RIÑON"/>
    <x v="0"/>
    <m/>
    <m/>
    <m/>
    <n v="119.44818119423473"/>
    <m/>
    <s v="MELVIN DANIEL"/>
    <s v="VARGAS"/>
    <s v="CORELLA"/>
    <n v="305820550"/>
    <x v="205"/>
    <s v="MASCULINO"/>
    <d v="2008-11-03T00:00:00"/>
    <n v="10.277891854893909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52"/>
    <n v="77.273100616016421"/>
    <n v="6.4394250513347027"/>
  </r>
  <r>
    <x v="4"/>
    <m/>
    <m/>
    <s v="RIÑON"/>
    <x v="1"/>
    <m/>
    <m/>
    <m/>
    <n v="119.1211498973306"/>
    <s v="No Relacionado"/>
    <s v="JOHNNY ALBERTO FRANC"/>
    <s v="VARGAS"/>
    <s v="CARRANZA"/>
    <n v="203820498"/>
    <x v="205"/>
    <m/>
    <m/>
    <n v="119.1211498973306"/>
    <m/>
    <m/>
    <s v="ERC ESTADÍO V"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52"/>
    <n v="77.273100616016421"/>
    <n v="6.4394250513347027"/>
  </r>
  <r>
    <x v="2"/>
    <m/>
    <m/>
    <s v="RIÑÓN"/>
    <x v="0"/>
    <s v="SI"/>
    <m/>
    <m/>
    <n v="119.1211498973306"/>
    <s v="NINGUNO"/>
    <m/>
    <m/>
    <m/>
    <n v="303080726"/>
    <x v="205"/>
    <s v="MASCULINO "/>
    <d v="1969-12-19T00:00:00"/>
    <n v="49.152635181382614"/>
    <s v="B+"/>
    <m/>
    <s v="DESCONOCIDO"/>
    <s v="HEMODIÁLISIS"/>
    <s v="COSTA RICA"/>
    <s v="Cartago"/>
    <s v="PARAISO"/>
    <s v="OROSI"/>
    <m/>
    <m/>
    <m/>
    <m/>
    <m/>
    <s v="VIVO"/>
    <s v="VIVO"/>
    <s v="VIVO"/>
    <s v="VIVO"/>
    <s v="VIVO"/>
    <m/>
    <m/>
    <s v="NO"/>
    <m/>
    <m/>
    <m/>
    <s v="FUNCIONAL"/>
    <s v="FUNCIONAL"/>
    <s v="NO FUNCIONAL"/>
    <s v="NO FUNCIONAL"/>
    <m/>
    <d v="2020-06-01T00:00:00"/>
    <s v="RECURRENCIA DE GLOMERULOPATIA"/>
    <s v="REGRESO A DIÁLISIS"/>
    <s v="NO"/>
    <m/>
    <s v="TIMO"/>
    <n v="1.4"/>
    <m/>
    <s v="NO"/>
    <m/>
    <m/>
    <m/>
    <m/>
    <s v="NO"/>
    <m/>
    <m/>
    <s v="NO"/>
    <m/>
    <m/>
    <m/>
    <m/>
    <m/>
    <m/>
    <m/>
    <n v="0"/>
    <n v="2352"/>
    <n v="77.273100616016421"/>
    <n v="6.4394250513347027"/>
  </r>
  <r>
    <x v="0"/>
    <m/>
    <m/>
    <s v="RIÑON"/>
    <x v="0"/>
    <m/>
    <m/>
    <m/>
    <n v="119.45367192862045"/>
    <m/>
    <s v="JAVIER"/>
    <s v="SANCHEZ"/>
    <s v="BUSTOS"/>
    <n v="17063895"/>
    <x v="206"/>
    <s v="MASCULINO"/>
    <d v="1970-02-12T00:00:00"/>
    <n v="49.007529089664615"/>
    <m/>
    <m/>
    <m/>
    <m/>
    <s v="NO ESPECIFICADO"/>
    <s v="GUANACASTE"/>
    <s v="CAÑAS"/>
    <s v="CAÑA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50"/>
    <n v="77.207392197125259"/>
    <n v="6.4339493497604376"/>
  </r>
  <r>
    <x v="1"/>
    <m/>
    <m/>
    <s v="RIÑON"/>
    <x v="0"/>
    <m/>
    <m/>
    <m/>
    <n v="119.45367192862045"/>
    <m/>
    <s v="RODOLFO ANTONIO"/>
    <s v="DUARTE"/>
    <s v="BARAHONA"/>
    <n v="601310273"/>
    <x v="206"/>
    <s v="MASCULINO"/>
    <d v="1957-05-22T00:00:00"/>
    <n v="61.735797399041751"/>
    <m/>
    <m/>
    <m/>
    <m/>
    <s v="COSTA RICA"/>
    <s v="LIMON"/>
    <s v="MATINA"/>
    <s v="BATAA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50"/>
    <n v="77.207392197125259"/>
    <n v="6.4339493497604376"/>
  </r>
  <r>
    <x v="1"/>
    <m/>
    <m/>
    <s v="RIÑON"/>
    <x v="0"/>
    <m/>
    <m/>
    <m/>
    <n v="119.46739876458476"/>
    <m/>
    <s v="MARISOL DE LOS ANGELES"/>
    <s v="QUESADA"/>
    <s v="SANDOVAL"/>
    <n v="106550799"/>
    <x v="207"/>
    <s v="FEMENINA"/>
    <d v="1965-06-09T00:00:00"/>
    <n v="53.700205338809035"/>
    <m/>
    <m/>
    <m/>
    <m/>
    <s v="COSTA RICA"/>
    <s v="Cartago"/>
    <s v="LA UNION"/>
    <s v="TRES RIOS"/>
    <m/>
    <m/>
    <m/>
    <m/>
    <m/>
    <m/>
    <m/>
    <m/>
    <m/>
    <m/>
    <m/>
    <m/>
    <s v="SI"/>
    <d v="2023-07-2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620"/>
    <n v="53.223819301848046"/>
    <n v="4.4353182751540041"/>
  </r>
  <r>
    <x v="3"/>
    <s v="UP2103 - HOSPITAL NACIONAL DE NIÑOS"/>
    <m/>
    <s v="RIÑON"/>
    <x v="0"/>
    <m/>
    <m/>
    <m/>
    <n v="119.46739876458476"/>
    <m/>
    <s v="SARAH"/>
    <s v="SANCHEZ"/>
    <s v="BERROCAL"/>
    <n v="118920347"/>
    <x v="207"/>
    <s v="FEMENINA"/>
    <d v="2003-11-23T00:00:00"/>
    <n v="15.24435318275154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45"/>
    <n v="77.043121149897331"/>
    <n v="6.4202600958247773"/>
  </r>
  <r>
    <x v="0"/>
    <m/>
    <m/>
    <s v="RIÑON"/>
    <x v="1"/>
    <m/>
    <m/>
    <m/>
    <n v="119.50583390528483"/>
    <s v="PRIMO: Ruiz campos jose, 24 años. 504020608."/>
    <s v="MELVIN DAVID"/>
    <s v="CLACHAR"/>
    <s v="RUIZ"/>
    <n v="503770979"/>
    <x v="208"/>
    <s v="MASCULINO"/>
    <d v="1990-10-20T00:00:00"/>
    <n v="28.3750855578371"/>
    <m/>
    <m/>
    <m/>
    <m/>
    <s v="COSTA RICA"/>
    <s v="GUANACASTE"/>
    <s v="CARRILLO"/>
    <s v="FILADELF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31"/>
    <n v="76.583162217659137"/>
    <n v="6.3819301848049284"/>
  </r>
  <r>
    <x v="4"/>
    <m/>
    <m/>
    <s v="RIÑON"/>
    <x v="1"/>
    <m/>
    <m/>
    <m/>
    <n v="119.1978097193703"/>
    <s v="Relacionado"/>
    <s v="MARIA MAGDALENA"/>
    <s v="FLORES"/>
    <s v="LOPEZ"/>
    <n v="800850998"/>
    <x v="209"/>
    <m/>
    <m/>
    <n v="119.1978097193703"/>
    <m/>
    <m/>
    <s v="ERC ESTADÍO V"/>
    <m/>
    <s v="COSTA RICA"/>
    <s v="SAN JOSE"/>
    <s v="ALAJUELITA"/>
    <s v="SAN FELIPE"/>
    <m/>
    <m/>
    <m/>
    <m/>
    <m/>
    <m/>
    <m/>
    <m/>
    <m/>
    <m/>
    <m/>
    <m/>
    <s v="SI"/>
    <d v="2022-03-0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089"/>
    <n v="35.7782340862423"/>
    <n v="2.9815195071868583"/>
  </r>
  <r>
    <x v="1"/>
    <m/>
    <m/>
    <s v="RIÑON"/>
    <x v="1"/>
    <m/>
    <m/>
    <m/>
    <n v="119.54152367879203"/>
    <m/>
    <s v="LUIS ALFREDO"/>
    <s v="CESPEDES"/>
    <s v="ARCE"/>
    <n v="302150711"/>
    <x v="210"/>
    <s v="MASCULINO"/>
    <d v="1956-08-25T00:00:00"/>
    <n v="62.562628336755644"/>
    <m/>
    <m/>
    <m/>
    <m/>
    <s v="COSTA RICA"/>
    <s v="Cartago"/>
    <s v="CENTRAL"/>
    <s v="DULCE NOMBR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18"/>
    <n v="76.156057494866531"/>
    <n v="6.3463381245722106"/>
  </r>
  <r>
    <x v="0"/>
    <m/>
    <m/>
    <s v="RIÑON"/>
    <x v="1"/>
    <m/>
    <m/>
    <m/>
    <n v="119.5442690459849"/>
    <s v="primo: Mora Montero Maxilimiliano 10951087, 42 anos"/>
    <s v="ISAIAS"/>
    <s v="DOBLES"/>
    <s v="MORA"/>
    <n v="111590534"/>
    <x v="211"/>
    <s v="MASCULINO"/>
    <d v="1983-01-03T00:00:00"/>
    <n v="36.208076659822041"/>
    <m/>
    <m/>
    <m/>
    <m/>
    <s v="COSTA RICA"/>
    <s v="SAN JOSE"/>
    <s v="MORA"/>
    <s v="COLO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17"/>
    <n v="76.123203285420942"/>
    <n v="6.3436002737850785"/>
  </r>
  <r>
    <x v="0"/>
    <m/>
    <m/>
    <s v="RIÑON"/>
    <x v="0"/>
    <m/>
    <m/>
    <m/>
    <n v="119.55525051475635"/>
    <m/>
    <s v="JOSUE BERNABE"/>
    <s v="PEREZ"/>
    <s v="SOLANO"/>
    <n v="205610342"/>
    <x v="212"/>
    <s v="MASCULINO"/>
    <d v="1981-05-22T00:00:00"/>
    <n v="37.837097878165643"/>
    <m/>
    <m/>
    <m/>
    <m/>
    <s v="COSTA RICA"/>
    <s v="ALAJUELA"/>
    <s v="CENTRAL"/>
    <s v="ALAJUEL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13"/>
    <n v="75.991786447638603"/>
    <n v="6.3326488706365502"/>
  </r>
  <r>
    <x v="2"/>
    <m/>
    <m/>
    <s v="RIÑÓN"/>
    <x v="0"/>
    <s v="NO"/>
    <m/>
    <m/>
    <n v="119.23066392881589"/>
    <s v="NINGUNO"/>
    <m/>
    <m/>
    <m/>
    <n v="107470515"/>
    <x v="213"/>
    <s v="MASCULINO "/>
    <d v="1969-05-19T00:00:00"/>
    <n v="49.848049281314168"/>
    <s v="O+"/>
    <m/>
    <s v="DM2"/>
    <s v="DIÁLISIS PERITONEAL"/>
    <s v="COSTA RICA"/>
    <s v="Cartago"/>
    <s v="LA UNION"/>
    <s v="DULCE NOMBRE"/>
    <m/>
    <m/>
    <m/>
    <m/>
    <m/>
    <s v="FALLECIDO"/>
    <s v="FALLECIDO"/>
    <s v="FALLECIDO"/>
    <s v="FALLECIDO"/>
    <m/>
    <m/>
    <m/>
    <s v="SI"/>
    <d v="2019-03-25T00:00:00"/>
    <s v="SHOCK DISTRIBUTIVO"/>
    <s v="NO"/>
    <s v="NO FUNCIONAL"/>
    <m/>
    <m/>
    <m/>
    <m/>
    <m/>
    <m/>
    <m/>
    <s v="NO"/>
    <m/>
    <s v="TIMO"/>
    <s v="NA"/>
    <m/>
    <s v="NO"/>
    <m/>
    <m/>
    <m/>
    <m/>
    <s v="NO"/>
    <m/>
    <m/>
    <s v="NO"/>
    <m/>
    <m/>
    <m/>
    <m/>
    <m/>
    <m/>
    <m/>
    <n v="1"/>
    <n v="0"/>
    <n v="0"/>
    <n v="0"/>
  </r>
  <r>
    <x v="0"/>
    <m/>
    <m/>
    <s v="RIÑON"/>
    <x v="1"/>
    <m/>
    <m/>
    <m/>
    <n v="119.56348661633494"/>
    <s v="ESPOSA"/>
    <s v="MIGUEL ANTONIO"/>
    <s v="NUÑEZ"/>
    <s v="SALAS"/>
    <n v="203320043"/>
    <x v="214"/>
    <s v="MASCULINO"/>
    <d v="1958-04-18T00:00:00"/>
    <n v="60.939082819986311"/>
    <m/>
    <m/>
    <m/>
    <m/>
    <s v="COSTA RICA"/>
    <s v="ALAJUELA"/>
    <m/>
    <m/>
    <m/>
    <m/>
    <m/>
    <m/>
    <m/>
    <m/>
    <m/>
    <m/>
    <m/>
    <m/>
    <m/>
    <m/>
    <s v="SI"/>
    <d v="2020-01-0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82"/>
    <n v="9.2648870636550313"/>
    <n v="0.77207392197125257"/>
  </r>
  <r>
    <x v="4"/>
    <m/>
    <m/>
    <s v="RIÑON"/>
    <x v="1"/>
    <m/>
    <m/>
    <m/>
    <n v="119.23613963039014"/>
    <s v="Relacionado"/>
    <s v="RAFAEL SIGIFREDO"/>
    <s v="PALMA"/>
    <s v="VIQUEZ"/>
    <n v="107030409"/>
    <x v="214"/>
    <m/>
    <m/>
    <n v="119.23613963039014"/>
    <m/>
    <m/>
    <s v="ERC ESTADÍO V"/>
    <m/>
    <s v="COSTA RICA"/>
    <s v="SAN JOSE"/>
    <s v="DESAMPARADOS"/>
    <s v="SAN RAFAEL ARRIB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10"/>
    <n v="75.893223819301852"/>
    <n v="6.324435318275154"/>
  </r>
  <r>
    <x v="1"/>
    <m/>
    <m/>
    <s v="RIÑON"/>
    <x v="0"/>
    <m/>
    <m/>
    <m/>
    <n v="119.58544955387784"/>
    <m/>
    <s v="KEREN LINNETTE"/>
    <s v="ALFARO"/>
    <s v="SEGURA"/>
    <n v="703080322"/>
    <x v="215"/>
    <s v="FEMENINA"/>
    <d v="2004-05-18T00:00:00"/>
    <n v="14.877481177275838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02"/>
    <n v="75.630390143737159"/>
    <n v="6.3025325119780975"/>
  </r>
  <r>
    <x v="0"/>
    <m/>
    <m/>
    <s v="RIÑON"/>
    <x v="0"/>
    <m/>
    <m/>
    <m/>
    <n v="119.59917638984214"/>
    <m/>
    <s v="GUIDO EFREN"/>
    <s v="ROJAS"/>
    <s v="BARQUERO"/>
    <n v="501990917"/>
    <x v="216"/>
    <s v="MASCULINO"/>
    <d v="1962-05-03T00:00:00"/>
    <n v="56.933607118412048"/>
    <m/>
    <m/>
    <m/>
    <m/>
    <s v="COSTA RICA"/>
    <s v="ALAJUELA"/>
    <s v="SAN RAMON"/>
    <s v="SAN JUA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297"/>
    <n v="75.466119096509246"/>
    <n v="6.2888432580424363"/>
  </r>
  <r>
    <x v="4"/>
    <m/>
    <m/>
    <s v="RIÑON"/>
    <x v="1"/>
    <m/>
    <m/>
    <m/>
    <n v="119.27446954141"/>
    <s v="Relacionado"/>
    <s v="MARYORIE DEL CARMEN"/>
    <s v="JALINAS"/>
    <s v="CANO"/>
    <n v="2830101115"/>
    <x v="217"/>
    <m/>
    <m/>
    <n v="119.27446954141"/>
    <m/>
    <m/>
    <s v="ERC ESTADÍO V"/>
    <m/>
    <s v="NICARAGU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296"/>
    <n v="75.433264887063658"/>
    <n v="6.2861054072553042"/>
  </r>
  <r>
    <x v="1"/>
    <m/>
    <m/>
    <s v="RIÑON"/>
    <x v="0"/>
    <m/>
    <m/>
    <m/>
    <n v="119.60466712422786"/>
    <m/>
    <s v="STEVEN JOSUE"/>
    <s v="RAMIREZ"/>
    <s v="OBANDO"/>
    <n v="115600581"/>
    <x v="218"/>
    <s v="MASCULINO"/>
    <d v="1994-01-14T00:00:00"/>
    <n v="25.237508555783709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295"/>
    <n v="75.400410677618069"/>
    <n v="6.2833675564681721"/>
  </r>
  <r>
    <x v="3"/>
    <s v="UP2103 - HOSPITAL NACIONAL DE NIÑOS"/>
    <m/>
    <s v="RIÑON"/>
    <x v="0"/>
    <m/>
    <m/>
    <m/>
    <n v="119.60466712422786"/>
    <m/>
    <s v="AARON"/>
    <s v="MORALES"/>
    <s v="ARAYA"/>
    <n v="119530039"/>
    <x v="218"/>
    <s v="MASCULINO"/>
    <d v="2005-12-21T00:00:00"/>
    <n v="13.30321697467488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295"/>
    <n v="75.400410677618069"/>
    <n v="6.2833675564681721"/>
  </r>
  <r>
    <x v="1"/>
    <m/>
    <m/>
    <s v="RIÑON"/>
    <x v="0"/>
    <m/>
    <m/>
    <m/>
    <n v="119.63761153054222"/>
    <m/>
    <s v="CARLOS"/>
    <s v="OCAMPO"/>
    <s v="OBREGON"/>
    <n v="17912964"/>
    <x v="219"/>
    <s v="MASCULINO"/>
    <d v="1979-12-15T00:00:00"/>
    <n v="39.353867214236821"/>
    <m/>
    <m/>
    <m/>
    <m/>
    <s v="NICARAGUA"/>
    <s v="LIMON"/>
    <s v="GUACIMO"/>
    <s v="RIO JIMENEZ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283"/>
    <n v="75.006160164271051"/>
    <n v="6.2505133470225873"/>
  </r>
  <r>
    <x v="5"/>
    <s v="UP2101 - HOSPITAL RAFAEL A. CALDERÓN GUARDIA"/>
    <m/>
    <s v="RIÑON"/>
    <x v="1"/>
    <m/>
    <m/>
    <m/>
    <n v="119.64584763212079"/>
    <m/>
    <s v="EDGAR ROBERTO"/>
    <s v="ZUÑIGA"/>
    <s v="HIDALGO"/>
    <n v="107130532"/>
    <x v="220"/>
    <s v="MASCULINO"/>
    <d v="1967-12-07T00:00:00"/>
    <n v="51.383983572895275"/>
    <m/>
    <m/>
    <m/>
    <m/>
    <s v="COSTA RICA"/>
    <s v="ALAJUELA"/>
    <s v="SAN CARLOS"/>
    <s v="QUESAD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280"/>
    <n v="74.907597535934286"/>
    <n v="6.2422997946611911"/>
  </r>
  <r>
    <x v="0"/>
    <m/>
    <m/>
    <s v="RIÑON"/>
    <x v="0"/>
    <m/>
    <m/>
    <m/>
    <n v="119.65957446808511"/>
    <m/>
    <s v="ELSA DE LOS ANGELES"/>
    <s v="GUILLEN"/>
    <s v="FERNANDEZ"/>
    <n v="900650835"/>
    <x v="221"/>
    <s v="FEMENINA"/>
    <d v="1962-04-22T00:00:00"/>
    <n v="57.023956194387409"/>
    <m/>
    <m/>
    <m/>
    <m/>
    <s v="COSTA RICA"/>
    <s v="SAN JOSE"/>
    <s v="DESAMPARADOS"/>
    <s v="DAMA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275"/>
    <n v="74.743326488706359"/>
    <n v="6.2286105407255308"/>
  </r>
  <r>
    <x v="0"/>
    <m/>
    <m/>
    <s v="RIÑON"/>
    <x v="1"/>
    <m/>
    <m/>
    <m/>
    <n v="119.69800960878517"/>
    <s v="Hermana: Arias Villalobos yirlene 206530314, 30"/>
    <s v="DANIA MARIA"/>
    <s v="ARIAS"/>
    <s v="VILLALOBOS"/>
    <n v="207430737"/>
    <x v="222"/>
    <s v="FEMENINA"/>
    <d v="1995-08-26T00:00:00"/>
    <n v="23.718001368925393"/>
    <m/>
    <m/>
    <m/>
    <m/>
    <s v="COSTA RICA"/>
    <s v="San Ramon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261"/>
    <n v="74.283367556468178"/>
    <n v="6.1902806297056809"/>
  </r>
  <r>
    <x v="0"/>
    <m/>
    <m/>
    <s v="RIÑON"/>
    <x v="1"/>
    <m/>
    <m/>
    <m/>
    <n v="119.71722717913521"/>
    <s v="Hermana: Arias Vargas Cindy 113700904 30 años"/>
    <s v="MARLON EDUARDO"/>
    <s v="VARGAS"/>
    <s v="OTAROLA"/>
    <n v="111140148"/>
    <x v="223"/>
    <s v="MASCULINO"/>
    <d v="1981-08-22T00:00:00"/>
    <n v="37.746748802190282"/>
    <m/>
    <m/>
    <m/>
    <m/>
    <s v="COSTA RICA"/>
    <s v="Heredia"/>
    <s v="SAN ISIDRO"/>
    <s v="SAN ISIDR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254"/>
    <n v="74.053388090349074"/>
    <n v="6.1711156741957565"/>
  </r>
  <r>
    <x v="0"/>
    <m/>
    <m/>
    <s v="RIÑON"/>
    <x v="1"/>
    <m/>
    <m/>
    <m/>
    <n v="119.72271791352094"/>
    <s v="Ahijada: 27 años odeth corrales tortos 114920571"/>
    <s v="JORGE IVAN"/>
    <s v="HERNANDEZ"/>
    <s v="GABARAIN"/>
    <n v="106470403"/>
    <x v="224"/>
    <s v="MASCULINO"/>
    <d v="1965-01-08T00:00:00"/>
    <n v="54.370978781656397"/>
    <m/>
    <m/>
    <m/>
    <m/>
    <s v="COSTA RICA"/>
    <s v="SAN JOSE"/>
    <s v="TIBAS"/>
    <s v="SAN JUAN"/>
    <m/>
    <m/>
    <m/>
    <m/>
    <m/>
    <m/>
    <m/>
    <m/>
    <m/>
    <m/>
    <m/>
    <m/>
    <s v="SI"/>
    <d v="2024-07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885"/>
    <n v="61.930184804928132"/>
    <n v="5.160848733744011"/>
  </r>
  <r>
    <x v="0"/>
    <m/>
    <m/>
    <s v="RIÑON"/>
    <x v="0"/>
    <m/>
    <m/>
    <m/>
    <n v="119.72271791352094"/>
    <m/>
    <s v="CESAR MARIANO"/>
    <s v="CAMPOS"/>
    <s v="CANALES"/>
    <n v="503570570"/>
    <x v="224"/>
    <s v="MASCULINO"/>
    <d v="1987-04-11T00:00:00"/>
    <n v="32.11772758384668"/>
    <m/>
    <m/>
    <m/>
    <m/>
    <s v="COSTA RICA"/>
    <s v="playas del coco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252"/>
    <n v="73.987679671457911"/>
    <n v="6.1656399726214923"/>
  </r>
  <r>
    <x v="0"/>
    <m/>
    <m/>
    <s v="RIÑON"/>
    <x v="1"/>
    <m/>
    <m/>
    <m/>
    <n v="119.73644474948524"/>
    <s v="Hermano: Varela Avila Kattia Magali 401500267"/>
    <s v="MARIO ALBERTO"/>
    <s v="AVILA"/>
    <s v="FUENTES"/>
    <n v="900500449"/>
    <x v="225"/>
    <s v="MASCULINO"/>
    <d v="1960-05-31T00:00:00"/>
    <n v="58.992470910335385"/>
    <m/>
    <m/>
    <m/>
    <m/>
    <s v="COSTA RICA"/>
    <s v="ALAJUELA"/>
    <s v="CENTRAL"/>
    <s v="SAN RAFAEL"/>
    <m/>
    <m/>
    <m/>
    <m/>
    <m/>
    <m/>
    <m/>
    <m/>
    <m/>
    <m/>
    <m/>
    <m/>
    <s v="SI"/>
    <d v="2019-07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52"/>
    <n v="1.7084188911704312"/>
    <n v="0.14236824093086928"/>
  </r>
  <r>
    <x v="4"/>
    <m/>
    <m/>
    <s v="RIÑON"/>
    <x v="1"/>
    <m/>
    <m/>
    <m/>
    <n v="119.40862422997947"/>
    <s v="No Relacionado"/>
    <s v="CARMEN DEL SOCORRO"/>
    <s v="LOPEZ"/>
    <s v="GUEVARA"/>
    <n v="28020495"/>
    <x v="225"/>
    <m/>
    <m/>
    <n v="119.40862422997947"/>
    <m/>
    <m/>
    <s v="ERC ESTADÍO V"/>
    <m/>
    <s v="NICARAGU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247"/>
    <n v="73.823408624229984"/>
    <n v="6.151950718685832"/>
  </r>
  <r>
    <x v="0"/>
    <m/>
    <m/>
    <s v="RIÑON"/>
    <x v="1"/>
    <m/>
    <m/>
    <m/>
    <n v="119.75566231983528"/>
    <s v="Hija: Jimenez Barboza sAHEIDY, 33 AÑOS, 503460271."/>
    <s v="SEBASTIAN DE LOS ANGELES"/>
    <s v="JIMENEZ"/>
    <s v="ALBENDA"/>
    <n v="501530395"/>
    <x v="226"/>
    <s v="MASCULINO"/>
    <d v="1955-01-20T00:00:00"/>
    <n v="64.372347707049968"/>
    <m/>
    <m/>
    <m/>
    <m/>
    <s v="COSTA RICA"/>
    <s v="PUNTARENAS"/>
    <s v="CENTRAL"/>
    <s v="PUNTARENA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240"/>
    <n v="73.593429158110879"/>
    <n v="6.1327857631759066"/>
  </r>
  <r>
    <x v="0"/>
    <m/>
    <m/>
    <s v="RIÑON"/>
    <x v="0"/>
    <m/>
    <m/>
    <m/>
    <n v="119.78037062457103"/>
    <m/>
    <s v="MARIA ADELINA"/>
    <s v="GUERRA"/>
    <s v="MORALES"/>
    <n v="601230251"/>
    <x v="227"/>
    <s v="FEMENINA"/>
    <d v="1956-01-24T00:00:00"/>
    <n v="63.38672142368241"/>
    <m/>
    <m/>
    <m/>
    <m/>
    <s v="COSTA RICA"/>
    <s v="Goicochea"/>
    <m/>
    <m/>
    <m/>
    <m/>
    <m/>
    <m/>
    <m/>
    <m/>
    <m/>
    <m/>
    <m/>
    <m/>
    <m/>
    <m/>
    <s v="SI"/>
    <d v="2019-06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"/>
    <n v="3.2854209445585217E-2"/>
    <n v="2.7378507871321013E-3"/>
  </r>
  <r>
    <x v="0"/>
    <m/>
    <m/>
    <s v="RIÑON"/>
    <x v="1"/>
    <m/>
    <m/>
    <m/>
    <n v="119.79409746053534"/>
    <s v="hermna: Franas Hernandez Pineda 2930098547, 26 años"/>
    <s v="BELKIS YUNIETH"/>
    <s v="HERNANDEZ"/>
    <s v="PINEDA"/>
    <n v="2920102228"/>
    <x v="228"/>
    <s v="FEMENINA"/>
    <d v="1992-03-07T00:00:00"/>
    <n v="27.282683093771389"/>
    <m/>
    <m/>
    <m/>
    <m/>
    <s v="NICARAGUA"/>
    <s v="hered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226"/>
    <n v="73.133470225872685"/>
    <n v="6.0944558521560577"/>
  </r>
  <r>
    <x v="4"/>
    <m/>
    <m/>
    <s v="RIÑON"/>
    <x v="1"/>
    <m/>
    <m/>
    <m/>
    <n v="119.46611909650925"/>
    <s v="Relacionado"/>
    <s v="BERNARDITA ISABEL"/>
    <s v="GRANADOS"/>
    <s v="ARAYA"/>
    <n v="106490216"/>
    <x v="228"/>
    <m/>
    <m/>
    <n v="119.46611909650925"/>
    <m/>
    <m/>
    <s v="ERC ESTADÍO V"/>
    <m/>
    <s v="COSTA RICA"/>
    <s v="SAN JOSE"/>
    <s v="DESAMPARADOS"/>
    <s v="DESAMPARADOS"/>
    <m/>
    <m/>
    <m/>
    <m/>
    <m/>
    <m/>
    <m/>
    <m/>
    <m/>
    <m/>
    <m/>
    <m/>
    <s v="SI"/>
    <d v="2022-02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978"/>
    <n v="32.131416837782339"/>
    <n v="2.6776180698151952"/>
  </r>
  <r>
    <x v="3"/>
    <s v="UP2103 - HOSPITAL NACIONAL DE NIÑOS"/>
    <m/>
    <s v="RIÑON"/>
    <x v="0"/>
    <m/>
    <m/>
    <m/>
    <n v="119.81331503088538"/>
    <m/>
    <s v="JOSTIN MARIANO"/>
    <s v="UREÑA"/>
    <s v="MORALES"/>
    <n v="305690225"/>
    <x v="229"/>
    <s v="MASCULINO"/>
    <d v="2006-12-13T00:00:00"/>
    <n v="12.533880903490759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219"/>
    <n v="72.903490759753595"/>
    <n v="6.0752908966461332"/>
  </r>
  <r>
    <x v="0"/>
    <m/>
    <m/>
    <s v="RIÑON"/>
    <x v="1"/>
    <m/>
    <m/>
    <m/>
    <n v="119.81331503088538"/>
    <s v="hermana: kattia Hernandez gutierrez 32 años, 503530640"/>
    <s v="JUAN FRANCISCO"/>
    <s v="GUTIERREZ"/>
    <s v="ACEVEDO"/>
    <n v="503240487"/>
    <x v="229"/>
    <s v="MASCULINO"/>
    <d v="1981-10-15T00:00:00"/>
    <n v="37.694729637234772"/>
    <m/>
    <m/>
    <m/>
    <m/>
    <s v="COSTA RICA"/>
    <s v="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219"/>
    <n v="72.903490759753595"/>
    <n v="6.0752908966461332"/>
  </r>
  <r>
    <x v="1"/>
    <m/>
    <m/>
    <s v="RIÑON"/>
    <x v="0"/>
    <m/>
    <m/>
    <m/>
    <n v="119.81331503088538"/>
    <m/>
    <s v="RICARDO"/>
    <s v="BARRANTES"/>
    <s v="GOMEZ"/>
    <n v="701500094"/>
    <x v="229"/>
    <s v="MASCULINO"/>
    <d v="1983-01-11T00:00:00"/>
    <n v="36.454483230663932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219"/>
    <n v="72.903490759753595"/>
    <n v="6.0752908966461332"/>
  </r>
  <r>
    <x v="2"/>
    <m/>
    <m/>
    <s v="RIÑÓN"/>
    <x v="0"/>
    <s v="SI"/>
    <m/>
    <m/>
    <n v="119.49897330595482"/>
    <s v="NINGUNO"/>
    <m/>
    <m/>
    <m/>
    <n v="301931209"/>
    <x v="230"/>
    <s v="MASCULINO "/>
    <d v="1949-05-31T00:00:00"/>
    <n v="70.083504449007535"/>
    <s v="B+"/>
    <m/>
    <s v="DM2"/>
    <m/>
    <s v="COSTA RICA"/>
    <s v="CARTAGO"/>
    <s v="CARTAGO"/>
    <s v="GUADALUPE"/>
    <m/>
    <m/>
    <m/>
    <m/>
    <m/>
    <s v="VIVO"/>
    <s v="VIVO"/>
    <s v="VIVO"/>
    <s v="VIVO"/>
    <m/>
    <m/>
    <m/>
    <s v="SI"/>
    <d v="2022-11-07T00:00:00"/>
    <s v="MIELOMA MULTIPLE"/>
    <s v="SI"/>
    <s v="FUNCIONAL"/>
    <s v="FUNCIONAL"/>
    <s v="FUNCIONAL"/>
    <m/>
    <m/>
    <m/>
    <m/>
    <m/>
    <s v="NO"/>
    <m/>
    <s v="TIMO"/>
    <n v="1.6"/>
    <m/>
    <s v="NO"/>
    <m/>
    <m/>
    <m/>
    <m/>
    <s v="NO"/>
    <m/>
    <m/>
    <s v="SI"/>
    <n v="44835"/>
    <s v="MIELOMA MULTIPLE"/>
    <m/>
    <m/>
    <m/>
    <m/>
    <m/>
    <n v="1"/>
    <n v="1225"/>
    <n v="40.246406570841891"/>
    <n v="3.353867214236824"/>
  </r>
  <r>
    <x v="1"/>
    <m/>
    <m/>
    <s v="RIÑON"/>
    <x v="1"/>
    <m/>
    <m/>
    <m/>
    <n v="119.86822237474261"/>
    <m/>
    <s v="JOSE REINALDO"/>
    <s v="SOLANO"/>
    <s v="FERNANDEZ"/>
    <n v="302320428"/>
    <x v="231"/>
    <s v="MASCULINO"/>
    <d v="1958-03-07T00:00:00"/>
    <n v="61.35797399041752"/>
    <m/>
    <m/>
    <m/>
    <m/>
    <s v="COSTA RICA"/>
    <s v="CARTAGO"/>
    <s v="TURRIALBA"/>
    <s v="LA SUIZ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99"/>
    <n v="72.246406570841884"/>
    <n v="6.020533880903491"/>
  </r>
  <r>
    <x v="1"/>
    <m/>
    <m/>
    <s v="RIÑON"/>
    <x v="0"/>
    <m/>
    <m/>
    <m/>
    <n v="119.87096774193549"/>
    <m/>
    <s v="JUAN RAFAEL"/>
    <s v="CONEJO"/>
    <s v="HERNANDEZ"/>
    <n v="112820448"/>
    <x v="232"/>
    <s v="MASCULINO"/>
    <d v="1986-06-17T00:00:00"/>
    <n v="33.081451060917182"/>
    <m/>
    <m/>
    <m/>
    <m/>
    <s v="COSTA RICA"/>
    <s v="SAN JOSE"/>
    <s v="CURRIDABAT"/>
    <s v="GRANADILLA"/>
    <m/>
    <m/>
    <m/>
    <m/>
    <m/>
    <m/>
    <m/>
    <m/>
    <m/>
    <m/>
    <m/>
    <m/>
    <s v="SI"/>
    <d v="2020-06-2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348"/>
    <n v="11.433264887063656"/>
    <n v="0.95277207392197127"/>
  </r>
  <r>
    <x v="0"/>
    <m/>
    <m/>
    <s v="RIÑON"/>
    <x v="1"/>
    <m/>
    <m/>
    <m/>
    <n v="119.87096774193549"/>
    <s v="cuñada:Maria Mora Suarez, Atenas alahuela, 49 años 204570181,, opero el dr hernandez."/>
    <s v="JOHNNY GERARDO"/>
    <s v="CHAVES"/>
    <s v="RAMIREZ"/>
    <n v="203980217"/>
    <x v="232"/>
    <s v="MASCULINO"/>
    <d v="1964-10-06T00:00:00"/>
    <n v="54.776180698151954"/>
    <m/>
    <m/>
    <m/>
    <m/>
    <s v="COSTA RICA"/>
    <s v="ALAJUELA"/>
    <s v="ATENAS"/>
    <s v="SAN ISIDR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98"/>
    <n v="72.21355236139631"/>
    <n v="6.0177960301163589"/>
  </r>
  <r>
    <x v="0"/>
    <m/>
    <m/>
    <s v="RIÑON"/>
    <x v="0"/>
    <m/>
    <m/>
    <m/>
    <n v="119.87096774193549"/>
    <m/>
    <s v="DONALDO ENRIQUE"/>
    <s v="MEZA"/>
    <s v="ALCOCER"/>
    <n v="204960946"/>
    <x v="232"/>
    <s v="MASCULINO"/>
    <d v="1973-12-02T00:00:00"/>
    <n v="45.620807665982205"/>
    <m/>
    <m/>
    <m/>
    <m/>
    <s v="COSTA RICA"/>
    <s v="ALAJUELA"/>
    <s v="SAN CARLOS"/>
    <s v="QUESAD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98"/>
    <n v="72.21355236139631"/>
    <n v="6.0177960301163589"/>
  </r>
  <r>
    <x v="4"/>
    <m/>
    <m/>
    <s v="RIÑON"/>
    <x v="1"/>
    <m/>
    <m/>
    <m/>
    <n v="119.58110882956879"/>
    <s v="Relacionado"/>
    <s v="JONATHAN EDUARDO"/>
    <s v="VARGAS"/>
    <s v="SOTO"/>
    <n v="110860089"/>
    <x v="233"/>
    <m/>
    <m/>
    <n v="119.58110882956879"/>
    <m/>
    <m/>
    <s v="ERC ESTADÍO V"/>
    <m/>
    <s v="COSTA RICA"/>
    <s v="SAN JOSE"/>
    <s v="DESAMPARADOS"/>
    <s v="SAN MIGUEL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84"/>
    <n v="71.753593429158116"/>
    <n v="5.979466119096509"/>
  </r>
  <r>
    <x v="3"/>
    <s v="UP2103 - HOSPITAL NACIONAL DE NIÑOS"/>
    <m/>
    <s v="RIÑON"/>
    <x v="0"/>
    <m/>
    <m/>
    <m/>
    <n v="119.92038435140699"/>
    <m/>
    <s v="MARCOS DE LOS ANGELES"/>
    <s v="ARGUEDAS"/>
    <s v="QUESADA"/>
    <n v="504600911"/>
    <x v="234"/>
    <s v="MASCULINO"/>
    <d v="2005-08-02T00:00:00"/>
    <n v="14.004106776180699"/>
    <m/>
    <m/>
    <m/>
    <m/>
    <s v="COSTA RICA"/>
    <m/>
    <m/>
    <m/>
    <m/>
    <m/>
    <m/>
    <m/>
    <m/>
    <m/>
    <m/>
    <m/>
    <m/>
    <m/>
    <m/>
    <m/>
    <s v="SI"/>
    <d v="2023-02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296"/>
    <n v="42.579055441478438"/>
    <n v="3.5482546201232035"/>
  </r>
  <r>
    <x v="2"/>
    <m/>
    <m/>
    <s v="RIÑÓN"/>
    <x v="0"/>
    <s v="SI"/>
    <m/>
    <m/>
    <n v="119.59206023271732"/>
    <s v="NINGUNO"/>
    <m/>
    <m/>
    <m/>
    <n v="303760861"/>
    <x v="234"/>
    <s v="MASCULINO "/>
    <d v="1981-11-05T00:00:00"/>
    <n v="37.744010951403148"/>
    <s v="O+"/>
    <m/>
    <s v="LES"/>
    <s v="HEMODIÁLISIS"/>
    <s v="COSTA RICA"/>
    <s v="CARTAGO"/>
    <s v="EL GUARCO"/>
    <s v="SAN ISIDRO"/>
    <m/>
    <m/>
    <m/>
    <m/>
    <m/>
    <s v="VIVO"/>
    <s v="VIVO"/>
    <s v="VIVO"/>
    <s v="VIVO"/>
    <s v="VIVO"/>
    <s v="VIVO"/>
    <m/>
    <s v="NO"/>
    <m/>
    <m/>
    <m/>
    <s v="FUNCIONAL"/>
    <s v="FUNCIONAL"/>
    <s v="FUNCIONAL"/>
    <s v="FUNCIONAL"/>
    <m/>
    <m/>
    <m/>
    <m/>
    <s v="NO"/>
    <m/>
    <s v="TIMO"/>
    <n v="1.3"/>
    <m/>
    <s v="NO"/>
    <m/>
    <m/>
    <m/>
    <m/>
    <s v="SI"/>
    <n v="44958"/>
    <s v="BK"/>
    <s v="NO"/>
    <m/>
    <m/>
    <m/>
    <m/>
    <m/>
    <m/>
    <m/>
    <n v="0"/>
    <n v="2180"/>
    <n v="71.622176591375776"/>
    <n v="5.9685147159479808"/>
  </r>
  <r>
    <x v="0"/>
    <m/>
    <m/>
    <s v="RIÑON"/>
    <x v="1"/>
    <m/>
    <m/>
    <m/>
    <n v="119.96705559368566"/>
    <s v="hijoGuevara Monge Diego, 26 años 115320358"/>
    <s v="ANA PATRICIA"/>
    <s v="GUEVARA"/>
    <s v="MONGE"/>
    <n v="107590329"/>
    <x v="235"/>
    <s v="FEMENINA"/>
    <d v="1963-05-27T00:00:00"/>
    <n v="56.23545516769336"/>
    <m/>
    <m/>
    <m/>
    <m/>
    <s v="COSTA RICA"/>
    <s v="ALAJUELA"/>
    <s v="POAS"/>
    <s v="SAN PEDR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63"/>
    <n v="71.063655030800817"/>
    <n v="5.9219712525667347"/>
  </r>
  <r>
    <x v="0"/>
    <m/>
    <m/>
    <s v="RIÑON"/>
    <x v="1"/>
    <m/>
    <m/>
    <m/>
    <n v="119.98627316403569"/>
    <s v="MADRE:Arias Arrieta Yorleny 42 años, 109720252"/>
    <s v="KENDALL JOSEY"/>
    <s v="VILLALOBOS"/>
    <s v="ARIAS"/>
    <n v="402620197"/>
    <x v="236"/>
    <s v="MASCULINO"/>
    <d v="2003-03-21T00:00:00"/>
    <n v="16.438056125941138"/>
    <m/>
    <m/>
    <m/>
    <m/>
    <s v="COSTA RICA"/>
    <s v="Santa Barbara Hered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56"/>
    <n v="70.833675564681727"/>
    <n v="5.9028062970568103"/>
  </r>
  <r>
    <x v="4"/>
    <m/>
    <m/>
    <s v="RIÑON"/>
    <x v="1"/>
    <m/>
    <m/>
    <m/>
    <n v="119.65776865160849"/>
    <s v="No Relacionado"/>
    <s v="ARISTIDES ARIEL"/>
    <s v="GONZALEZ"/>
    <s v="MENDOZA"/>
    <n v="1730100230"/>
    <x v="236"/>
    <m/>
    <m/>
    <n v="119.65776865160849"/>
    <m/>
    <m/>
    <s v="ERC ESTADÍO V"/>
    <m/>
    <s v="NICARAGU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56"/>
    <n v="70.833675564681727"/>
    <n v="5.9028062970568103"/>
  </r>
  <r>
    <x v="0"/>
    <m/>
    <m/>
    <s v="RIÑON"/>
    <x v="1"/>
    <m/>
    <m/>
    <m/>
    <n v="120.00549073438573"/>
    <s v="Hija: carolina, 113980284"/>
    <s v="XINIA PATRICIA"/>
    <s v="PEREIRA"/>
    <s v="MEZA"/>
    <n v="105020217"/>
    <x v="237"/>
    <s v="FEMENINA"/>
    <d v="1958-12-19T00:00:00"/>
    <n v="60.709103353867214"/>
    <m/>
    <m/>
    <m/>
    <m/>
    <s v="COSTA RICA"/>
    <s v="Tibas San jos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49"/>
    <n v="70.603696098562622"/>
    <n v="5.8836413415468858"/>
  </r>
  <r>
    <x v="0"/>
    <m/>
    <m/>
    <s v="RIÑON"/>
    <x v="0"/>
    <m/>
    <m/>
    <m/>
    <n v="120.00549073438573"/>
    <m/>
    <s v="DEYVI ADOLFO"/>
    <s v="GAGO"/>
    <s v="MENDOZA"/>
    <n v="207030297"/>
    <x v="237"/>
    <s v="MASCULINO"/>
    <d v="1992-08-28T00:00:00"/>
    <n v="27.017111567419576"/>
    <m/>
    <m/>
    <m/>
    <m/>
    <s v="COSTA RICA"/>
    <s v="GUANACASTE"/>
    <s v="CARRILLO"/>
    <s v="FILADELF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49"/>
    <n v="70.603696098562622"/>
    <n v="5.8836413415468858"/>
  </r>
  <r>
    <x v="1"/>
    <m/>
    <m/>
    <s v="RIÑON"/>
    <x v="0"/>
    <m/>
    <m/>
    <m/>
    <n v="120.00549073438573"/>
    <m/>
    <s v="JUANA DELFINA"/>
    <s v="LOPEZ"/>
    <s v="LOPEZ"/>
    <n v="800790204"/>
    <x v="237"/>
    <s v="FEMENINA"/>
    <d v="1974-04-16T00:00:00"/>
    <n v="45.385352498288846"/>
    <m/>
    <m/>
    <m/>
    <m/>
    <s v="COSTA RICA"/>
    <m/>
    <m/>
    <m/>
    <m/>
    <m/>
    <m/>
    <m/>
    <m/>
    <m/>
    <m/>
    <m/>
    <m/>
    <m/>
    <m/>
    <m/>
    <s v="SI"/>
    <d v="2020-10-2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414"/>
    <n v="13.60164271047228"/>
    <n v="1.1334702258726899"/>
  </r>
  <r>
    <x v="0"/>
    <m/>
    <m/>
    <s v="RIÑON"/>
    <x v="1"/>
    <m/>
    <m/>
    <m/>
    <n v="120.02470830473575"/>
    <s v="madre: cynthia delgado salazar, 503270870, 37 años"/>
    <s v="CHRISTOPHER ALBERTO"/>
    <s v="TORRENTES"/>
    <s v="DELGADO"/>
    <n v="504210302"/>
    <x v="238"/>
    <s v="MASCULINO"/>
    <d v="1998-03-28T00:00:00"/>
    <n v="21.456536618754278"/>
    <m/>
    <m/>
    <m/>
    <m/>
    <s v="COSTA RICA"/>
    <s v="GUANACASTE"/>
    <s v="CAÑAS"/>
    <s v="CAÑA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42"/>
    <n v="70.373716632443532"/>
    <n v="5.8644763860369613"/>
  </r>
  <r>
    <x v="1"/>
    <m/>
    <m/>
    <s v="RIÑON"/>
    <x v="1"/>
    <m/>
    <m/>
    <m/>
    <n v="120.06039807824297"/>
    <m/>
    <s v="WILLIAM RICARDO"/>
    <s v="ROJAS"/>
    <s v="AGUERO"/>
    <n v="303360810"/>
    <x v="239"/>
    <s v="MASCULINO"/>
    <d v="1975-05-02T00:00:00"/>
    <n v="44.396988364134153"/>
    <m/>
    <m/>
    <m/>
    <m/>
    <s v="COSTA RICA"/>
    <s v="CARTAGO"/>
    <s v="TURRIALBA"/>
    <s v="TURRIALB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29"/>
    <n v="69.946611909650926"/>
    <n v="5.8288843258042435"/>
  </r>
  <r>
    <x v="0"/>
    <m/>
    <m/>
    <s v="RIÑON"/>
    <x v="1"/>
    <m/>
    <m/>
    <m/>
    <n v="120.08236101578586"/>
    <s v="HERMANO: Andres Medrano Cortes, IZQUIERDO LAPARASCOPIA"/>
    <s v="MAURICIO"/>
    <s v="MEDRANO"/>
    <s v="CORTES"/>
    <n v="114700673"/>
    <x v="240"/>
    <s v="MASCULINO"/>
    <d v="1991-07-06T00:00:00"/>
    <n v="28.240930869267626"/>
    <m/>
    <m/>
    <m/>
    <m/>
    <s v="COSTA RICA"/>
    <s v="SAN JOSE"/>
    <s v="TIBAS"/>
    <s v="SAN JUA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21"/>
    <n v="69.683778234086247"/>
    <n v="5.806981519507187"/>
  </r>
  <r>
    <x v="0"/>
    <m/>
    <m/>
    <s v="RIÑON"/>
    <x v="1"/>
    <m/>
    <m/>
    <m/>
    <n v="120.1015785861359"/>
    <s v="sobrina: Fiorella Delgado Lobo, 207320613, 24 años"/>
    <s v="ROY DAVID"/>
    <s v="LOBO"/>
    <s v="ARAYA"/>
    <n v="204670373"/>
    <x v="241"/>
    <s v="MASCULINO"/>
    <d v="1971-02-02T00:00:00"/>
    <n v="48.681724845995895"/>
    <m/>
    <m/>
    <m/>
    <m/>
    <s v="COSTA RICA"/>
    <s v="SAN JOSE"/>
    <s v="TIBAS"/>
    <s v="COLIM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14"/>
    <n v="69.453798767967143"/>
    <n v="5.7878165639972625"/>
  </r>
  <r>
    <x v="0"/>
    <m/>
    <m/>
    <s v="RIÑON"/>
    <x v="1"/>
    <m/>
    <m/>
    <m/>
    <n v="120.12079615648592"/>
    <s v="cuñado: Badilla Barrantes Efrain, 205070321, 43 años, "/>
    <s v="JAVIER ANTONIO"/>
    <s v="PEREZ"/>
    <s v="LIRA"/>
    <n v="208450299"/>
    <x v="242"/>
    <s v="MASCULINO"/>
    <d v="2003-09-05T00:00:00"/>
    <n v="16.112251882272417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07"/>
    <n v="69.223819301848053"/>
    <n v="5.7686516084873372"/>
  </r>
  <r>
    <x v="0"/>
    <m/>
    <m/>
    <s v="RIÑON"/>
    <x v="1"/>
    <m/>
    <m/>
    <m/>
    <n v="120.14001372683596"/>
    <s v="HERMANA"/>
    <s v="JOSE CARLOS"/>
    <s v="CAMBRONERO"/>
    <s v="SALAZAR"/>
    <n v="204480067"/>
    <x v="243"/>
    <s v="MASCULINO"/>
    <d v="1969-05-06T00:00:00"/>
    <n v="50.464065708418893"/>
    <m/>
    <m/>
    <m/>
    <m/>
    <s v="COSTA RICA"/>
    <s v="PUNTARENAS"/>
    <s v="ESPARZA"/>
    <s v="ESPIRITU SANT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00"/>
    <n v="68.993839835728949"/>
    <n v="5.7494866529774127"/>
  </r>
  <r>
    <x v="4"/>
    <m/>
    <m/>
    <s v="RIÑON"/>
    <x v="1"/>
    <m/>
    <m/>
    <m/>
    <n v="119.81108829568788"/>
    <s v="Relacionado"/>
    <s v="MAUREEN LUISA"/>
    <s v="VALENCIA"/>
    <s v="CHAVARRIA"/>
    <n v="110800749"/>
    <x v="243"/>
    <m/>
    <m/>
    <n v="119.81108829568788"/>
    <m/>
    <m/>
    <s v="ERC ESTADÍO V"/>
    <m/>
    <s v="COSTA RICA"/>
    <s v="SAN JOSE"/>
    <s v="CENTRAL"/>
    <s v="PAVA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00"/>
    <n v="68.993839835728949"/>
    <n v="5.7494866529774127"/>
  </r>
  <r>
    <x v="1"/>
    <m/>
    <m/>
    <s v="RIÑON"/>
    <x v="0"/>
    <m/>
    <m/>
    <m/>
    <n v="120.14275909402883"/>
    <m/>
    <s v="PAO LIN"/>
    <s v="HUNG"/>
    <s v="MURILLO"/>
    <n v="114990079"/>
    <x v="244"/>
    <s v="FEMENINA"/>
    <d v="1992-04-07T00:00:00"/>
    <n v="27.545516769336071"/>
    <m/>
    <m/>
    <m/>
    <m/>
    <s v="COSTA RICA"/>
    <s v="SAN JOSE"/>
    <s v="GOICOECHEA"/>
    <s v="GUADALUP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99"/>
    <n v="68.960985626283374"/>
    <n v="5.7467488021902806"/>
  </r>
  <r>
    <x v="3"/>
    <s v="UP2103 - HOSPITAL NACIONAL DE NIÑOS"/>
    <m/>
    <s v="RIÑON"/>
    <x v="0"/>
    <m/>
    <m/>
    <m/>
    <n v="120.14550446122169"/>
    <m/>
    <s v="YIXI TATIANA"/>
    <s v="COREA"/>
    <s v="VEGA"/>
    <n v="504610497"/>
    <x v="245"/>
    <s v="FEMENINA"/>
    <d v="2005-09-17T00:00:00"/>
    <n v="14.102669404517453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98"/>
    <n v="68.928131416837786"/>
    <n v="5.7440109514031485"/>
  </r>
  <r>
    <x v="1"/>
    <m/>
    <m/>
    <s v="RIÑON"/>
    <x v="0"/>
    <m/>
    <m/>
    <m/>
    <n v="120.16746739876459"/>
    <m/>
    <s v="MARCO TULIO"/>
    <s v="CARBALLO"/>
    <s v="FONSECA"/>
    <n v="104091386"/>
    <x v="246"/>
    <s v="MASCULINO"/>
    <d v="1952-07-31T00:00:00"/>
    <n v="67.255304585900063"/>
    <m/>
    <m/>
    <m/>
    <m/>
    <s v="COSTA RICA"/>
    <s v="SAN JOSE"/>
    <s v="MORAVIA"/>
    <s v="LA TRINIDAD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90"/>
    <n v="68.665297741273108"/>
    <n v="5.722108145106092"/>
  </r>
  <r>
    <x v="2"/>
    <m/>
    <m/>
    <s v="RIÑÓN"/>
    <x v="0"/>
    <s v="SI"/>
    <m/>
    <m/>
    <n v="119.8384668035592"/>
    <s v="NINGUNO"/>
    <m/>
    <m/>
    <m/>
    <n v="304230641"/>
    <x v="246"/>
    <s v="FEMENINO"/>
    <d v="1987-11-05T00:00:00"/>
    <n v="31.991786447638603"/>
    <s v="O+"/>
    <m/>
    <s v="DM1"/>
    <s v="HEMODIÁLISIS"/>
    <s v="COSTA RICA"/>
    <s v="CARTAGO"/>
    <s v="CARTAGO"/>
    <s v="AGUACALIENTE (SAN FRANCISCO)"/>
    <m/>
    <m/>
    <m/>
    <m/>
    <m/>
    <s v="VIVO"/>
    <s v="VIVO"/>
    <s v="VIVO"/>
    <s v="VIVO"/>
    <s v="VIVO"/>
    <s v="VIVO"/>
    <m/>
    <s v="NO"/>
    <m/>
    <m/>
    <m/>
    <s v="FUNCIONAL"/>
    <s v="FUNCIONAL"/>
    <s v="FUNCIONAL"/>
    <s v="FUNCIONAL"/>
    <m/>
    <m/>
    <m/>
    <m/>
    <s v="NO"/>
    <m/>
    <s v="TIMO"/>
    <n v="1.3"/>
    <n v="61"/>
    <s v="NO"/>
    <m/>
    <m/>
    <m/>
    <m/>
    <s v="NO"/>
    <m/>
    <m/>
    <s v="NO"/>
    <m/>
    <m/>
    <m/>
    <m/>
    <m/>
    <m/>
    <m/>
    <n v="0"/>
    <n v="2090"/>
    <n v="68.665297741273108"/>
    <n v="5.722108145106092"/>
  </r>
  <r>
    <x v="0"/>
    <m/>
    <m/>
    <s v="RIÑON"/>
    <x v="1"/>
    <m/>
    <m/>
    <m/>
    <n v="120.17844886753603"/>
    <s v="hermano: Erlis Gazo Gutierrez, 503640238, 31 años. Nefrectomia izquierda abierta."/>
    <s v="WALTER JOSE"/>
    <s v="GAZO"/>
    <s v="GUTIERREZ"/>
    <n v="503270424"/>
    <x v="247"/>
    <s v="MASCULINO"/>
    <d v="1982-02-26T00:00:00"/>
    <n v="37.691991786447637"/>
    <m/>
    <m/>
    <m/>
    <m/>
    <s v="COSTA RICA"/>
    <s v="caña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86"/>
    <n v="68.533880903490754"/>
    <n v="5.7111567419575637"/>
  </r>
  <r>
    <x v="1"/>
    <m/>
    <m/>
    <s v="RIÑON"/>
    <x v="0"/>
    <m/>
    <m/>
    <m/>
    <n v="120.18668496911462"/>
    <m/>
    <s v="MIRYAM MARLENE"/>
    <s v="HIDALGO"/>
    <s v="ARAYA"/>
    <n v="202870110"/>
    <x v="248"/>
    <s v="FEMENINA"/>
    <d v="1953-02-21T00:00:00"/>
    <n v="66.713210130047912"/>
    <m/>
    <m/>
    <m/>
    <m/>
    <s v="COSTA RICA"/>
    <s v="SAN JOSE"/>
    <s v="GOICOECHEA"/>
    <s v="IPIS"/>
    <m/>
    <m/>
    <m/>
    <m/>
    <m/>
    <m/>
    <m/>
    <m/>
    <m/>
    <m/>
    <m/>
    <m/>
    <s v="SI"/>
    <d v="2020-11-0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360"/>
    <n v="11.827515400410677"/>
    <n v="0.98562628336755642"/>
  </r>
  <r>
    <x v="2"/>
    <m/>
    <m/>
    <s v="RIÑÓN"/>
    <x v="0"/>
    <s v="SI"/>
    <m/>
    <m/>
    <n v="119.85763175906914"/>
    <s v="NINGUNO"/>
    <m/>
    <m/>
    <m/>
    <n v="302840777"/>
    <x v="248"/>
    <s v="MASCULINO "/>
    <d v="1966-08-31T00:00:00"/>
    <n v="53.190965092402465"/>
    <s v="A+"/>
    <m/>
    <s v="DM2"/>
    <s v="DIÁLISIS PERITONEAL"/>
    <s v="COSTA RICA"/>
    <s v="CARTAGO"/>
    <s v="CARTAGO"/>
    <s v="DULCE NOMBRE"/>
    <m/>
    <m/>
    <m/>
    <m/>
    <m/>
    <s v="VIVO"/>
    <s v="VIVO"/>
    <s v="FALLECIDO"/>
    <s v="FALLECIDO"/>
    <s v="FALLECIDO"/>
    <m/>
    <m/>
    <s v="SI"/>
    <d v="2020-04-03T00:00:00"/>
    <s v="SHOCK SEPTICO"/>
    <s v="NO"/>
    <s v="FUNCIONAL"/>
    <m/>
    <m/>
    <m/>
    <m/>
    <m/>
    <m/>
    <m/>
    <s v="NO"/>
    <m/>
    <s v="TIMO"/>
    <s v="NA"/>
    <s v="NA"/>
    <s v="NO"/>
    <m/>
    <m/>
    <m/>
    <m/>
    <s v="NO"/>
    <m/>
    <m/>
    <s v="NO"/>
    <m/>
    <m/>
    <m/>
    <m/>
    <m/>
    <m/>
    <m/>
    <n v="1"/>
    <n v="146"/>
    <n v="4.7967145790554415"/>
    <n v="0.39972621492128679"/>
  </r>
  <r>
    <x v="1"/>
    <s v="MAX PERALTA"/>
    <m/>
    <s v="RIÑON"/>
    <x v="1"/>
    <m/>
    <m/>
    <m/>
    <n v="120.19492107069321"/>
    <m/>
    <s v="LUIS ARTURO"/>
    <s v="MORA"/>
    <s v="VARGAS"/>
    <n v="305400466"/>
    <x v="249"/>
    <s v="MASCULINO"/>
    <d v="2002-07-15T00:00:00"/>
    <n v="17.32785763175907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80"/>
    <n v="68.336755646817252"/>
    <n v="5.6947296372347704"/>
  </r>
  <r>
    <x v="0"/>
    <m/>
    <m/>
    <s v="RIÑON"/>
    <x v="1"/>
    <m/>
    <m/>
    <m/>
    <n v="120.19766643788607"/>
    <s v="YERNO"/>
    <s v="ANDRES"/>
    <s v="ALFARO"/>
    <s v="MUÑOZ"/>
    <n v="204260987"/>
    <x v="250"/>
    <s v="MASCULINO"/>
    <d v="1967-04-10T00:00:00"/>
    <n v="52.594113620807668"/>
    <m/>
    <m/>
    <m/>
    <m/>
    <s v="COSTA RICA"/>
    <s v="ALAJUELA"/>
    <s v="CENTRAL"/>
    <s v="DESAMPARADO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79"/>
    <n v="68.303901437371664"/>
    <n v="5.6919917864476384"/>
  </r>
  <r>
    <x v="0"/>
    <m/>
    <m/>
    <s v="RIÑON"/>
    <x v="1"/>
    <m/>
    <m/>
    <m/>
    <n v="120.21688400823611"/>
    <s v="ESPOSO"/>
    <s v="LILLIANA MARIA"/>
    <s v="LORIA"/>
    <s v="CEDEÑO"/>
    <n v="109400192"/>
    <x v="251"/>
    <s v="FEMENINA"/>
    <d v="1976-05-22T00:00:00"/>
    <n v="43.496235455167692"/>
    <m/>
    <m/>
    <m/>
    <m/>
    <s v="COSTA RICA"/>
    <s v="SAN JOSE"/>
    <s v="CENTRAL"/>
    <s v="PAVA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72"/>
    <n v="68.073921971252574"/>
    <n v="5.6728268309377139"/>
  </r>
  <r>
    <x v="0"/>
    <m/>
    <m/>
    <s v="RIÑON"/>
    <x v="1"/>
    <m/>
    <m/>
    <m/>
    <n v="120.23610157858613"/>
    <s v="PAPÁ"/>
    <s v="JOSUE ALONSO"/>
    <s v="OVIEDO"/>
    <s v="MOYA"/>
    <n v="116590444"/>
    <x v="252"/>
    <s v="MASCULINO"/>
    <d v="1996-11-14T00:00:00"/>
    <n v="23.033538672142367"/>
    <m/>
    <m/>
    <m/>
    <m/>
    <s v="COSTA RICA"/>
    <s v="Hered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65"/>
    <n v="67.843942505133469"/>
    <n v="5.6536618754277894"/>
  </r>
  <r>
    <x v="1"/>
    <m/>
    <m/>
    <s v="RIÑON"/>
    <x v="1"/>
    <m/>
    <m/>
    <m/>
    <n v="120.25257378174331"/>
    <m/>
    <s v="LEONELA"/>
    <s v="BARRANTES"/>
    <s v="GARRO"/>
    <n v="305070466"/>
    <x v="253"/>
    <s v="FEMENINA"/>
    <d v="1997-12-08T00:00:00"/>
    <n v="21.984941820670773"/>
    <m/>
    <m/>
    <m/>
    <m/>
    <s v="COSTA RICA"/>
    <s v="CARTAGO"/>
    <s v="CENTRAL"/>
    <s v="OCCIDENTAL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59"/>
    <n v="67.646817248459953"/>
    <n v="5.637234770704997"/>
  </r>
  <r>
    <x v="0"/>
    <m/>
    <m/>
    <s v="RIÑON"/>
    <x v="1"/>
    <m/>
    <m/>
    <m/>
    <n v="48"/>
    <s v="PAPÁ"/>
    <s v="GIPZY PAMELA"/>
    <s v="CAMACHO"/>
    <s v="SANCHEZ"/>
    <n v="208360413"/>
    <x v="254"/>
    <s v="FEMENINA"/>
    <d v="2002-11-16T00:00:00"/>
    <n v="17.067761806981519"/>
    <m/>
    <m/>
    <m/>
    <m/>
    <s v="COSTA RICA"/>
    <s v="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502640399"/>
    <m/>
    <m/>
    <m/>
    <m/>
    <n v="0"/>
    <n v="2051"/>
    <n v="67.383983572895275"/>
    <n v="5.6153319644079396"/>
  </r>
  <r>
    <x v="0"/>
    <m/>
    <m/>
    <s v="RIÑON"/>
    <x v="0"/>
    <m/>
    <m/>
    <m/>
    <m/>
    <m/>
    <s v="JEREMY"/>
    <s v="QUESADA"/>
    <s v="VILLEGAS"/>
    <n v="504090028"/>
    <x v="255"/>
    <s v="MASCULINO"/>
    <d v="1996-02-06T00:00:00"/>
    <n v="23.852156057494867"/>
    <m/>
    <m/>
    <m/>
    <m/>
    <s v="COSTA RICA"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48"/>
    <n v="67.285420944558524"/>
    <n v="5.6071184120465434"/>
  </r>
  <r>
    <x v="4"/>
    <m/>
    <m/>
    <s v="RIÑON"/>
    <x v="0"/>
    <m/>
    <m/>
    <m/>
    <n v="119.95619438740589"/>
    <s v="N/A"/>
    <s v="JOSE MANUEL"/>
    <s v="MENDEZ"/>
    <s v="MALTEZ"/>
    <n v="800770814"/>
    <x v="256"/>
    <m/>
    <m/>
    <n v="119.95619438740589"/>
    <m/>
    <m/>
    <s v="ERC ESTADÍO V"/>
    <m/>
    <s v="COSTA RICA"/>
    <s v="SAN JOSE"/>
    <s v="CENTRAL"/>
    <s v="CARME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47"/>
    <n v="67.252566735112936"/>
    <n v="5.6043805612594113"/>
  </r>
  <r>
    <x v="0"/>
    <m/>
    <m/>
    <s v="RIÑON"/>
    <x v="0"/>
    <m/>
    <m/>
    <m/>
    <m/>
    <m/>
    <s v="GERARDO ANTONIO"/>
    <s v="CANTILLO"/>
    <s v="PIÑA"/>
    <n v="503300264"/>
    <x v="257"/>
    <s v="MASCULINO"/>
    <d v="1982-10-03T00:00:00"/>
    <n v="37.204654346338124"/>
    <m/>
    <m/>
    <m/>
    <m/>
    <s v="COSTA RICA"/>
    <s v="GUANACASTE"/>
    <s v="LIBERIA"/>
    <s v="LIBERIA"/>
    <m/>
    <m/>
    <m/>
    <m/>
    <m/>
    <m/>
    <m/>
    <m/>
    <m/>
    <m/>
    <m/>
    <m/>
    <s v="SI"/>
    <d v="2022-08-1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970"/>
    <n v="31.868583162217661"/>
    <n v="2.6557152635181382"/>
  </r>
  <r>
    <x v="4"/>
    <m/>
    <m/>
    <s v="RIÑON"/>
    <x v="0"/>
    <m/>
    <m/>
    <m/>
    <n v="119.96167008898016"/>
    <s v="N/A"/>
    <s v="PRISCILLA EUGENIA"/>
    <s v="TANCO"/>
    <s v="JIMENEZ"/>
    <n v="109650975"/>
    <x v="257"/>
    <m/>
    <m/>
    <n v="119.96167008898016"/>
    <m/>
    <m/>
    <s v="ERC ESTADÍO V"/>
    <m/>
    <s v="COSTA RICA"/>
    <s v="SAN JOSE"/>
    <s v="MONTES DE OCA"/>
    <s v="SAN RAFAEL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45"/>
    <n v="67.186858316221759"/>
    <n v="5.5989048596851472"/>
  </r>
  <r>
    <x v="4"/>
    <m/>
    <m/>
    <s v="RIÑON"/>
    <x v="1"/>
    <m/>
    <m/>
    <m/>
    <n v="119.96440793976728"/>
    <s v="Relacionado"/>
    <s v="ALEXANDER"/>
    <s v="CAMACHO"/>
    <s v="RODRIGUEZ"/>
    <n v="109580129"/>
    <x v="258"/>
    <m/>
    <m/>
    <n v="119.96440793976728"/>
    <m/>
    <m/>
    <s v="ERC ESTADÍO V"/>
    <m/>
    <s v="COSTA RICA"/>
    <s v="SAN JOSE"/>
    <s v="ALAJUELITA"/>
    <s v="CONCEPCIO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44"/>
    <n v="67.154004106776185"/>
    <n v="5.5961670088980151"/>
  </r>
  <r>
    <x v="4"/>
    <m/>
    <m/>
    <s v="RIÑON"/>
    <x v="0"/>
    <m/>
    <m/>
    <m/>
    <n v="120.01095140314852"/>
    <s v="N/A"/>
    <s v="CARLOS EDUARDO"/>
    <s v="ZUÑIGA"/>
    <s v="BUSTAMANTE"/>
    <n v="110570853"/>
    <x v="259"/>
    <m/>
    <m/>
    <n v="120.01095140314852"/>
    <m/>
    <m/>
    <s v="ERC ESTADÍO V"/>
    <m/>
    <s v="COSTA RICA"/>
    <s v="SAN JOSE"/>
    <s v="PURISCAL"/>
    <s v="SANTIAG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27"/>
    <n v="66.595482546201225"/>
    <n v="5.5496235455167691"/>
  </r>
  <r>
    <x v="4"/>
    <m/>
    <m/>
    <s v="RIÑON"/>
    <x v="0"/>
    <m/>
    <m/>
    <m/>
    <n v="120.01095140314852"/>
    <s v="N/A"/>
    <s v="ARTURO ENRIQUE"/>
    <s v="GONZALEZ"/>
    <s v="CASTRO"/>
    <n v="107620531"/>
    <x v="259"/>
    <s v="MASCULINO"/>
    <d v="1969-12-17T00:00:00"/>
    <n v="50.047912388774812"/>
    <m/>
    <m/>
    <s v="ERC ESTADÍO V"/>
    <m/>
    <s v="COSTA RICA"/>
    <s v="SAN JOSE"/>
    <s v="CENTRAL"/>
    <s v="PAVAS"/>
    <m/>
    <m/>
    <m/>
    <m/>
    <m/>
    <m/>
    <m/>
    <m/>
    <m/>
    <m/>
    <m/>
    <m/>
    <s v="SI"/>
    <d v="2024-03-08T00:00:00"/>
    <s v="CAUSA NO CONOCIDA"/>
    <s v="SI"/>
    <m/>
    <m/>
    <m/>
    <m/>
    <m/>
    <m/>
    <m/>
    <m/>
    <s v="SI"/>
    <m/>
    <m/>
    <m/>
    <m/>
    <m/>
    <m/>
    <m/>
    <m/>
    <m/>
    <m/>
    <m/>
    <m/>
    <m/>
    <m/>
    <m/>
    <m/>
    <m/>
    <m/>
    <m/>
    <m/>
    <n v="1"/>
    <n v="1525"/>
    <n v="50.102669404517457"/>
    <n v="4.1752224503764541"/>
  </r>
  <r>
    <x v="0"/>
    <m/>
    <m/>
    <s v="RIÑON"/>
    <x v="0"/>
    <m/>
    <m/>
    <m/>
    <m/>
    <m/>
    <s v="ENRIQUE ANTONIO"/>
    <s v="SANCHEZ"/>
    <s v="GONZALEZ"/>
    <n v="16621319"/>
    <x v="260"/>
    <s v="MASCULINO"/>
    <d v="1966-01-10T00:00:00"/>
    <n v="54.006844626967833"/>
    <m/>
    <m/>
    <m/>
    <m/>
    <s v="NICARAGUA"/>
    <s v="GUANACASTE"/>
    <s v="TILARAN"/>
    <s v="QUEBRADA GRAND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18"/>
    <n v="66.299794661190958"/>
    <n v="5.5249828884325805"/>
  </r>
  <r>
    <x v="0"/>
    <m/>
    <m/>
    <s v="RIÑON"/>
    <x v="0"/>
    <m/>
    <m/>
    <m/>
    <m/>
    <m/>
    <s v="MICHAEL DAVID"/>
    <s v="VEGA"/>
    <s v="VARGAS"/>
    <n v="604060240"/>
    <x v="260"/>
    <s v="MASCULINO"/>
    <d v="1992-12-24T00:00:00"/>
    <n v="27.052703627652292"/>
    <m/>
    <m/>
    <m/>
    <m/>
    <s v="COSTA RICA"/>
    <s v="Barranca Puntarena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18"/>
    <n v="66.299794661190958"/>
    <n v="5.5249828884325805"/>
  </r>
  <r>
    <x v="1"/>
    <m/>
    <m/>
    <s v="RIÑON"/>
    <x v="1"/>
    <m/>
    <m/>
    <m/>
    <m/>
    <m/>
    <s v="WILLIAM ROBERTO"/>
    <s v="MONGE"/>
    <s v="SANABRIA"/>
    <n v="302920565"/>
    <x v="261"/>
    <s v="MASCULINO"/>
    <d v="1967-10-26T00:00:00"/>
    <n v="52.219028062970565"/>
    <m/>
    <m/>
    <m/>
    <m/>
    <s v="COSTA RICA"/>
    <m/>
    <m/>
    <m/>
    <m/>
    <m/>
    <m/>
    <m/>
    <m/>
    <m/>
    <m/>
    <m/>
    <m/>
    <m/>
    <m/>
    <m/>
    <s v="SI"/>
    <d v="2024-06-01T00:00:00"/>
    <s v="SHOCK SEPTIC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600"/>
    <n v="52.566735112936342"/>
    <n v="4.3805612594113619"/>
  </r>
  <r>
    <x v="1"/>
    <m/>
    <m/>
    <s v="RIÑON"/>
    <x v="0"/>
    <m/>
    <m/>
    <m/>
    <m/>
    <m/>
    <s v="YELENA"/>
    <s v="CHING"/>
    <s v="CHU"/>
    <n v="107470933"/>
    <x v="262"/>
    <s v="FEMENINA"/>
    <d v="1969-06-27T00:00:00"/>
    <n v="50.559890485968516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13"/>
    <n v="66.135523613963045"/>
    <n v="5.5112936344969201"/>
  </r>
  <r>
    <x v="0"/>
    <m/>
    <m/>
    <s v="RIÑON"/>
    <x v="0"/>
    <m/>
    <m/>
    <m/>
    <m/>
    <m/>
    <s v="RANDALL FRANCISCO"/>
    <s v="JIMENEZ"/>
    <s v="VARGAS"/>
    <n v="107860913"/>
    <x v="263"/>
    <s v="MASCULINO"/>
    <d v="1970-11-26T00:00:00"/>
    <n v="49.147159479808352"/>
    <m/>
    <m/>
    <m/>
    <m/>
    <s v="COSTA RICA"/>
    <s v="HEREDIA"/>
    <s v="CENTRAL"/>
    <s v="HERED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12"/>
    <n v="66.102669404517457"/>
    <n v="5.508555783709788"/>
  </r>
  <r>
    <x v="0"/>
    <m/>
    <m/>
    <s v="RIÑON"/>
    <x v="1"/>
    <m/>
    <m/>
    <m/>
    <m/>
    <s v="hija: Erica Valverde Viquez 117280937, fecha de nacimiento 7-12-1998"/>
    <s v="MARIA FELICIA"/>
    <s v="VIQUEZ"/>
    <s v="QUESADA"/>
    <n v="203880183"/>
    <x v="264"/>
    <s v="FEMENINA"/>
    <d v="1963-11-27T00:00:00"/>
    <n v="56.147843942505133"/>
    <m/>
    <m/>
    <m/>
    <m/>
    <s v="COSTA RICA"/>
    <s v="ALAJUELA"/>
    <s v="CENTRAL"/>
    <s v="DESAMPARADO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11"/>
    <n v="66.069815195071868"/>
    <n v="5.505817932922656"/>
  </r>
  <r>
    <x v="1"/>
    <m/>
    <m/>
    <s v="RIÑON"/>
    <x v="1"/>
    <m/>
    <m/>
    <m/>
    <m/>
    <m/>
    <s v="SANDRA LUCRECIA"/>
    <s v="ROJAS"/>
    <s v="CORDERO"/>
    <n v="302910872"/>
    <x v="265"/>
    <s v="FEMENINA"/>
    <d v="1967-09-20T00:00:00"/>
    <n v="52.336755646817245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10"/>
    <n v="66.03696098562628"/>
    <n v="5.5030800821355239"/>
  </r>
  <r>
    <x v="0"/>
    <m/>
    <m/>
    <s v="RIÑON"/>
    <x v="1"/>
    <m/>
    <m/>
    <d v="1980-10-15T00:00:00"/>
    <n v="39"/>
    <s v="HIJO"/>
    <s v="ELIZABETH TERESITA DE LA TRINIDAD"/>
    <s v="CALDERON"/>
    <s v="CASTILLO"/>
    <n v="302670695"/>
    <x v="266"/>
    <s v="FEMENINA"/>
    <d v="1964-02-17T00:00:00"/>
    <n v="55.928815879534568"/>
    <m/>
    <m/>
    <m/>
    <m/>
    <s v="COSTA RICA"/>
    <s v="Tibas San Jos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110850008"/>
    <s v="M"/>
    <m/>
    <m/>
    <m/>
    <n v="0"/>
    <n v="2009"/>
    <n v="66.004106776180691"/>
    <n v="5.5003422313483918"/>
  </r>
  <r>
    <x v="4"/>
    <m/>
    <m/>
    <s v="RIÑON"/>
    <x v="0"/>
    <m/>
    <m/>
    <m/>
    <n v="120.07118412046543"/>
    <s v="N/A"/>
    <s v="ADOLFO ENRIQUE DE LA TRINIDAD"/>
    <s v="ALFARO"/>
    <s v="CARVAJAL"/>
    <n v="105550037"/>
    <x v="267"/>
    <m/>
    <m/>
    <n v="120.07118412046543"/>
    <m/>
    <m/>
    <s v="ERC ESTADÍO V"/>
    <m/>
    <s v="COSTA RICA"/>
    <s v="SAN JOSE"/>
    <s v="DESAMPARADOS"/>
    <s v="SAN ANTONI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05"/>
    <n v="65.872689938398352"/>
    <n v="5.4893908281998627"/>
  </r>
  <r>
    <x v="1"/>
    <m/>
    <m/>
    <s v="RIÑON"/>
    <x v="0"/>
    <m/>
    <m/>
    <m/>
    <m/>
    <m/>
    <s v="GLEEM ALEXANDER"/>
    <s v="LAZO"/>
    <s v="CAMACHO"/>
    <n v="108070216"/>
    <x v="268"/>
    <s v="MASCULINO"/>
    <d v="1971-08-28T00:00:00"/>
    <n v="48.438056125941138"/>
    <m/>
    <m/>
    <m/>
    <m/>
    <s v="COSTA RICA"/>
    <s v="SAN JOSE"/>
    <s v="MORAVIA"/>
    <s v="SAN VICENT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96"/>
    <n v="65.577002053388085"/>
    <n v="5.4647501711156741"/>
  </r>
  <r>
    <x v="0"/>
    <m/>
    <m/>
    <s v="RIÑON"/>
    <x v="0"/>
    <m/>
    <m/>
    <m/>
    <m/>
    <m/>
    <s v="LEONARDO"/>
    <s v="MATARRITA"/>
    <s v="MATARRITA"/>
    <n v="502690466"/>
    <x v="268"/>
    <s v="MASCULINO"/>
    <d v="1971-11-06T00:00:00"/>
    <n v="48.246406570841891"/>
    <m/>
    <m/>
    <m/>
    <m/>
    <s v="COSTA RICA"/>
    <s v="Santa Cruz 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96"/>
    <n v="65.577002053388085"/>
    <n v="5.4647501711156741"/>
  </r>
  <r>
    <x v="0"/>
    <m/>
    <m/>
    <s v="RIÑON"/>
    <x v="0"/>
    <m/>
    <m/>
    <m/>
    <m/>
    <m/>
    <m/>
    <m/>
    <m/>
    <n v="168645520"/>
    <x v="269"/>
    <s v="MASCULINO"/>
    <m/>
    <n v="120.10677618069815"/>
    <m/>
    <m/>
    <m/>
    <m/>
    <m/>
    <s v="Cañas 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92"/>
    <n v="65.445585215605746"/>
    <n v="5.4537987679671458"/>
  </r>
  <r>
    <x v="4"/>
    <m/>
    <m/>
    <s v="RIÑON"/>
    <x v="0"/>
    <m/>
    <m/>
    <m/>
    <n v="120.10677618069815"/>
    <s v="N/A"/>
    <s v="LORELLY AUXILIADORA"/>
    <s v="CHINCHILLA"/>
    <s v="ELIZONDO"/>
    <n v="108660788"/>
    <x v="269"/>
    <m/>
    <m/>
    <n v="120.10677618069815"/>
    <m/>
    <m/>
    <s v="ERC ESTADÍO V"/>
    <m/>
    <s v="COSTA RICA"/>
    <s v="PUNTARENAS"/>
    <s v="BUENOS AIRES"/>
    <s v="BUENOS AIRE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92"/>
    <n v="65.445585215605746"/>
    <n v="5.4537987679671458"/>
  </r>
  <r>
    <x v="1"/>
    <m/>
    <m/>
    <s v="RIÑON"/>
    <x v="1"/>
    <m/>
    <m/>
    <m/>
    <m/>
    <m/>
    <s v="STEPHANIE MARY"/>
    <s v="OVIEDO"/>
    <s v="CASCANTE"/>
    <n v="112430382"/>
    <x v="270"/>
    <s v="FEMENINA"/>
    <d v="1985-05-12T00:00:00"/>
    <n v="34.751540041067763"/>
    <m/>
    <m/>
    <m/>
    <m/>
    <s v="COSTA RICA"/>
    <s v="SAN JOSE"/>
    <s v="MONTES DE OCA"/>
    <s v="SAN PEDR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89"/>
    <n v="65.347022587268995"/>
    <n v="5.4455852156057496"/>
  </r>
  <r>
    <x v="4"/>
    <m/>
    <m/>
    <s v="RIÑON"/>
    <x v="0"/>
    <m/>
    <m/>
    <m/>
    <n v="120.11498973305955"/>
    <s v="N/A"/>
    <s v="WILLIAM GERARDO DE LA TRINIDAD"/>
    <s v="CORDERO"/>
    <s v="HIDALGO"/>
    <n v="106780126"/>
    <x v="270"/>
    <m/>
    <m/>
    <n v="120.11498973305955"/>
    <m/>
    <m/>
    <s v="ERC ESTADÍO V"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89"/>
    <n v="65.347022587268995"/>
    <n v="5.4455852156057496"/>
  </r>
  <r>
    <x v="0"/>
    <m/>
    <m/>
    <s v="RIÑON"/>
    <x v="1"/>
    <m/>
    <m/>
    <m/>
    <m/>
    <s v="AMIGO, Emocionalmente relacionado: Allan Ramos Bolaños 108200330, 22-02-1972"/>
    <s v="DOUGLAS RAFAEL"/>
    <s v="RODRIGUEZ"/>
    <s v="HERNANDEZ"/>
    <n v="108260917"/>
    <x v="271"/>
    <s v="MASCULINO"/>
    <d v="1972-06-20T00:00:00"/>
    <n v="47.646817248459961"/>
    <m/>
    <m/>
    <m/>
    <m/>
    <s v="COSTA RICA"/>
    <s v="HEREDIA"/>
    <s v="SAN RAFAEL"/>
    <s v="SAN RAFAEL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88"/>
    <n v="65.314168377823407"/>
    <n v="5.4428473648186175"/>
  </r>
  <r>
    <x v="0"/>
    <m/>
    <m/>
    <s v="RIÑON"/>
    <x v="1"/>
    <m/>
    <m/>
    <m/>
    <m/>
    <s v="Hijo, Jean P Vargas Guido"/>
    <s v="MARIA ISABEL"/>
    <s v="GUIDO"/>
    <s v="MATAMOROS"/>
    <n v="203680175"/>
    <x v="272"/>
    <s v="FEMENINA"/>
    <d v="1961-12-17T00:00:00"/>
    <n v="58.173853524982889"/>
    <m/>
    <m/>
    <m/>
    <m/>
    <s v="COSTA RICA"/>
    <s v="ALAJUELA"/>
    <s v="CENTRAL"/>
    <s v="SAN ANTONI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81"/>
    <n v="65.084188911704317"/>
    <n v="5.4236824093086931"/>
  </r>
  <r>
    <x v="1"/>
    <m/>
    <m/>
    <s v="RIÑON"/>
    <x v="0"/>
    <m/>
    <m/>
    <m/>
    <m/>
    <m/>
    <s v="HECTOR ENRIQUE"/>
    <s v="QUESADA"/>
    <s v="ACOSTA"/>
    <n v="104021107"/>
    <x v="272"/>
    <s v="MASCULINO"/>
    <d v="1952-06-07T00:00:00"/>
    <n v="67.701574264202605"/>
    <m/>
    <m/>
    <m/>
    <m/>
    <s v="COSTA RICA"/>
    <m/>
    <m/>
    <m/>
    <m/>
    <m/>
    <m/>
    <m/>
    <m/>
    <m/>
    <m/>
    <m/>
    <m/>
    <m/>
    <m/>
    <m/>
    <s v="SI"/>
    <d v="2020-03-23T00:00:00"/>
    <s v="SHOCK SEPTICO"/>
    <s v="NO"/>
    <m/>
    <m/>
    <m/>
    <m/>
    <m/>
    <m/>
    <m/>
    <m/>
    <m/>
    <m/>
    <m/>
    <m/>
    <m/>
    <m/>
    <m/>
    <m/>
    <m/>
    <m/>
    <s v="SI"/>
    <m/>
    <s v="INTRAABDOMINAL"/>
    <m/>
    <m/>
    <m/>
    <m/>
    <m/>
    <m/>
    <m/>
    <m/>
    <n v="1"/>
    <n v="33"/>
    <n v="1.0841889117043122"/>
    <n v="9.034907597535935E-2"/>
  </r>
  <r>
    <x v="1"/>
    <m/>
    <m/>
    <s v="RIÑON"/>
    <x v="0"/>
    <m/>
    <m/>
    <m/>
    <m/>
    <m/>
    <s v="MARLEN ROSARIO"/>
    <s v="CHAVES"/>
    <s v="CHAVES"/>
    <n v="207410317"/>
    <x v="273"/>
    <s v="FEMENINA"/>
    <d v="1991-11-29T00:00:00"/>
    <n v="28.232717316906228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78"/>
    <n v="64.985626283367552"/>
    <n v="5.415468856947296"/>
  </r>
  <r>
    <x v="4"/>
    <m/>
    <m/>
    <s v="RIÑON"/>
    <x v="0"/>
    <m/>
    <m/>
    <m/>
    <n v="120.14510609171801"/>
    <s v="N/A"/>
    <s v="ANDRES ALBERTO"/>
    <s v="BRENES"/>
    <s v="ORTEGA"/>
    <n v="115580493"/>
    <x v="273"/>
    <s v="MASCULINO"/>
    <d v="1994-01-04T00:00:00"/>
    <n v="26.132785763175907"/>
    <m/>
    <m/>
    <s v="ERC ESTADÍO V"/>
    <m/>
    <s v="COSTA RICA"/>
    <m/>
    <m/>
    <m/>
    <m/>
    <m/>
    <m/>
    <m/>
    <m/>
    <m/>
    <m/>
    <m/>
    <m/>
    <m/>
    <m/>
    <m/>
    <s v="SI"/>
    <d v="2022-06-30T00:00:00"/>
    <s v="CAUSA NO CONOCIDA"/>
    <s v="NO"/>
    <s v="NO FUNCIONAL"/>
    <m/>
    <m/>
    <m/>
    <m/>
    <m/>
    <m/>
    <m/>
    <s v="SI"/>
    <m/>
    <m/>
    <m/>
    <m/>
    <m/>
    <m/>
    <m/>
    <m/>
    <m/>
    <m/>
    <m/>
    <m/>
    <m/>
    <m/>
    <m/>
    <m/>
    <m/>
    <m/>
    <m/>
    <m/>
    <n v="1"/>
    <n v="859"/>
    <n v="28.2217659137577"/>
    <n v="2.3518138261464752"/>
  </r>
  <r>
    <x v="1"/>
    <m/>
    <m/>
    <s v="RIÑON"/>
    <x v="0"/>
    <m/>
    <m/>
    <m/>
    <m/>
    <m/>
    <s v="MARIA ELENA"/>
    <s v="RODRIGUEZ"/>
    <s v="TENORIO"/>
    <n v="302350340"/>
    <x v="274"/>
    <s v="FEMENINA"/>
    <d v="1959-04-15T00:00:00"/>
    <n v="60.865160848733744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75"/>
    <n v="64.887063655030801"/>
    <n v="5.4072553045858998"/>
  </r>
  <r>
    <x v="4"/>
    <m/>
    <m/>
    <s v="RIÑON"/>
    <x v="0"/>
    <m/>
    <m/>
    <m/>
    <n v="120.1533196440794"/>
    <s v="N/A"/>
    <s v="VICTOR"/>
    <s v="PRENDAS"/>
    <s v="AGUIRRE"/>
    <n v="600890629"/>
    <x v="274"/>
    <m/>
    <m/>
    <n v="120.1533196440794"/>
    <m/>
    <m/>
    <s v="ERC ESTADÍO V"/>
    <m/>
    <s v="COSTA RICA"/>
    <m/>
    <m/>
    <m/>
    <m/>
    <m/>
    <m/>
    <m/>
    <m/>
    <m/>
    <m/>
    <m/>
    <m/>
    <m/>
    <m/>
    <m/>
    <s v="SI"/>
    <d v="2020-08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64"/>
    <n v="5.3880903490759753"/>
    <n v="0.44900752908966463"/>
  </r>
  <r>
    <x v="4"/>
    <m/>
    <m/>
    <s v="RIÑON"/>
    <x v="0"/>
    <m/>
    <m/>
    <m/>
    <n v="120.15879534565366"/>
    <s v="N/A"/>
    <s v="JUAN ANTONIO"/>
    <s v="LOPEZ"/>
    <s v="NOINDICAOTRO"/>
    <n v="1680100086"/>
    <x v="275"/>
    <m/>
    <m/>
    <n v="120.15879534565366"/>
    <m/>
    <m/>
    <s v="ERC ESTADÍO V"/>
    <m/>
    <s v="NICARAGU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73"/>
    <n v="64.821355236139624"/>
    <n v="5.4017796030116356"/>
  </r>
  <r>
    <x v="2"/>
    <m/>
    <m/>
    <s v="RIÑÓN"/>
    <x v="0"/>
    <s v="SI"/>
    <m/>
    <m/>
    <n v="120.15879534565366"/>
    <s v="NINGUNO"/>
    <m/>
    <m/>
    <m/>
    <n v="205620380"/>
    <x v="275"/>
    <s v="FEMENINO"/>
    <d v="1981-03-17T00:00:00"/>
    <n v="38.948665297741272"/>
    <s v="A+"/>
    <m/>
    <s v="DM2"/>
    <s v="HEMODIÁLISIS"/>
    <s v="COSTA RICA"/>
    <s v="CARTAGO"/>
    <s v="OREAMUNO"/>
    <s v="POTRERO CERRADO"/>
    <m/>
    <m/>
    <m/>
    <m/>
    <m/>
    <s v="VIVO"/>
    <s v="VIVO"/>
    <s v="VIVO"/>
    <s v="VIVO"/>
    <s v="VIVO"/>
    <s v="VIVO"/>
    <m/>
    <s v="NO"/>
    <m/>
    <m/>
    <m/>
    <s v="FUNCIONAL"/>
    <s v="FUNCIONAL"/>
    <s v="FUNCIONAL"/>
    <s v="FUNCIONAL"/>
    <m/>
    <m/>
    <m/>
    <m/>
    <s v="NO"/>
    <m/>
    <s v="TIMO"/>
    <n v="0.8"/>
    <n v="96"/>
    <s v="NO"/>
    <m/>
    <m/>
    <m/>
    <m/>
    <s v="NO"/>
    <m/>
    <m/>
    <s v="NO"/>
    <m/>
    <m/>
    <m/>
    <m/>
    <m/>
    <m/>
    <m/>
    <n v="0"/>
    <n v="1973"/>
    <n v="64.821355236139624"/>
    <n v="5.4017796030116356"/>
  </r>
  <r>
    <x v="0"/>
    <m/>
    <m/>
    <s v="RIÑON"/>
    <x v="1"/>
    <m/>
    <m/>
    <m/>
    <m/>
    <m/>
    <s v="MARIA AUXILIADORA DEL SOCORRO"/>
    <s v="RAMIREZ"/>
    <s v="RAMIREZ"/>
    <n v="401390539"/>
    <x v="276"/>
    <s v="FEMENINA"/>
    <d v="1965-04-15T00:00:00"/>
    <n v="54.885694729637237"/>
    <m/>
    <m/>
    <m/>
    <m/>
    <s v="COSTA RICA"/>
    <s v="HEREDIA"/>
    <s v="CENTRAL"/>
    <s v="HERED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67"/>
    <n v="64.624229979466122"/>
    <n v="5.3853524982888432"/>
  </r>
  <r>
    <x v="3"/>
    <s v="UP2103 - HOSPITAL NACIONAL DE NIÑOS"/>
    <m/>
    <s v="RIÑON"/>
    <x v="0"/>
    <m/>
    <m/>
    <m/>
    <m/>
    <m/>
    <s v="SHAREN STACY"/>
    <s v="BERROCAL"/>
    <s v="OVIEDO"/>
    <n v="208490234"/>
    <x v="277"/>
    <s v="FEMENINA"/>
    <d v="2004-01-03T00:00:00"/>
    <n v="16.347707049965777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01"/>
    <n v="62.455852156057496"/>
    <n v="5.204654346338125"/>
  </r>
  <r>
    <x v="0"/>
    <m/>
    <m/>
    <s v="RIÑON"/>
    <x v="0"/>
    <m/>
    <m/>
    <m/>
    <m/>
    <m/>
    <s v="JORGE ALEJANDRO"/>
    <s v="VILLARREAL"/>
    <s v="MENDOZA"/>
    <n v="501620844"/>
    <x v="278"/>
    <s v="MASCULINO"/>
    <d v="1956-08-26T00:00:00"/>
    <n v="63.819301848049278"/>
    <m/>
    <m/>
    <m/>
    <m/>
    <s v="COSTA RICA"/>
    <s v="Cañas Guanacaste"/>
    <m/>
    <m/>
    <m/>
    <m/>
    <m/>
    <m/>
    <m/>
    <m/>
    <m/>
    <m/>
    <m/>
    <m/>
    <m/>
    <m/>
    <s v="SI"/>
    <d v="2020-08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71"/>
    <n v="2.3326488706365502"/>
    <n v="0.19438740588637921"/>
  </r>
  <r>
    <x v="2"/>
    <m/>
    <m/>
    <s v="RIÑÓN"/>
    <x v="0"/>
    <s v="NO"/>
    <m/>
    <m/>
    <n v="120.47638603696099"/>
    <s v="NINGUNO"/>
    <m/>
    <m/>
    <m/>
    <n v="302170100"/>
    <x v="279"/>
    <s v="MASCULINO "/>
    <d v="1956-07-07T00:00:00"/>
    <n v="63.958932238193022"/>
    <s v="O+"/>
    <m/>
    <s v="HTA"/>
    <s v="DIÁLISIS PERITONEAL"/>
    <s v="COSTA RICA"/>
    <s v="CARTAGO"/>
    <s v="CARTAGO"/>
    <s v="CARMEN"/>
    <m/>
    <m/>
    <m/>
    <m/>
    <m/>
    <s v="VIVO"/>
    <s v="VIVO"/>
    <s v="VIVO"/>
    <s v="VIVO"/>
    <s v="VIVO"/>
    <m/>
    <m/>
    <s v="NO"/>
    <m/>
    <m/>
    <m/>
    <s v="FUNCIONAL"/>
    <s v="FUNCIONAL"/>
    <s v="FUNCIONAL"/>
    <m/>
    <m/>
    <m/>
    <m/>
    <m/>
    <s v="NO"/>
    <m/>
    <s v="TIMO"/>
    <n v="1.23"/>
    <n v="66"/>
    <s v="NO"/>
    <m/>
    <m/>
    <m/>
    <m/>
    <s v="NO"/>
    <m/>
    <m/>
    <s v="NO"/>
    <m/>
    <m/>
    <m/>
    <m/>
    <m/>
    <m/>
    <m/>
    <n v="0"/>
    <n v="1857"/>
    <n v="61.010266940451743"/>
    <n v="5.0841889117043122"/>
  </r>
  <r>
    <x v="0"/>
    <m/>
    <m/>
    <s v="RIÑON"/>
    <x v="0"/>
    <m/>
    <m/>
    <m/>
    <m/>
    <m/>
    <s v="NOEL"/>
    <s v="SIEZAR"/>
    <s v="DOMINGUEZ"/>
    <n v="15756036"/>
    <x v="280"/>
    <s v="MASCULINO"/>
    <d v="1957-06-22T00:00:00"/>
    <n v="63.028062970568101"/>
    <m/>
    <m/>
    <m/>
    <m/>
    <s v=""/>
    <m/>
    <m/>
    <m/>
    <m/>
    <m/>
    <m/>
    <m/>
    <m/>
    <m/>
    <m/>
    <m/>
    <m/>
    <m/>
    <m/>
    <m/>
    <s v="SI"/>
    <d v="2020-07-05T00:00:00"/>
    <s v="SHOCK SEPTIC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3"/>
    <n v="9.856262833675565E-2"/>
    <n v="8.2135523613963042E-3"/>
  </r>
  <r>
    <x v="3"/>
    <s v="UP2103 - HOSPITAL NACIONAL DE NIÑOS"/>
    <m/>
    <s v="RIÑON"/>
    <x v="0"/>
    <m/>
    <m/>
    <m/>
    <m/>
    <m/>
    <s v="NAOMY ALEXANDRA"/>
    <s v="REYES"/>
    <s v="KATHIN"/>
    <n v="118970530"/>
    <x v="281"/>
    <s v="FEMENINA"/>
    <d v="2003-10-24T00:00:00"/>
    <n v="17.045859000684462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717"/>
    <n v="56.410677618069812"/>
    <n v="4.7008898015058183"/>
  </r>
  <r>
    <x v="2"/>
    <m/>
    <m/>
    <s v="RIÑÓN"/>
    <x v="0"/>
    <s v="NO"/>
    <m/>
    <m/>
    <n v="120.85968514715948"/>
    <s v="NINGUNO"/>
    <s v="JOSE RICARDO"/>
    <s v="CASCANTE"/>
    <s v="LEON"/>
    <n v="116340582"/>
    <x v="281"/>
    <s v="MASCULINO "/>
    <d v="1996-02-28T00:00:00"/>
    <n v="24.698151950718685"/>
    <s v="O+"/>
    <m/>
    <s v="Glomerulopatia membranoproliferativa"/>
    <s v="HEMODIÁLISIS"/>
    <s v="COSTA RICA"/>
    <s v="CARTAGO"/>
    <s v="CARTAGO"/>
    <s v="AGUACALIENTE (SAN FRANCISCO)"/>
    <m/>
    <m/>
    <m/>
    <m/>
    <m/>
    <s v="VIVO"/>
    <s v="VIVO"/>
    <s v="VIVO"/>
    <s v="VIVO"/>
    <s v="VIVO"/>
    <s v="FALLECIDO"/>
    <m/>
    <s v="SI"/>
    <d v="2024-09-19T00:00:00"/>
    <s v="HEMORRAGIA INTRACEREBRAL"/>
    <s v="NO"/>
    <s v="FUNCIONAL"/>
    <s v="FUNCIONAL"/>
    <s v="NO FUNCIONAL"/>
    <m/>
    <m/>
    <s v="SET 2022"/>
    <s v="RECURRENCIA DE GLOMERULOPATIA"/>
    <s v="REGRESO A DIÁLISIS"/>
    <s v="NO"/>
    <m/>
    <s v="TIMO"/>
    <n v="1.4"/>
    <n v="72"/>
    <s v="NO"/>
    <m/>
    <m/>
    <m/>
    <m/>
    <s v="NO"/>
    <m/>
    <m/>
    <s v="NO"/>
    <m/>
    <m/>
    <m/>
    <m/>
    <m/>
    <m/>
    <m/>
    <n v="1"/>
    <n v="1410"/>
    <n v="46.324435318275157"/>
    <n v="3.8603696098562628"/>
  </r>
  <r>
    <x v="2"/>
    <m/>
    <m/>
    <s v="RIÑÓN"/>
    <x v="0"/>
    <s v="SI"/>
    <m/>
    <m/>
    <n v="120.8870636550308"/>
    <s v="NINGUNO"/>
    <s v="LUIS ANGEL"/>
    <s v="FERNANDEZ"/>
    <s v="SEGURA"/>
    <n v="108510498"/>
    <x v="282"/>
    <s v="MASCULINO "/>
    <d v="1973-01-24T00:00:00"/>
    <n v="47.819301848049278"/>
    <s v="O+"/>
    <m/>
    <s v="NEFROPATIA HIPERTENSIVA"/>
    <s v="DIÁLISIS PERITONEAL"/>
    <s v="COSTA RICA"/>
    <s v="SAN JOSE"/>
    <s v="LEON CORTES"/>
    <s v="SANTA CRUZ"/>
    <m/>
    <m/>
    <m/>
    <m/>
    <m/>
    <s v="VIVO"/>
    <s v="VIVO"/>
    <s v="VIVO"/>
    <s v="VIVO"/>
    <s v="FALLECIDO"/>
    <m/>
    <m/>
    <s v="SI"/>
    <d v="2023-07-08T00:00:00"/>
    <s v="TROMBOSIS "/>
    <s v="SI"/>
    <s v="FUNCIONAL"/>
    <s v="NO FUNCIONAL"/>
    <s v="NO FUNCIONAL"/>
    <m/>
    <m/>
    <d v="2020-12-01T00:00:00"/>
    <s v="TROMBOSIS ART RENAL"/>
    <s v="REGRESO A DIÁLISIS"/>
    <s v="NO"/>
    <m/>
    <s v="TIMO"/>
    <s v="NA"/>
    <m/>
    <s v="NO"/>
    <m/>
    <m/>
    <m/>
    <m/>
    <s v="NO"/>
    <m/>
    <m/>
    <s v="NO"/>
    <m/>
    <m/>
    <m/>
    <m/>
    <m/>
    <m/>
    <m/>
    <n v="1"/>
    <n v="961"/>
    <n v="31.572895277207394"/>
    <n v="2.6310746064339492"/>
  </r>
  <r>
    <x v="2"/>
    <m/>
    <m/>
    <s v="RIÑÓN"/>
    <x v="0"/>
    <s v="SI"/>
    <m/>
    <m/>
    <n v="120.89253935660507"/>
    <s v="NINGUNO"/>
    <m/>
    <m/>
    <m/>
    <n v="401790115"/>
    <x v="283"/>
    <s v="MASCULINO "/>
    <d v="1982-09-20T00:00:00"/>
    <n v="38.171115674195754"/>
    <s v="B+"/>
    <m/>
    <s v="NEFROPATIA POR IGA"/>
    <s v="DIÁLISIS PERITONEAL"/>
    <s v="COSTA RICA"/>
    <s v="CARTAGO"/>
    <s v="CARTAGO"/>
    <s v="DULCE NOMBRE"/>
    <m/>
    <m/>
    <m/>
    <m/>
    <m/>
    <s v="VIVO"/>
    <s v="VIVO"/>
    <s v="VIVO"/>
    <s v="VIVO"/>
    <s v="VIVO"/>
    <m/>
    <m/>
    <s v="NO"/>
    <s v="NA"/>
    <s v="NA"/>
    <m/>
    <s v="FUNCIONAL"/>
    <s v="FUNCIONAL"/>
    <s v="FUNCIONAL"/>
    <m/>
    <m/>
    <s v="NA"/>
    <m/>
    <m/>
    <s v="NO"/>
    <m/>
    <s v="TIMO"/>
    <n v="1.23"/>
    <n v="77"/>
    <s v="NO"/>
    <m/>
    <m/>
    <m/>
    <m/>
    <s v="NO"/>
    <m/>
    <m/>
    <s v="NO"/>
    <m/>
    <m/>
    <m/>
    <m/>
    <m/>
    <m/>
    <m/>
    <n v="0"/>
    <n v="1705"/>
    <n v="56.016427104722794"/>
    <n v="4.6680355920602326"/>
  </r>
  <r>
    <x v="1"/>
    <m/>
    <m/>
    <s v="RIÑON"/>
    <x v="0"/>
    <m/>
    <m/>
    <m/>
    <m/>
    <m/>
    <s v="KRISIA MARIA"/>
    <s v="MONTOYA"/>
    <s v="CALDERON"/>
    <n v="901050856"/>
    <x v="284"/>
    <s v="FEMENINA"/>
    <d v="1980-02-29T00:00:00"/>
    <n v="40.73100616016427"/>
    <m/>
    <m/>
    <m/>
    <m/>
    <s v="COSTA RICA"/>
    <s v="SAN JOSE"/>
    <s v="CORONADO"/>
    <s v="SAN RAFAEL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704"/>
    <n v="55.983572895277206"/>
    <n v="4.6652977412731005"/>
  </r>
  <r>
    <x v="3"/>
    <s v="UP2103 - HOSPITAL NACIONAL DE NIÑOS"/>
    <m/>
    <s v="RIÑON"/>
    <x v="0"/>
    <m/>
    <m/>
    <m/>
    <m/>
    <m/>
    <s v="ANDRES DE JESUS"/>
    <s v="ROQUE"/>
    <s v="BONILLA"/>
    <n v="120340778"/>
    <x v="285"/>
    <s v="MASCULINO"/>
    <d v="2008-09-17T00:00:00"/>
    <n v="12.210814510609172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693"/>
    <n v="55.622176591375769"/>
    <n v="4.6351813826146477"/>
  </r>
  <r>
    <x v="2"/>
    <m/>
    <m/>
    <s v="RIÑÓN"/>
    <x v="0"/>
    <s v="NO"/>
    <m/>
    <m/>
    <n v="120.92539356605064"/>
    <s v="NINGUNO"/>
    <m/>
    <m/>
    <m/>
    <n v="304500780"/>
    <x v="285"/>
    <s v="MASCULINO "/>
    <d v="1990-12-22T00:00:00"/>
    <n v="29.949349760438057"/>
    <s v="A+"/>
    <m/>
    <s v="NEFROPATIA POR IGA"/>
    <s v="HEMODIÁLISIS"/>
    <s v="COSTA RICA"/>
    <s v="CARTAGO"/>
    <s v="CARTAGO"/>
    <s v="ORIENTAL"/>
    <m/>
    <m/>
    <m/>
    <m/>
    <m/>
    <s v="VIVO"/>
    <s v="VIVO"/>
    <s v="VIVO"/>
    <s v="VIVO"/>
    <s v="VIVO"/>
    <m/>
    <m/>
    <s v="NO"/>
    <m/>
    <m/>
    <m/>
    <s v="FUNCIONAL"/>
    <s v="FUNCIONAL"/>
    <s v="FUNCIONAL"/>
    <m/>
    <m/>
    <s v="NA"/>
    <m/>
    <m/>
    <s v="NO"/>
    <m/>
    <s v="TIMO"/>
    <n v="0.94"/>
    <n v="111"/>
    <s v="NO"/>
    <m/>
    <m/>
    <m/>
    <m/>
    <s v="NO"/>
    <m/>
    <m/>
    <s v="NO"/>
    <m/>
    <m/>
    <m/>
    <m/>
    <m/>
    <m/>
    <m/>
    <n v="0"/>
    <n v="1693"/>
    <n v="55.622176591375769"/>
    <n v="4.6351813826146477"/>
  </r>
  <r>
    <x v="2"/>
    <m/>
    <m/>
    <s v="RIÑÓN"/>
    <x v="0"/>
    <s v="SI"/>
    <m/>
    <m/>
    <n v="120.95824777549623"/>
    <s v="NINGUNO"/>
    <s v="ANA YANCY"/>
    <s v="CASASOLA"/>
    <s v="CASTRO"/>
    <n v="303330662"/>
    <x v="286"/>
    <s v="FEMENINO"/>
    <d v="1974-12-27T00:00:00"/>
    <n v="45.968514715947983"/>
    <s v="A+"/>
    <m/>
    <s v="NEFROPATIA DIABETICA"/>
    <s v="HEMODIÁLISIS"/>
    <s v="COSTA RICA"/>
    <s v="CARTAGO"/>
    <s v="TURRIALBA"/>
    <s v="SANTA CRUZ"/>
    <m/>
    <m/>
    <m/>
    <m/>
    <m/>
    <s v="VIVO"/>
    <s v="VIVO"/>
    <s v="FALLECIDO"/>
    <s v="FALLECIDO"/>
    <s v="FALLECIDO"/>
    <m/>
    <m/>
    <s v="SI"/>
    <d v="2021-02-05T00:00:00"/>
    <s v="BRONCONEUMONIA"/>
    <s v="SI"/>
    <s v="FUNCIONAL"/>
    <m/>
    <m/>
    <m/>
    <m/>
    <s v="NA"/>
    <m/>
    <m/>
    <s v="NO"/>
    <m/>
    <s v="TIMO"/>
    <s v="NA"/>
    <s v="NA"/>
    <s v="NO"/>
    <m/>
    <m/>
    <m/>
    <m/>
    <s v="NO"/>
    <m/>
    <m/>
    <s v="NO"/>
    <m/>
    <m/>
    <m/>
    <m/>
    <m/>
    <m/>
    <m/>
    <n v="1"/>
    <n v="52"/>
    <n v="1.7084188911704312"/>
    <n v="0.14236824093086928"/>
  </r>
  <r>
    <x v="1"/>
    <m/>
    <m/>
    <s v="RIÑON"/>
    <x v="0"/>
    <m/>
    <m/>
    <m/>
    <m/>
    <m/>
    <s v="ERASMO ANTONIO"/>
    <s v="MAIRENA"/>
    <s v="CASTILLO"/>
    <n v="15858893"/>
    <x v="287"/>
    <s v="MASCULINO"/>
    <d v="1958-09-18T00:00:00"/>
    <n v="62.253251197809718"/>
    <m/>
    <m/>
    <m/>
    <m/>
    <s v="NICARAGUA"/>
    <s v="LIMON"/>
    <s v="CENTRAL"/>
    <s v="LIMO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677"/>
    <n v="55.096509240246405"/>
    <n v="4.5913757700205338"/>
  </r>
  <r>
    <x v="3"/>
    <s v="UP2103 - HOSPITAL NACIONAL DE NIÑOS"/>
    <m/>
    <s v="RIÑON"/>
    <x v="0"/>
    <m/>
    <m/>
    <m/>
    <m/>
    <m/>
    <s v="MIA BELEN"/>
    <s v="JIMENEZ"/>
    <s v="SOBALVARRO"/>
    <n v="504780036"/>
    <x v="287"/>
    <s v="FEMENINA"/>
    <d v="2008-07-24T00:00:00"/>
    <n v="12.405201916495551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677"/>
    <n v="55.096509240246405"/>
    <n v="4.5913757700205338"/>
  </r>
  <r>
    <x v="1"/>
    <m/>
    <m/>
    <s v="RIÑON"/>
    <x v="0"/>
    <m/>
    <m/>
    <m/>
    <m/>
    <m/>
    <s v="GEINER JOSE"/>
    <s v="AGUILAR"/>
    <s v="GONZALEZ"/>
    <n v="112520836"/>
    <x v="288"/>
    <s v="MASCULINO"/>
    <d v="1985-09-06T00:00:00"/>
    <n v="35.351129363449694"/>
    <m/>
    <m/>
    <m/>
    <m/>
    <s v="COSTA RICA"/>
    <s v="ALAJUELA"/>
    <s v="NARANJO"/>
    <s v="NARANJ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653"/>
    <n v="54.308008213552363"/>
    <n v="4.5256673511293632"/>
  </r>
  <r>
    <x v="1"/>
    <m/>
    <m/>
    <s v="RIÑON"/>
    <x v="0"/>
    <m/>
    <m/>
    <m/>
    <m/>
    <m/>
    <s v="DEBORA JERONIMA"/>
    <s v="SIEZAR"/>
    <s v="MORA"/>
    <n v="28677924"/>
    <x v="289"/>
    <s v="FEMENINA"/>
    <d v="1986-09-08T00:00:00"/>
    <n v="34.606433949349757"/>
    <m/>
    <m/>
    <m/>
    <m/>
    <s v="NICARAGU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558"/>
    <n v="51.186858316221766"/>
    <n v="4.2655715263518141"/>
  </r>
  <r>
    <x v="1"/>
    <m/>
    <m/>
    <s v="RIÑON"/>
    <x v="0"/>
    <m/>
    <m/>
    <m/>
    <m/>
    <m/>
    <s v="RONALD GERARDO"/>
    <s v="GARRO"/>
    <s v="VARGAS"/>
    <n v="900820783"/>
    <x v="289"/>
    <s v="MASCULINO"/>
    <d v="1968-02-23T00:00:00"/>
    <n v="53.147159479808352"/>
    <m/>
    <m/>
    <m/>
    <m/>
    <s v="COSTA RICA"/>
    <s v="SAN JOSE"/>
    <s v="DESAMPARADOS"/>
    <s v="SAN MIGUEL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558"/>
    <n v="51.186858316221766"/>
    <n v="4.2655715263518141"/>
  </r>
  <r>
    <x v="2"/>
    <m/>
    <m/>
    <s v="RIÑÓN"/>
    <x v="0"/>
    <s v="SI"/>
    <m/>
    <m/>
    <n v="121.30595482546201"/>
    <s v="NINGUNO"/>
    <m/>
    <m/>
    <m/>
    <n v="303000105"/>
    <x v="290"/>
    <s v="MASCULINO "/>
    <d v="1967-07-05T00:00:00"/>
    <n v="53.796030116358658"/>
    <s v="A+"/>
    <m/>
    <s v="NEFROPATIA DIABETICA"/>
    <s v="DIÁLISIS PERITONEAL"/>
    <s v="COSTA RICA"/>
    <s v="CARTAGO"/>
    <s v="CARTAGO"/>
    <s v="DULCE NOMBRE"/>
    <m/>
    <m/>
    <m/>
    <m/>
    <m/>
    <s v="VIVO"/>
    <s v="VIVO"/>
    <s v="VIVO"/>
    <s v="VIVO"/>
    <s v="VIVO"/>
    <m/>
    <m/>
    <s v="NO"/>
    <s v="NA"/>
    <m/>
    <m/>
    <s v="FUNCIONAL"/>
    <s v="FUNCIONAL"/>
    <s v="FUNCIONAL"/>
    <m/>
    <m/>
    <s v="NA"/>
    <m/>
    <m/>
    <s v="NO"/>
    <m/>
    <s v="TIMO"/>
    <n v="1.3"/>
    <n v="65"/>
    <s v="NO"/>
    <m/>
    <m/>
    <m/>
    <m/>
    <s v="NO"/>
    <m/>
    <m/>
    <s v="NO"/>
    <m/>
    <m/>
    <m/>
    <m/>
    <m/>
    <m/>
    <m/>
    <n v="0"/>
    <n v="1554"/>
    <n v="51.055441478439427"/>
    <n v="4.2546201232032859"/>
  </r>
  <r>
    <x v="0"/>
    <m/>
    <m/>
    <s v="RIÑON"/>
    <x v="0"/>
    <m/>
    <m/>
    <m/>
    <m/>
    <m/>
    <s v="DAVID"/>
    <s v="CAMPOS"/>
    <s v="ALPIZAR"/>
    <n v="208140015"/>
    <x v="291"/>
    <s v="MASCULINO"/>
    <d v="2001-01-19T00:00:00"/>
    <n v="20.295687885010267"/>
    <m/>
    <m/>
    <m/>
    <m/>
    <s v="COSTA RICA"/>
    <s v="Los chile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538"/>
    <n v="50.529774127310063"/>
    <n v="4.2108145106091719"/>
  </r>
  <r>
    <x v="1"/>
    <m/>
    <m/>
    <s v="RIÑON"/>
    <x v="0"/>
    <m/>
    <m/>
    <m/>
    <m/>
    <m/>
    <s v="MIRIAM SIMONA"/>
    <s v="ARCE"/>
    <s v="BADILLA"/>
    <n v="601410172"/>
    <x v="292"/>
    <s v="FEMENINA"/>
    <d v="1958-10-28T00:00:00"/>
    <n v="62.543463381245722"/>
    <m/>
    <m/>
    <m/>
    <m/>
    <s v="COSTA RICA"/>
    <s v="SAN JOSE"/>
    <s v="DESAMPARADOS"/>
    <s v="DESAMPARADOS"/>
    <m/>
    <m/>
    <m/>
    <m/>
    <m/>
    <m/>
    <m/>
    <m/>
    <m/>
    <m/>
    <m/>
    <m/>
    <s v="SI"/>
    <d v="2022-05-2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372"/>
    <n v="12.2217659137577"/>
    <n v="1.0184804928131417"/>
  </r>
  <r>
    <x v="1"/>
    <m/>
    <m/>
    <s v="RIÑON"/>
    <x v="0"/>
    <m/>
    <m/>
    <m/>
    <m/>
    <m/>
    <s v="GISELLE ALBINA"/>
    <s v="MADRIZ"/>
    <s v="MONTOYA"/>
    <n v="302950945"/>
    <x v="293"/>
    <s v="FEMENINA"/>
    <d v="1968-02-09T00:00:00"/>
    <n v="53.262149212867897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530"/>
    <n v="50.266940451745377"/>
    <n v="4.1889117043121153"/>
  </r>
  <r>
    <x v="0"/>
    <m/>
    <m/>
    <s v="RIÑON"/>
    <x v="1"/>
    <m/>
    <m/>
    <m/>
    <m/>
    <s v="Esposa"/>
    <s v="JOSE DOMINGO"/>
    <s v="SOLORZANO"/>
    <s v="MENDOZA"/>
    <n v="17815807"/>
    <x v="294"/>
    <s v="MASCULINO"/>
    <d v="1978-01-06T00:00:00"/>
    <n v="43.498973305954827"/>
    <s v="O+"/>
    <m/>
    <m/>
    <m/>
    <s v="NICARAGUA"/>
    <s v="PUNTARENAS"/>
    <s v="AGUIRRE"/>
    <s v="QUEPO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477"/>
    <n v="48.525667351129364"/>
    <n v="4.043805612594114"/>
  </r>
  <r>
    <x v="0"/>
    <m/>
    <m/>
    <s v="RIÑON"/>
    <x v="1"/>
    <m/>
    <m/>
    <m/>
    <m/>
    <s v="Hijo"/>
    <s v="LILIANA MARIA"/>
    <s v="VENEGAS"/>
    <s v="CHAVARRIA"/>
    <n v="204630609"/>
    <x v="295"/>
    <s v="FEMENINA"/>
    <d v="1970-12-24T00:00:00"/>
    <n v="50.573579739904176"/>
    <s v="A+"/>
    <m/>
    <m/>
    <m/>
    <s v="COSTA RICA"/>
    <s v="ALAJUELA"/>
    <s v="CENTRAL"/>
    <s v="ALAJUEL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463"/>
    <n v="48.06570841889117"/>
    <n v="4.0054757015742641"/>
  </r>
  <r>
    <x v="1"/>
    <m/>
    <m/>
    <s v="RIÑON"/>
    <x v="0"/>
    <m/>
    <m/>
    <m/>
    <m/>
    <m/>
    <s v="MARCO TULIO"/>
    <s v="CARBALLO"/>
    <s v="FONSECA"/>
    <n v="104091386"/>
    <x v="296"/>
    <s v="MASCULINO"/>
    <d v="1952-07-31T00:00:00"/>
    <n v="68.977412731006154"/>
    <m/>
    <m/>
    <m/>
    <m/>
    <s v="COSTA RICA"/>
    <s v="SAN JOSE"/>
    <s v="MORAVIA"/>
    <s v="LA TRINIDAD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461"/>
    <n v="48"/>
    <n v="4"/>
  </r>
  <r>
    <x v="1"/>
    <m/>
    <m/>
    <s v="RIÑON"/>
    <x v="0"/>
    <m/>
    <m/>
    <m/>
    <m/>
    <m/>
    <s v="ANA VANESSA"/>
    <s v="MASIS"/>
    <s v="MONTENEGRO"/>
    <n v="109150430"/>
    <x v="296"/>
    <s v="FEMENINA"/>
    <d v="1975-08-03T00:00:00"/>
    <n v="45.97125256673511"/>
    <m/>
    <m/>
    <m/>
    <m/>
    <s v="COSTA RICA"/>
    <s v="CARTAGO"/>
    <s v="OREAMUNO"/>
    <s v="CIPRESE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461"/>
    <n v="48"/>
    <n v="4"/>
  </r>
  <r>
    <x v="0"/>
    <m/>
    <m/>
    <s v="RIÑON"/>
    <x v="1"/>
    <m/>
    <m/>
    <m/>
    <m/>
    <s v="Madre"/>
    <s v="JOSE PABLO"/>
    <s v="RUIZ"/>
    <s v="ESQUIVEL"/>
    <n v="118010041"/>
    <x v="297"/>
    <s v="MASCULINO"/>
    <d v="2001-01-18T00:00:00"/>
    <n v="20.533880903490761"/>
    <s v="O+"/>
    <m/>
    <m/>
    <m/>
    <s v="COSTA RICA"/>
    <s v="Naranjo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452"/>
    <n v="47.704312114989733"/>
    <n v="3.9753593429158109"/>
  </r>
  <r>
    <x v="0"/>
    <m/>
    <m/>
    <s v="RIÑON"/>
    <x v="1"/>
    <m/>
    <m/>
    <m/>
    <m/>
    <s v="Hermana"/>
    <s v="JAYRO"/>
    <s v="URBINA"/>
    <s v="MENDOZA"/>
    <n v="1780103541"/>
    <x v="298"/>
    <s v="MASCULINO"/>
    <d v="1978-02-26T00:00:00"/>
    <n v="43.455167693360714"/>
    <s v="O+"/>
    <m/>
    <m/>
    <m/>
    <s v="NICARAGUA"/>
    <s v="Bagace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442"/>
    <n v="47.375770020533878"/>
    <n v="3.9479808350444903"/>
  </r>
  <r>
    <x v="0"/>
    <m/>
    <m/>
    <s v="RIÑON"/>
    <x v="1"/>
    <m/>
    <m/>
    <m/>
    <m/>
    <s v="Primo"/>
    <s v="LUIS ENRIQUE"/>
    <s v="HERRERA"/>
    <s v="MONTERO"/>
    <n v="114420462"/>
    <x v="299"/>
    <s v="MASCULINO"/>
    <d v="1990-10-12T00:00:00"/>
    <n v="30.850102669404517"/>
    <s v="O-"/>
    <m/>
    <m/>
    <m/>
    <s v="COSTA RICA"/>
    <s v="SAN JOSE"/>
    <s v="MORAVIA"/>
    <s v="SAN VICENT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435"/>
    <n v="47.145790554414788"/>
    <n v="3.9288158795345653"/>
  </r>
  <r>
    <x v="1"/>
    <m/>
    <m/>
    <s v="RIÑON"/>
    <x v="0"/>
    <m/>
    <m/>
    <m/>
    <m/>
    <m/>
    <s v="GIOVANNY FRANCISCO"/>
    <s v="AGUILAR"/>
    <s v="RAMIREZ"/>
    <n v="901310590"/>
    <x v="300"/>
    <s v="MASCULINO"/>
    <d v="1983-07-28T00:00:00"/>
    <n v="38.094455852156059"/>
    <m/>
    <m/>
    <m/>
    <m/>
    <s v="COSTA RICA"/>
    <m/>
    <m/>
    <m/>
    <m/>
    <m/>
    <m/>
    <m/>
    <m/>
    <m/>
    <m/>
    <m/>
    <m/>
    <m/>
    <m/>
    <m/>
    <s v="SI"/>
    <d v="2021-09-04T00:00:00"/>
    <s v="SHOCK SEPTIC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4"/>
    <n v="0.13141683778234087"/>
    <n v="1.0951403148528405E-2"/>
  </r>
  <r>
    <x v="0"/>
    <m/>
    <m/>
    <s v="RIÑON"/>
    <x v="1"/>
    <m/>
    <m/>
    <m/>
    <m/>
    <s v="Esposa"/>
    <s v="EDDIE ALONSO"/>
    <s v="ARAYA"/>
    <s v="ARCE"/>
    <n v="401670124"/>
    <x v="301"/>
    <s v="MASCULINO"/>
    <d v="1978-01-29T00:00:00"/>
    <n v="43.627652292950032"/>
    <m/>
    <m/>
    <m/>
    <m/>
    <s v="COSTA RICA"/>
    <s v="HEREDIA"/>
    <s v="CENTRAL"/>
    <s v="SAN FRANCISC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407"/>
    <n v="46.225872689938399"/>
    <n v="3.8521560574948666"/>
  </r>
  <r>
    <x v="0"/>
    <m/>
    <m/>
    <s v="RIÑON"/>
    <x v="1"/>
    <m/>
    <m/>
    <m/>
    <m/>
    <s v="Madre"/>
    <s v="KATHERINE LUCIA"/>
    <s v="LOPEZ"/>
    <s v="NOINDICAOTRO"/>
    <n v="2000082265"/>
    <x v="302"/>
    <s v="FEMENINA"/>
    <d v="2000-01-07T00:00:00"/>
    <n v="21.727583846680357"/>
    <m/>
    <m/>
    <m/>
    <m/>
    <s v="NICARAGU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93"/>
    <n v="45.765913757700204"/>
    <n v="3.8138261464750172"/>
  </r>
  <r>
    <x v="0"/>
    <m/>
    <m/>
    <s v="RIÑON"/>
    <x v="0"/>
    <m/>
    <m/>
    <m/>
    <m/>
    <m/>
    <s v="FELIPE ANTONIO"/>
    <s v="JIMENEZ"/>
    <s v="GARCIA"/>
    <n v="17615726"/>
    <x v="303"/>
    <s v="MASCULINO"/>
    <d v="1976-08-14T00:00:00"/>
    <n v="45.144421629021217"/>
    <m/>
    <m/>
    <m/>
    <m/>
    <s v=""/>
    <s v="GUANACASTE"/>
    <s v="LIBERIA"/>
    <s v="LIBER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86"/>
    <n v="45.535934291581107"/>
    <n v="3.7946611909650922"/>
  </r>
  <r>
    <x v="0"/>
    <m/>
    <m/>
    <s v="RIÑON"/>
    <x v="0"/>
    <m/>
    <m/>
    <m/>
    <m/>
    <m/>
    <s v="MARCELO"/>
    <s v="MARTINEZ"/>
    <s v="UGARTE"/>
    <n v="204140547"/>
    <x v="303"/>
    <s v="MASCULINO"/>
    <d v="1965-11-16T00:00:00"/>
    <n v="55.887748117727583"/>
    <m/>
    <m/>
    <m/>
    <m/>
    <s v="COSTA RICA"/>
    <s v="ALAJUELA"/>
    <s v="UPALA"/>
    <s v="DELICIA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86"/>
    <n v="45.535934291581107"/>
    <n v="3.7946611909650922"/>
  </r>
  <r>
    <x v="3"/>
    <s v="UP2103 - HOSPITAL NACIONAL DE NIÑOS"/>
    <m/>
    <s v="RIÑON"/>
    <x v="0"/>
    <m/>
    <m/>
    <m/>
    <m/>
    <m/>
    <s v="STEVENS JUANSHIN"/>
    <s v="ARAGON"/>
    <s v="TAYLOR"/>
    <n v="1070080848"/>
    <x v="303"/>
    <s v="MASCULINO"/>
    <d v="2007-12-21T00:00:00"/>
    <n v="13.793292265571527"/>
    <m/>
    <m/>
    <m/>
    <m/>
    <s v="NICARAGU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86"/>
    <n v="45.535934291581107"/>
    <n v="3.7946611909650922"/>
  </r>
  <r>
    <x v="1"/>
    <m/>
    <m/>
    <s v="RIÑON"/>
    <x v="1"/>
    <m/>
    <m/>
    <m/>
    <m/>
    <m/>
    <s v="KAROL MARIA"/>
    <s v="MENDEZ"/>
    <s v="PEREZ"/>
    <n v="206520147"/>
    <x v="304"/>
    <s v="FEMENINA"/>
    <d v="1988-10-16T00:00:00"/>
    <n v="33.007529089664615"/>
    <m/>
    <m/>
    <m/>
    <m/>
    <s v="COSTA RICA"/>
    <s v="HEREDIA"/>
    <s v="CENTRAL"/>
    <s v="SAN FRANCISC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73"/>
    <n v="45.108829568788501"/>
    <n v="3.7590691307323749"/>
  </r>
  <r>
    <x v="0"/>
    <m/>
    <m/>
    <s v="RIÑON"/>
    <x v="1"/>
    <m/>
    <m/>
    <m/>
    <m/>
    <s v="Cuñada"/>
    <s v="JENNIFER PRISCILLA"/>
    <s v="AZOFEIFA"/>
    <s v="CHAVARRIA"/>
    <n v="114630845"/>
    <x v="305"/>
    <s v="FEMENINA"/>
    <d v="1991-05-28T00:00:00"/>
    <n v="30.417522245037645"/>
    <m/>
    <m/>
    <m/>
    <m/>
    <s v="COSTA RICA"/>
    <s v="HEREDIA"/>
    <s v="SANTO DOMINGO"/>
    <s v="SAN MIGUEL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65"/>
    <n v="44.845995893223822"/>
    <n v="3.7371663244353184"/>
  </r>
  <r>
    <x v="1"/>
    <m/>
    <m/>
    <s v="RIÑON"/>
    <x v="0"/>
    <m/>
    <m/>
    <m/>
    <m/>
    <m/>
    <s v="SAMUEL DE JESUS"/>
    <s v="GUTIERREZ"/>
    <s v="SANCHEZ"/>
    <n v="1820101341"/>
    <x v="306"/>
    <s v="MASCULINO"/>
    <d v="1982-12-22T00:00:00"/>
    <n v="38.866529774127308"/>
    <m/>
    <m/>
    <m/>
    <m/>
    <s v="NICARAGUA"/>
    <s v="SAN JOSE"/>
    <s v="TIBAS"/>
    <s v="ANSELMO LLORENT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58"/>
    <n v="44.616016427104725"/>
    <n v="3.7180013689253935"/>
  </r>
  <r>
    <x v="3"/>
    <s v="UP2103 - HOSPITAL NACIONAL DE NIÑOS"/>
    <m/>
    <s v="RIÑON"/>
    <x v="0"/>
    <m/>
    <m/>
    <m/>
    <m/>
    <m/>
    <s v="JUSTIN FABIAN"/>
    <s v="ARCE"/>
    <s v="MONTERO"/>
    <n v="703590383"/>
    <x v="307"/>
    <s v="MASCULINO"/>
    <d v="2011-04-10T00:00:00"/>
    <n v="10.570841889117043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57"/>
    <n v="44.583162217659137"/>
    <n v="3.7152635181382614"/>
  </r>
  <r>
    <x v="3"/>
    <s v="UP2103 - HOSPITAL NACIONAL DE NIÑOS"/>
    <m/>
    <s v="RIÑON"/>
    <x v="0"/>
    <m/>
    <m/>
    <m/>
    <m/>
    <m/>
    <s v="ALLAN DAVID"/>
    <s v="RETANA"/>
    <s v="BARBOZA"/>
    <n v="120440496"/>
    <x v="308"/>
    <s v="MASCULINO"/>
    <d v="2009-01-18T00:00:00"/>
    <n v="12.802190280629706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54"/>
    <n v="44.484599589322379"/>
    <n v="3.7070499657768652"/>
  </r>
  <r>
    <x v="3"/>
    <s v="UP2103 - HOSPITAL NACIONAL DE NIÑOS"/>
    <m/>
    <s v="RIÑON"/>
    <x v="0"/>
    <m/>
    <m/>
    <m/>
    <m/>
    <m/>
    <s v="MIGUEL ALONSO"/>
    <s v="UMAÑA"/>
    <s v="QUESADA"/>
    <n v="605350603"/>
    <x v="308"/>
    <s v="MASCULINO"/>
    <d v="2012-01-23T00:00:00"/>
    <n v="9.7905544147843937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54"/>
    <n v="44.484599589322379"/>
    <n v="3.7070499657768652"/>
  </r>
  <r>
    <x v="0"/>
    <m/>
    <m/>
    <s v="RIÑON"/>
    <x v="1"/>
    <m/>
    <m/>
    <m/>
    <m/>
    <s v="Padre"/>
    <s v="ROY ALBERTO"/>
    <s v="CHAVES"/>
    <s v="ZUÑIGA"/>
    <n v="207170458"/>
    <x v="309"/>
    <s v="MASCULINO"/>
    <d v="1993-09-21T00:00:00"/>
    <n v="28.136892539356605"/>
    <s v="O+"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51"/>
    <n v="44.386036960985628"/>
    <n v="3.698836413415469"/>
  </r>
  <r>
    <x v="0"/>
    <m/>
    <m/>
    <s v="RIÑON"/>
    <x v="1"/>
    <m/>
    <m/>
    <m/>
    <m/>
    <s v="Hermana"/>
    <s v="YOHANA MARIA"/>
    <s v="HIDALGO"/>
    <s v="OVIEDO"/>
    <n v="207390231"/>
    <x v="310"/>
    <s v="FEMENINA"/>
    <d v="1995-05-12T00:00:00"/>
    <n v="26.518822724161534"/>
    <m/>
    <m/>
    <m/>
    <m/>
    <s v="COSTA RICA"/>
    <s v="ALAJUELA"/>
    <s v="GRECIA"/>
    <s v="SAN ROQU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44"/>
    <n v="44.156057494866531"/>
    <n v="3.6796714579055441"/>
  </r>
  <r>
    <x v="4"/>
    <s v="UP2102 - HOSPITAL SAN JUAN DE DIOS"/>
    <s v="N/A"/>
    <s v="RIÑON"/>
    <x v="1"/>
    <m/>
    <s v="O+"/>
    <d v="1973-06-04T00:00:00"/>
    <n v="48.473648186173854"/>
    <s v="RELACIONADO CONSANGUÍNEO"/>
    <s v="NAOMI NAYELI"/>
    <s v="MENA"/>
    <s v="FALLA"/>
    <n v="118000414"/>
    <x v="311"/>
    <s v="FEMENINO"/>
    <d v="2001-01-21T06:00:00"/>
    <n v="20.839835728952771"/>
    <s v="A+"/>
    <m/>
    <s v="ERC ESTADÍO V"/>
    <s v="DIÁLISIS PERITONEAL"/>
    <s v="COSTA RICA"/>
    <s v="SAN JOSÉ"/>
    <s v="SAN JOSÉ"/>
    <s v="PAVAS"/>
    <m/>
    <m/>
    <m/>
    <n v="0"/>
    <m/>
    <s v="ADECUADA"/>
    <s v="RIÑÓN FUNCIONAL"/>
    <s v="RIÑÓN FUNCIONAL"/>
    <s v="RIÑÓN FUNCIONAL"/>
    <m/>
    <m/>
    <m/>
    <s v="NO"/>
    <m/>
    <s v="N/A"/>
    <m/>
    <s v="FUNCIONAL"/>
    <m/>
    <m/>
    <m/>
    <m/>
    <s v="N/A"/>
    <m/>
    <m/>
    <s v="NO"/>
    <m/>
    <m/>
    <m/>
    <m/>
    <m/>
    <m/>
    <m/>
    <m/>
    <m/>
    <m/>
    <m/>
    <m/>
    <m/>
    <m/>
    <m/>
    <s v="17362971"/>
    <s v="MASCULINO"/>
    <s v="NICARAGÜENSE"/>
    <s v="1° GRADO"/>
    <s v="MADRE/PADRE"/>
    <n v="0"/>
    <n v="1337"/>
    <n v="43.926078028747433"/>
    <n v="3.6605065023956196"/>
  </r>
  <r>
    <x v="0"/>
    <m/>
    <m/>
    <s v="RIÑON"/>
    <x v="1"/>
    <m/>
    <m/>
    <m/>
    <m/>
    <s v="Hermano"/>
    <s v="NELSON ELIAS"/>
    <s v="FONSECA"/>
    <s v="MOLINA"/>
    <n v="503060529"/>
    <x v="312"/>
    <s v="MASCULINO"/>
    <d v="1978-02-13T00:00:00"/>
    <n v="43.797399041752222"/>
    <m/>
    <m/>
    <m/>
    <m/>
    <s v="COSTA RICA"/>
    <s v="GUANACASTE"/>
    <s v="NICOYA"/>
    <s v="NICOY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30"/>
    <n v="43.696098562628336"/>
    <n v="3.6413415468856947"/>
  </r>
  <r>
    <x v="0"/>
    <m/>
    <m/>
    <s v="RIÑON"/>
    <x v="1"/>
    <m/>
    <m/>
    <m/>
    <m/>
    <s v="Hermana"/>
    <s v="ANGEL"/>
    <s v="MADRIGAL"/>
    <s v="PEREZ"/>
    <n v="800800266"/>
    <x v="313"/>
    <s v="MASCULINO"/>
    <d v="1971-08-12T00:00:00"/>
    <n v="50.324435318275157"/>
    <m/>
    <m/>
    <m/>
    <m/>
    <s v="COSTA RICA"/>
    <s v="GUANACASTE"/>
    <s v="ABANGARES"/>
    <s v="SIERR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23"/>
    <n v="43.466119096509239"/>
    <n v="3.6221765913757702"/>
  </r>
  <r>
    <x v="2"/>
    <s v="UP2306 - HOSPITAL DR. MAX PERALTA"/>
    <m/>
    <s v="RIÑÓN"/>
    <x v="1"/>
    <s v="NO"/>
    <s v="O+"/>
    <d v="1983-12-09T00:00:00"/>
    <n v="38.012320328542096"/>
    <s v="RELACIONADO CONSANGUINEO"/>
    <m/>
    <m/>
    <m/>
    <n v="113020859"/>
    <x v="314"/>
    <s v="FEMENINO"/>
    <d v="1987-06-01T00:00:00"/>
    <n v="34.535249828884325"/>
    <s v="O-"/>
    <m/>
    <s v="NEFROPATIA POR IGA"/>
    <s v="HEMODIÁLISIS"/>
    <s v="COSTA RICA"/>
    <s v="CARTAGO"/>
    <s v="PARAISO"/>
    <s v="CACHI"/>
    <m/>
    <m/>
    <m/>
    <n v="0"/>
    <m/>
    <s v="VIVO"/>
    <s v="VIVO"/>
    <s v="VIVO"/>
    <s v="VIVO"/>
    <s v="VIVO"/>
    <m/>
    <m/>
    <s v="NO"/>
    <s v="NA"/>
    <s v="NA"/>
    <m/>
    <s v="FUNCIONAL"/>
    <s v="FUNCIONAL"/>
    <s v="FUNCIONAL"/>
    <m/>
    <m/>
    <s v="NA"/>
    <s v="RECURRENCIA DE GLOMERULOPATIA"/>
    <m/>
    <s v="NO"/>
    <m/>
    <s v="BASI"/>
    <n v="1.5"/>
    <n v="47"/>
    <s v="NO"/>
    <m/>
    <m/>
    <m/>
    <m/>
    <s v="SI"/>
    <n v="45139"/>
    <s v="CITOMEGALOVIRUS"/>
    <s v="NO"/>
    <m/>
    <m/>
    <m/>
    <m/>
    <m/>
    <m/>
    <m/>
    <n v="0"/>
    <n v="1318"/>
    <n v="43.301848049281311"/>
    <n v="3.6084873374401094"/>
  </r>
  <r>
    <x v="2"/>
    <s v="UP2306 - HOSPITAL DR. MAX PERALTA"/>
    <m/>
    <s v="RIÑÓN"/>
    <x v="1"/>
    <s v="NO"/>
    <s v="O+"/>
    <d v="1970-12-30T00:00:00"/>
    <n v="51.030800821355236"/>
    <s v="RELACIONADO CONSANGUINEO"/>
    <m/>
    <m/>
    <m/>
    <n v="304630071"/>
    <x v="315"/>
    <s v="MASCULINO"/>
    <d v="1992-05-01T00:00:00"/>
    <n v="29.694729637234772"/>
    <s v="O+"/>
    <m/>
    <s v="Mielomeningocele"/>
    <s v="DIÁLISIS PERITONEAL"/>
    <s v="COSTA RICA"/>
    <s v="SAN JOSE"/>
    <s v="DESAMPARADOS"/>
    <s v="SAN CRISTOBAL"/>
    <m/>
    <m/>
    <m/>
    <n v="0"/>
    <m/>
    <s v="VIVO"/>
    <s v="VIVO"/>
    <s v="VIVO"/>
    <s v="VIVO"/>
    <s v="VIVO"/>
    <m/>
    <m/>
    <s v="NO"/>
    <s v="NA"/>
    <s v="NA"/>
    <m/>
    <s v="FUNCIONAL"/>
    <s v="FUNCIONAL"/>
    <s v="FUNCIONAL"/>
    <m/>
    <m/>
    <s v="NA"/>
    <m/>
    <m/>
    <s v="NO"/>
    <m/>
    <s v="BASI"/>
    <n v="1.1499999999999999"/>
    <n v="88"/>
    <s v="SI"/>
    <n v="44866"/>
    <s v="UROLÓGICA"/>
    <s v="SECUNDARIO A VEJIGA NEUROGENICA"/>
    <s v="SI"/>
    <s v="NO"/>
    <m/>
    <m/>
    <s v="NO"/>
    <m/>
    <m/>
    <m/>
    <m/>
    <m/>
    <m/>
    <m/>
    <n v="0"/>
    <n v="1290"/>
    <n v="42.381930184804929"/>
    <n v="3.5318275154004106"/>
  </r>
  <r>
    <x v="0"/>
    <m/>
    <m/>
    <s v="RIÑON"/>
    <x v="1"/>
    <m/>
    <m/>
    <m/>
    <m/>
    <s v="Hermana"/>
    <s v="ROY"/>
    <s v="MEJIA"/>
    <s v="SANCHEZ"/>
    <n v="205650486"/>
    <x v="316"/>
    <s v="MASCULINO"/>
    <d v="1981-09-13T00:00:00"/>
    <n v="40.331279945242983"/>
    <m/>
    <m/>
    <m/>
    <m/>
    <s v="COSTA RICA"/>
    <s v="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288"/>
    <n v="42.31622176591376"/>
    <n v="3.5263518138261465"/>
  </r>
  <r>
    <x v="3"/>
    <s v="UP2103 - HOSPITAL NACIONAL DE NIÑOS"/>
    <s v="DF.02.2022"/>
    <s v="RIÑON"/>
    <x v="0"/>
    <m/>
    <s v="A+"/>
    <s v="DESCONOCIDA "/>
    <n v="24"/>
    <s v="NO APLICA"/>
    <s v="DYLAN JESUS"/>
    <s v="GAROS"/>
    <s v="QUESADA"/>
    <n v="305720529"/>
    <x v="317"/>
    <s v="MASCULINO"/>
    <d v="2007-06-12T00:00:00"/>
    <n v="14.592744695414099"/>
    <s v="AB+"/>
    <m/>
    <s v="INSUFICIENCIA RENAL  CRÓNICA"/>
    <s v="DIALISIS PERITONEAL"/>
    <s v="COSTA RICA"/>
    <s v="CARTAGO"/>
    <s v="SAN JOSE"/>
    <s v="SAN NICOLÁS"/>
    <m/>
    <m/>
    <m/>
    <n v="0"/>
    <m/>
    <s v="ADECUADA"/>
    <s v="ADECUADA"/>
    <s v="ADECUADA"/>
    <s v="ADECUADA"/>
    <s v="ADECUADA"/>
    <s v="ADECUADA"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s v="116850947"/>
    <s v="FEMENINA"/>
    <s v="COSTA RICA"/>
    <m/>
    <s v="SEGUIMEITNO EN HOSPITAL DE ADULTOS "/>
    <n v="0"/>
    <n v="1286"/>
    <n v="42.25051334702259"/>
    <n v="3.5208761122518824"/>
  </r>
  <r>
    <x v="1"/>
    <s v="UP2101 - HOSPITAL DR. RAFAEL A. CALDERÓN GUARDIA"/>
    <s v="DF.02.2022"/>
    <s v="RIÑON"/>
    <x v="0"/>
    <m/>
    <m/>
    <d v="1997-08-07T00:00:00"/>
    <n v="24"/>
    <m/>
    <s v="JEREMY STEVE"/>
    <s v="MONTOYA"/>
    <s v="ARGUEDAS"/>
    <n v="702430205"/>
    <x v="317"/>
    <s v="MASCULINO"/>
    <d v="1996-03-13T00:00:00"/>
    <n v="25.839835728952771"/>
    <s v="A+"/>
    <m/>
    <s v="ERC ESTADIO 5"/>
    <s v="DIALISIS PERITONEAL"/>
    <s v="COSTA RICA"/>
    <s v="LIMON"/>
    <s v="GUACIMO"/>
    <s v="MERCEDES  "/>
    <m/>
    <m/>
    <m/>
    <n v="27"/>
    <m/>
    <s v="EXCELENTE"/>
    <s v="EXCELENTE. REQUIRIÓ DRENAJE DE HEMATOMA"/>
    <s v="EXCELENTE EVOLUCION CLINICA"/>
    <s v="EXCELENTE EVOLUCION CLINICA"/>
    <s v="EXCELENTE EVOLUCION CLINICA"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116850947"/>
    <s v="FEMENINA"/>
    <s v="COSTA RICA"/>
    <m/>
    <m/>
    <n v="0"/>
    <n v="1286"/>
    <n v="42.25051334702259"/>
    <n v="3.5208761122518824"/>
  </r>
  <r>
    <x v="0"/>
    <m/>
    <m/>
    <s v="RIÑON"/>
    <x v="0"/>
    <m/>
    <m/>
    <m/>
    <m/>
    <s v="cadaverico"/>
    <s v="EDGARDO"/>
    <s v="LOPEZ"/>
    <s v="GUTIERREZ"/>
    <n v="503050156"/>
    <x v="318"/>
    <s v="MASCULINO"/>
    <d v="1978-05-26T00:00:00"/>
    <n v="43.644079397672826"/>
    <m/>
    <m/>
    <m/>
    <m/>
    <s v="COSTA RICA"/>
    <s v="GUANACASTE"/>
    <s v="BAGACES"/>
    <s v="BAGACE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284"/>
    <n v="42.18480492813142"/>
    <n v="3.5154004106776182"/>
  </r>
  <r>
    <x v="1"/>
    <s v="UP2101 - HOSPITAL DR. RAFAEL A. CALDERÓN GUARDIA"/>
    <s v="DF.03.2022"/>
    <s v="RIÑON"/>
    <x v="0"/>
    <m/>
    <m/>
    <d v="1978-09-25T00:00:00"/>
    <n v="43"/>
    <m/>
    <s v="MAURA CLEOTILDE"/>
    <s v="AVELARES"/>
    <s v="NOINDICAOTRO"/>
    <n v="2660101566"/>
    <x v="318"/>
    <s v="FEMENINA"/>
    <d v="1966-01-29T00:00:00"/>
    <n v="55.964407939767284"/>
    <s v="A+"/>
    <m/>
    <s v="ERC ESTADIO 5"/>
    <s v="HEMODIALISIS"/>
    <s v="NICARAGUA"/>
    <s v="SAN JOSE"/>
    <s v="GOICOECHEA"/>
    <s v="PURRAL"/>
    <m/>
    <m/>
    <m/>
    <n v="9"/>
    <m/>
    <s v="EXCELENTE"/>
    <s v="EXCELENTE EVOLUCION CLINICA"/>
    <s v="EXCELENTE EVOLUCION CLINICA"/>
    <s v="EXCELENTE EVOLUCION CLINICA"/>
    <s v="EXCELENTE EVOLUCION CLINICA"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205330092"/>
    <s v="FEMENINA"/>
    <s v="COSTA RICA"/>
    <m/>
    <m/>
    <n v="0"/>
    <n v="1284"/>
    <n v="42.18480492813142"/>
    <n v="3.5154004106776182"/>
  </r>
  <r>
    <x v="0"/>
    <m/>
    <m/>
    <s v="RIÑON"/>
    <x v="0"/>
    <m/>
    <m/>
    <m/>
    <m/>
    <s v="cadaverico"/>
    <s v="DAVID GERARDO"/>
    <s v="CORTES"/>
    <s v="GARCIA"/>
    <n v="104640216"/>
    <x v="319"/>
    <s v="MASCULINO"/>
    <d v="1956-08-02T00:00:00"/>
    <n v="65.464750171115668"/>
    <m/>
    <m/>
    <m/>
    <m/>
    <s v="COSTA RICA"/>
    <s v="San Jos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281"/>
    <n v="42.086242299794662"/>
    <n v="3.5071868583162216"/>
  </r>
  <r>
    <x v="0"/>
    <m/>
    <m/>
    <s v="RIÑON"/>
    <x v="0"/>
    <m/>
    <m/>
    <m/>
    <m/>
    <s v="cadaverico"/>
    <s v="HILARIO NESMER"/>
    <s v="CHAVARRIA"/>
    <s v="CHAVARRIA"/>
    <n v="501640270"/>
    <x v="320"/>
    <s v="MASCULINO"/>
    <d v="1956-10-21T00:00:00"/>
    <n v="65.248459958932244"/>
    <m/>
    <m/>
    <m/>
    <m/>
    <s v="COSTA RICA"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280"/>
    <n v="42.053388090349074"/>
    <n v="3.5044490075290895"/>
  </r>
  <r>
    <x v="0"/>
    <m/>
    <m/>
    <s v="RIÑON"/>
    <x v="1"/>
    <m/>
    <m/>
    <m/>
    <m/>
    <s v="esposa"/>
    <s v="JOSEPH EDUARDO"/>
    <s v="SOLORZANO"/>
    <s v="CAMPOS"/>
    <n v="205450898"/>
    <x v="321"/>
    <s v="MASCULINO"/>
    <d v="1980-01-04T00:00:00"/>
    <n v="42.061601642710471"/>
    <m/>
    <m/>
    <m/>
    <m/>
    <s v="COSTA RICA"/>
    <s v="ALAJUELA"/>
    <s v="CENTRAL"/>
    <s v="SAN JOS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274"/>
    <n v="41.856262833675565"/>
    <n v="3.4880219028062971"/>
  </r>
  <r>
    <x v="0"/>
    <m/>
    <m/>
    <s v="RIÑON"/>
    <x v="1"/>
    <m/>
    <m/>
    <m/>
    <m/>
    <s v="hermana"/>
    <s v="DONALD ALBERTO"/>
    <s v="SALAS"/>
    <s v="RAMIREZ"/>
    <n v="205580589"/>
    <x v="322"/>
    <s v="MASCULINO"/>
    <d v="1981-03-10T00:00:00"/>
    <n v="40.919917864476389"/>
    <m/>
    <m/>
    <m/>
    <m/>
    <s v="COSTA RICA"/>
    <s v="ALAJUELA"/>
    <s v="SAN RAMON"/>
    <s v="SAN JUA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260"/>
    <n v="41.396303901437371"/>
    <n v="3.4496919917864477"/>
  </r>
  <r>
    <x v="2"/>
    <s v="UP2306 - HOSPITAL DR. MAX PERALTA"/>
    <m/>
    <s v="RIÑÓN"/>
    <x v="0"/>
    <s v="SI"/>
    <m/>
    <d v="1971-05-01T00:00:00"/>
    <n v="50.795345653661876"/>
    <s v="NINGUNO"/>
    <m/>
    <m/>
    <m/>
    <n v="302510552"/>
    <x v="323"/>
    <s v="MASCULINO"/>
    <d v="1961-12-25T00:00:00"/>
    <n v="60.142368240930871"/>
    <s v="AB+"/>
    <m/>
    <s v="NEFROPATIA HIPERTENSIVA"/>
    <s v="DIÁLISIS PERITONEAL"/>
    <s v="COSTA RICA"/>
    <s v="CARTAGO"/>
    <s v="CARTAGO"/>
    <s v="ORIENTAL"/>
    <m/>
    <m/>
    <m/>
    <n v="0"/>
    <m/>
    <s v="VIVO"/>
    <s v="VIVO"/>
    <s v="VIVO"/>
    <s v="VIVO"/>
    <s v="VIVO"/>
    <m/>
    <m/>
    <s v="NO"/>
    <s v="NA"/>
    <s v="NA"/>
    <m/>
    <s v="FUNCIONAL"/>
    <s v="FUNCIONAL"/>
    <s v="FUNCIONAL"/>
    <m/>
    <m/>
    <s v="NA"/>
    <m/>
    <m/>
    <s v="NO"/>
    <m/>
    <s v="TIMO"/>
    <n v="1.5"/>
    <n v="53"/>
    <s v="NO"/>
    <m/>
    <m/>
    <m/>
    <m/>
    <s v="SI"/>
    <m/>
    <m/>
    <s v="NO"/>
    <m/>
    <m/>
    <m/>
    <m/>
    <m/>
    <m/>
    <m/>
    <n v="0"/>
    <n v="1254"/>
    <n v="41.199178644763862"/>
    <n v="3.4332648870636548"/>
  </r>
  <r>
    <x v="0"/>
    <m/>
    <m/>
    <s v="RIÑON"/>
    <x v="1"/>
    <m/>
    <m/>
    <m/>
    <m/>
    <s v="hermana"/>
    <s v="MARIA GABRIELA"/>
    <s v="MENDEZ"/>
    <s v="PEREZ"/>
    <n v="206960225"/>
    <x v="324"/>
    <s v="FEMENINA"/>
    <d v="1992-02-11T00:00:00"/>
    <n v="30.015058179329227"/>
    <m/>
    <m/>
    <m/>
    <m/>
    <s v="COSTA RICA"/>
    <s v="ALAJUELA"/>
    <s v="SAN RAMON"/>
    <s v="PIEDADES NORT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253"/>
    <n v="41.166324435318273"/>
    <n v="3.4305270362765228"/>
  </r>
  <r>
    <x v="4"/>
    <s v="UP2102 - HOSPITAL SAN JUAN DE DIOS"/>
    <s v="N/A"/>
    <s v="RIÑON"/>
    <x v="1"/>
    <m/>
    <s v="O+"/>
    <d v="1970-04-03T00:00:00"/>
    <n v="51.931553730321696"/>
    <s v="RELACIONADO CONSANGUÍNEO"/>
    <s v="MELISSA DE LA TRINIDAD"/>
    <s v="GARCIA"/>
    <s v="VALVERDE"/>
    <n v="116470777"/>
    <x v="325"/>
    <s v="FEMENINO"/>
    <d v="1996-07-17T00:00:00"/>
    <n v="25.642710472279262"/>
    <s v="O+"/>
    <m/>
    <s v="ERC ESTADÍO V"/>
    <s v="HEMODIÁLISIS"/>
    <s v="COSTA RICA"/>
    <s v="SAN JOSE"/>
    <s v="ASERRI"/>
    <s v="ASERRI"/>
    <m/>
    <m/>
    <m/>
    <n v="0"/>
    <m/>
    <s v="Rechazo agudo acelerado, Transplantectomía "/>
    <s v="TR PERDIDO"/>
    <s v="N/A"/>
    <s v="N/A"/>
    <m/>
    <m/>
    <m/>
    <s v="NO"/>
    <m/>
    <s v="N/A"/>
    <m/>
    <s v="NO FUNCIONAL"/>
    <m/>
    <m/>
    <m/>
    <m/>
    <d v="2022-03-09T00:00:00"/>
    <m/>
    <m/>
    <s v="SI"/>
    <m/>
    <m/>
    <m/>
    <m/>
    <m/>
    <m/>
    <m/>
    <m/>
    <m/>
    <m/>
    <m/>
    <m/>
    <m/>
    <m/>
    <m/>
    <s v="107720068"/>
    <s v="MASCULINO"/>
    <s v="COSTARRICENSE"/>
    <s v="1° GRADO"/>
    <s v="MADRE/PADRE"/>
    <n v="0"/>
    <n v="1232"/>
    <n v="40.476386036960989"/>
    <n v="3.3730321697467489"/>
  </r>
  <r>
    <x v="2"/>
    <s v="UP2306 - HOSPITAL DR. MAX PERALTA"/>
    <m/>
    <s v="RIÑÓN"/>
    <x v="0"/>
    <s v="SI"/>
    <s v="A+"/>
    <d v="1960-06-06T00:00:00"/>
    <n v="61.768651608487339"/>
    <s v="NINGUNO"/>
    <m/>
    <m/>
    <m/>
    <n v="700670624"/>
    <x v="326"/>
    <s v="MASCULINO"/>
    <d v="1960-04-25T00:00:00"/>
    <n v="61.883641341546884"/>
    <s v="A+"/>
    <m/>
    <s v="NEFROPATIA HIPERTENSIVA"/>
    <s v="HEMODIÁLISIS"/>
    <s v="COSTA RICA"/>
    <s v="CARTAGO"/>
    <s v="CARTAGO"/>
    <s v="AGUACALIENTE (SAN FRANCISCO)"/>
    <m/>
    <m/>
    <m/>
    <n v="0"/>
    <m/>
    <s v="VIVO"/>
    <s v="VIVO"/>
    <s v="VIVO"/>
    <s v="VIVO"/>
    <s v="FALLECIDO"/>
    <m/>
    <m/>
    <s v="SI"/>
    <d v="2023-07-28T00:00:00"/>
    <s v="Cardiopatía isquémica"/>
    <s v="SI"/>
    <s v="FUNCIONAL"/>
    <s v="NO FUNCIONAL"/>
    <s v="NO FUNCIONAL"/>
    <m/>
    <m/>
    <d v="2022-06-01T00:00:00"/>
    <s v="DISFUNCION PRIMARIA DE INJERTO"/>
    <s v="REGRESO A DIÁLISIS"/>
    <s v="NO"/>
    <m/>
    <s v="TIMO"/>
    <n v="8"/>
    <s v="NA"/>
    <s v="NO"/>
    <m/>
    <m/>
    <m/>
    <m/>
    <s v="NO"/>
    <m/>
    <m/>
    <s v="NO"/>
    <m/>
    <m/>
    <m/>
    <m/>
    <m/>
    <m/>
    <m/>
    <n v="1"/>
    <n v="501"/>
    <n v="16.459958932238195"/>
    <n v="1.3716632443531827"/>
  </r>
  <r>
    <x v="4"/>
    <s v="UP2102 - HOSPITAL SAN JUAN DE DIOS"/>
    <s v="N/A"/>
    <s v="RIÑON"/>
    <x v="1"/>
    <m/>
    <s v="O+"/>
    <d v="1976-09-06T00:00:00"/>
    <n v="45.541409993155376"/>
    <s v="RELACIONADO CONSANGUÍNEO"/>
    <s v="JUAN GABRIEL"/>
    <s v="TENORIO"/>
    <s v="AGUILAR"/>
    <n v="304110768"/>
    <x v="327"/>
    <s v="MASCULINO"/>
    <d v="1974-05-31T00:00:00"/>
    <n v="47.811088295687888"/>
    <s v="O+"/>
    <m/>
    <s v="ERC ESTADÍO V"/>
    <s v="HEMODIÁLISIS"/>
    <s v="COSTA RICA"/>
    <s v="SAN JOSE"/>
    <s v="SANTA ANA"/>
    <s v="SANTA ANA"/>
    <m/>
    <m/>
    <m/>
    <n v="0"/>
    <m/>
    <s v="ADECUADA"/>
    <s v="RIÑÓN FUNCIONAL"/>
    <s v="RIÑÓN FUNCIONAL"/>
    <s v="RIÑÓN FUNCIONAL"/>
    <m/>
    <m/>
    <m/>
    <s v="NO"/>
    <m/>
    <s v="N/A"/>
    <m/>
    <s v="FUNCIONAL"/>
    <m/>
    <m/>
    <m/>
    <m/>
    <s v="N/A"/>
    <m/>
    <m/>
    <s v="NO"/>
    <m/>
    <m/>
    <m/>
    <m/>
    <m/>
    <m/>
    <m/>
    <m/>
    <m/>
    <m/>
    <m/>
    <m/>
    <m/>
    <m/>
    <m/>
    <s v="303420915"/>
    <s v="FEMENINA"/>
    <s v="COSTARRICENSE"/>
    <s v="2° GRADO"/>
    <s v="HERMANA (O)"/>
    <n v="0"/>
    <n v="1218"/>
    <n v="40.016427104722794"/>
    <n v="3.3347022587268995"/>
  </r>
  <r>
    <x v="2"/>
    <s v="UP2306 - HOSPITAL DR. MAX PERALTA"/>
    <m/>
    <s v="RIÑÓN"/>
    <x v="1"/>
    <s v="NO"/>
    <s v="O+"/>
    <d v="1981-04-08T00:00:00"/>
    <n v="40.969199178644764"/>
    <s v="RELACIONADO CONSANGUINEO"/>
    <m/>
    <m/>
    <m/>
    <n v="801450691"/>
    <x v="328"/>
    <s v="FEMENINO"/>
    <d v="2003-05-10T00:00:00"/>
    <n v="18.882956878850102"/>
    <s v="O+"/>
    <m/>
    <s v="Glorumelonefritis membrano proliferaiva"/>
    <s v="HEMODIÁLISIS"/>
    <s v="NICARAGUA"/>
    <s v="CARTAGO"/>
    <s v="LA UNION"/>
    <s v="SAN DIEGO"/>
    <m/>
    <m/>
    <m/>
    <n v="0"/>
    <m/>
    <s v="VIVO"/>
    <s v="VIVO"/>
    <s v="VIVO"/>
    <s v="VIVO"/>
    <s v="VIVO"/>
    <m/>
    <m/>
    <s v="NO"/>
    <s v="NA"/>
    <s v="NA"/>
    <m/>
    <s v="FUNCIONAL"/>
    <s v="FUNCIONAL"/>
    <s v="FUNCIONAL"/>
    <m/>
    <m/>
    <s v="NA"/>
    <m/>
    <m/>
    <s v="NO"/>
    <m/>
    <s v="BASI"/>
    <n v="1"/>
    <n v="78"/>
    <s v="NO"/>
    <m/>
    <m/>
    <m/>
    <m/>
    <s v="NO"/>
    <m/>
    <m/>
    <s v="NO"/>
    <m/>
    <m/>
    <m/>
    <m/>
    <m/>
    <m/>
    <m/>
    <n v="0"/>
    <n v="1213"/>
    <n v="39.852156057494867"/>
    <n v="3.3210130047912387"/>
  </r>
  <r>
    <x v="2"/>
    <s v="UP2306 - HOSPITAL DR. MAX PERALTA"/>
    <m/>
    <s v="RIÑÓN"/>
    <x v="1"/>
    <s v="NO"/>
    <s v="O+"/>
    <d v="1994-08-31T00:00:00"/>
    <n v="27.649555099247092"/>
    <s v="RELACIONADO CONSANGUINEO"/>
    <m/>
    <m/>
    <m/>
    <n v="112830504"/>
    <x v="329"/>
    <s v="MASCULINO"/>
    <d v="1986-06-20T00:00:00"/>
    <n v="35.846680355920604"/>
    <s v="O+"/>
    <m/>
    <s v="Nefropatía por IgA"/>
    <s v="HEMODIÁLISIS"/>
    <s v="COSTA RICA"/>
    <s v="CARTAGO"/>
    <s v="LA UNION"/>
    <s v="SAN DIEGO"/>
    <m/>
    <m/>
    <m/>
    <n v="0"/>
    <m/>
    <s v="VIVO"/>
    <s v="VIVO"/>
    <s v="VIVO"/>
    <s v="VIVO"/>
    <s v="VIVO"/>
    <m/>
    <m/>
    <s v="NO"/>
    <s v="NA"/>
    <s v="NA"/>
    <m/>
    <s v="FUNCIONAL"/>
    <s v="FUNCIONAL"/>
    <s v="FUNCIONAL"/>
    <m/>
    <m/>
    <s v="NA"/>
    <m/>
    <m/>
    <s v="NO"/>
    <m/>
    <s v="BASI"/>
    <n v="1.04"/>
    <n v="94"/>
    <s v="NO"/>
    <m/>
    <m/>
    <m/>
    <m/>
    <s v="NO"/>
    <m/>
    <m/>
    <s v="NO"/>
    <m/>
    <m/>
    <m/>
    <m/>
    <m/>
    <m/>
    <m/>
    <n v="0"/>
    <n v="1185"/>
    <n v="38.932238193018478"/>
    <n v="3.2443531827515399"/>
  </r>
  <r>
    <x v="0"/>
    <m/>
    <m/>
    <s v="RIÑON"/>
    <x v="1"/>
    <m/>
    <m/>
    <m/>
    <m/>
    <s v="Padre"/>
    <s v="GLORIA DEL PILAR"/>
    <s v="ALVARADO"/>
    <s v="OSORIO"/>
    <n v="207710805"/>
    <x v="330"/>
    <s v="FEMENINA"/>
    <d v="1997-09-29T00:00:00"/>
    <n v="24.57494866529774"/>
    <m/>
    <m/>
    <m/>
    <m/>
    <s v="COSTA RICA"/>
    <s v="Atena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83"/>
    <n v="38.866529774127308"/>
    <n v="3.2388774811772758"/>
  </r>
  <r>
    <x v="4"/>
    <s v="UP2102 - HOSPITAL SAN JUAN DE DIOS"/>
    <s v="N/A"/>
    <s v="RIÑON"/>
    <x v="1"/>
    <m/>
    <s v="O+"/>
    <d v="1967-05-16T00:00:00"/>
    <n v="54.967830253251201"/>
    <s v="RELACIONADO CONSANGUÍNEO"/>
    <s v="MICHAEL ALBERTO"/>
    <s v="DIAZ"/>
    <s v="HERNANDEZ"/>
    <n v="111660770"/>
    <x v="331"/>
    <s v="MASCULINO"/>
    <d v="2011-04-30T00:00:00"/>
    <n v="11.011635865845312"/>
    <s v="O+"/>
    <m/>
    <s v="ERC ESTADÍO V"/>
    <s v="DIÁLISIS PERITONEAL"/>
    <s v="COSTA RICA"/>
    <s v="SAN JOSE"/>
    <s v="ASERRI"/>
    <s v="ASERRI"/>
    <m/>
    <m/>
    <m/>
    <n v="0"/>
    <m/>
    <s v="Rechazo agudo acelerado, Transplantectomía "/>
    <s v="TR PERDIDO"/>
    <s v="N/A"/>
    <s v="N/A"/>
    <m/>
    <m/>
    <m/>
    <s v="NO"/>
    <m/>
    <s v="N/A"/>
    <m/>
    <s v="NO FUNCIONAL"/>
    <m/>
    <m/>
    <m/>
    <m/>
    <d v="2022-05-04T00:00:00"/>
    <m/>
    <m/>
    <s v="SI"/>
    <m/>
    <m/>
    <m/>
    <m/>
    <m/>
    <m/>
    <m/>
    <m/>
    <m/>
    <m/>
    <m/>
    <m/>
    <m/>
    <m/>
    <m/>
    <s v="106990967"/>
    <s v="FEMENINA"/>
    <s v="COSTARRICENSE"/>
    <s v="1° GRADO"/>
    <s v="MADRE/PADRE"/>
    <n v="0"/>
    <n v="1176"/>
    <n v="38.636550308008211"/>
    <n v="3.2197125256673513"/>
  </r>
  <r>
    <x v="0"/>
    <m/>
    <m/>
    <s v="RIÑON"/>
    <x v="1"/>
    <m/>
    <m/>
    <m/>
    <m/>
    <s v="Hermana"/>
    <s v="HERIBERTO JOSE"/>
    <s v="ZAMORA"/>
    <s v="LOPEZ"/>
    <n v="503020730"/>
    <x v="332"/>
    <s v="MASCULINO"/>
    <d v="1977-12-04T00:00:00"/>
    <n v="44.451745379876797"/>
    <m/>
    <m/>
    <m/>
    <m/>
    <s v="COSTA RICA"/>
    <s v="GUANACASTE"/>
    <s v="SANTA CRUZ"/>
    <s v="CARTAGEN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62"/>
    <n v="38.176591375770023"/>
    <n v="3.1813826146475015"/>
  </r>
  <r>
    <x v="1"/>
    <s v="UP2101 - HOSPITAL DR. RAFAEL A. CALDERÓN GUARDIA"/>
    <s v="D.F.08.2022"/>
    <s v="RIÑON"/>
    <x v="0"/>
    <m/>
    <m/>
    <d v="1974-02-17T00:00:00"/>
    <n v="48"/>
    <m/>
    <s v="LAURA CRISTINA"/>
    <s v="VASQUEZ"/>
    <s v="VASQUEZ"/>
    <n v="603660221"/>
    <x v="333"/>
    <s v="FEMENINA"/>
    <d v="1987-08-05T00:00:00"/>
    <n v="34.787132101300479"/>
    <s v="A+"/>
    <m/>
    <s v="ERC ESTADIO 5"/>
    <s v="DIALISIS PERITONEAL"/>
    <s v="COSTA RICA"/>
    <s v="SAN JOSE"/>
    <s v="GOICOECHEA"/>
    <s v="CALLE BLANCOS"/>
    <m/>
    <m/>
    <m/>
    <n v="6"/>
    <m/>
    <s v="EXCELENTE EVOLUCION CLINICA"/>
    <s v="EXCELENTE EVOLUCION CLINICA"/>
    <s v="EXCELENTE EVOLUCION CLINICA"/>
    <s v="EXCELENTE EVOLUCION CLINICA"/>
    <s v="EXCELENTE EVOLUCION CLINICA"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109080585"/>
    <s v="FEMENINA"/>
    <s v="COSTA RICA"/>
    <m/>
    <m/>
    <n v="0"/>
    <n v="1161"/>
    <n v="38.143737166324435"/>
    <n v="3.1786447638603694"/>
  </r>
  <r>
    <x v="4"/>
    <s v="UP2102 - HOSPITAL SAN JUAN DE DIOS"/>
    <s v="DF.08.2022"/>
    <s v="RIÑON"/>
    <x v="0"/>
    <s v="NO"/>
    <s v="A+"/>
    <d v="1974-02-17T00:00:00"/>
    <n v="48.249144421629019"/>
    <m/>
    <s v="MARVIN ROMAN"/>
    <s v="SANCHEZ"/>
    <s v="AZOFEIFA"/>
    <n v="601220067"/>
    <x v="333"/>
    <m/>
    <m/>
    <n v="122.38193018480493"/>
    <m/>
    <m/>
    <s v="ERC ESTADÍO V"/>
    <m/>
    <s v="COSTA RICA"/>
    <s v="SAN JOSE"/>
    <s v="ALAJUELITA"/>
    <s v="ALAJUELIT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61"/>
    <n v="38.143737166324435"/>
    <n v="3.1786447638603694"/>
  </r>
  <r>
    <x v="0"/>
    <m/>
    <m/>
    <s v="RIÑON"/>
    <x v="0"/>
    <m/>
    <m/>
    <m/>
    <m/>
    <s v="cadavérico"/>
    <s v="ALEXIS DE JESUS"/>
    <s v="RIOS"/>
    <s v="VICTOR"/>
    <n v="501950396"/>
    <x v="333"/>
    <s v="MASCULINO"/>
    <d v="1961-08-06T00:00:00"/>
    <n v="60.78302532511978"/>
    <m/>
    <m/>
    <m/>
    <m/>
    <s v="COSTA RICA"/>
    <s v="GUANACASTE"/>
    <s v="LIBERIA"/>
    <s v="LIBERIA"/>
    <m/>
    <m/>
    <m/>
    <m/>
    <m/>
    <m/>
    <m/>
    <m/>
    <m/>
    <m/>
    <m/>
    <m/>
    <s v="SI"/>
    <d v="2022-05-2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6"/>
    <n v="0.1971252566735113"/>
    <n v="1.6427104722792608E-2"/>
  </r>
  <r>
    <x v="0"/>
    <m/>
    <m/>
    <s v="RIÑON"/>
    <x v="1"/>
    <m/>
    <m/>
    <m/>
    <m/>
    <s v="Sobrina"/>
    <s v="KATHERINE DE LOS ANGELES"/>
    <s v="JIMENEZ"/>
    <s v="RAMIREZ"/>
    <n v="603950850"/>
    <x v="334"/>
    <s v="FEMENINA"/>
    <d v="1991-08-02T00:00:00"/>
    <n v="30.811772758384667"/>
    <m/>
    <m/>
    <m/>
    <m/>
    <s v="COSTA RICA"/>
    <s v="ALAJUELA"/>
    <s v="OROTINA"/>
    <s v="OROTIN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55"/>
    <n v="37.946611909650926"/>
    <n v="3.162217659137577"/>
  </r>
  <r>
    <x v="1"/>
    <s v="UP2101 - HOSPITAL DR. RAFAEL A. CALDERÓN GUARDIA"/>
    <s v="DF.10.2022"/>
    <s v="RIÑON"/>
    <x v="0"/>
    <m/>
    <m/>
    <d v="1989-08-11T00:00:00"/>
    <n v="32"/>
    <m/>
    <s v="JEISON ANDRES"/>
    <s v="RODRIGUEZ"/>
    <s v="LUNA"/>
    <n v="114430591"/>
    <x v="335"/>
    <s v="MASCULINO"/>
    <d v="1990-09-25T00:00:00"/>
    <n v="31.682409308692677"/>
    <s v="O+"/>
    <m/>
    <s v="ERC ESTADIO 5"/>
    <s v="DIALISIS PERITONEAL"/>
    <s v="COSTA RICA"/>
    <s v="SAN JOSE"/>
    <s v="GOICOECHEA"/>
    <s v="MATA DE PLATANO"/>
    <m/>
    <m/>
    <m/>
    <n v="6"/>
    <m/>
    <s v="EXCELENTE EVOLUCION CLINICA"/>
    <s v="EXCELENTE EVOLUCION CLINICA"/>
    <s v="EXCELENTE EVOLUCION CLINICA"/>
    <s v="EXCELENTE EVOLUCION CLINICA"/>
    <s v="EXCELENTE EVOLUCION CLINICA"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113990540"/>
    <s v="FEMENINA"/>
    <s v="COSTA RICA"/>
    <m/>
    <m/>
    <n v="0"/>
    <n v="1148"/>
    <n v="37.716632443531829"/>
    <n v="3.1430527036276521"/>
  </r>
  <r>
    <x v="3"/>
    <s v="UP2103 - HOSPITAL NACIONAL DE NIÑOS"/>
    <s v="DF.10.2022"/>
    <s v="RIÑON"/>
    <x v="0"/>
    <m/>
    <s v="O+"/>
    <s v="DESCONOCIDA "/>
    <n v="32"/>
    <s v="NO APLICA"/>
    <s v="JIMENA MICHELLE"/>
    <s v="MADRIGAL"/>
    <s v="MORALES"/>
    <n v="119820408"/>
    <x v="335"/>
    <s v="FEMENINA"/>
    <d v="2006-11-25T00:00:00"/>
    <n v="15.515400410677618"/>
    <s v="O+"/>
    <m/>
    <s v="INSUFICIENCIA RENAL CRONICA"/>
    <s v="HEMODIALISIS"/>
    <s v="COSTA RICA"/>
    <s v="SAN JOSE"/>
    <s v="VAZQUEZ DECORONADO"/>
    <s v="SAN ISIDRO"/>
    <m/>
    <m/>
    <m/>
    <n v="0"/>
    <m/>
    <s v="ADECUADA"/>
    <s v="ADECUADA"/>
    <s v="ADECUADA "/>
    <s v="ADECUADA"/>
    <s v="ADECUADA"/>
    <s v="DESCONOCIDO "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s v="113990540"/>
    <s v="FEMENINA"/>
    <s v="COSTA RICA"/>
    <m/>
    <s v="SEGUIMEITNO EN HOSPITAL DE ADULTOS "/>
    <n v="0"/>
    <n v="1148"/>
    <n v="37.716632443531829"/>
    <n v="3.1430527036276521"/>
  </r>
  <r>
    <x v="0"/>
    <m/>
    <m/>
    <s v="RIÑON"/>
    <x v="1"/>
    <m/>
    <m/>
    <m/>
    <m/>
    <s v="Hermana"/>
    <s v="RURBER"/>
    <s v="MADRIGAL"/>
    <s v="PARRA"/>
    <n v="603340069"/>
    <x v="335"/>
    <s v="MASCULINO"/>
    <d v="1983-12-25T00:00:00"/>
    <n v="38.433949349760439"/>
    <m/>
    <m/>
    <m/>
    <m/>
    <s v="COSTA RICA"/>
    <s v="HEREDIA"/>
    <s v="FLORES"/>
    <s v="SAN JOAQUI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48"/>
    <n v="37.716632443531829"/>
    <n v="3.1430527036276521"/>
  </r>
  <r>
    <x v="0"/>
    <m/>
    <m/>
    <s v="RIÑON"/>
    <x v="1"/>
    <m/>
    <m/>
    <m/>
    <m/>
    <s v="Madre"/>
    <s v="CESAR LUIS"/>
    <s v="VASQUEZ"/>
    <s v="SALAS"/>
    <n v="205920206"/>
    <x v="336"/>
    <s v="MASCULINO"/>
    <d v="1984-02-04T00:00:00"/>
    <n v="38.340862422997944"/>
    <m/>
    <m/>
    <m/>
    <m/>
    <s v="COSTA RICA"/>
    <s v="ALAJUELA"/>
    <s v="GRECIA"/>
    <s v="SAN ROQU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41"/>
    <n v="37.486652977412732"/>
    <n v="3.1238877481177276"/>
  </r>
  <r>
    <x v="1"/>
    <s v="UP2101 - HOSPITAL DR. RAFAEL A. CALDERÓN GUARDIA"/>
    <s v="DF.11.2022"/>
    <s v="RIÑON"/>
    <x v="0"/>
    <m/>
    <m/>
    <d v="1998-11-10T00:00:00"/>
    <n v="23"/>
    <m/>
    <s v="DIEGO DE LA TRINIDAD"/>
    <s v="DELGADO"/>
    <s v="GUTIERREZ"/>
    <n v="110630700"/>
    <x v="337"/>
    <s v="MASCULINO"/>
    <d v="1980-03-14T00:00:00"/>
    <n v="42.264202600958249"/>
    <s v="O+"/>
    <m/>
    <s v="ERC ESTADIO 5"/>
    <s v="DIALISIS PERITONEAL"/>
    <s v="COSTA RICA"/>
    <s v="HEREDIA"/>
    <s v="CENTRAL"/>
    <s v="ULLOA"/>
    <m/>
    <m/>
    <m/>
    <n v="6"/>
    <m/>
    <s v="EXCELENTE EVOLUCION CLINICA"/>
    <s v="EXCELENTE EVOLUCION CLINICA"/>
    <s v="EXCELENTE EVOLUCION CLINICA"/>
    <s v="EXCELENTE EVOLUCION CLINICA"/>
    <s v="EXCELENTE EVOLUCION CLINICA"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702640605"/>
    <s v="MASCULINO"/>
    <s v="COSTA RICA"/>
    <m/>
    <m/>
    <n v="0"/>
    <n v="1130"/>
    <n v="37.125256673511295"/>
    <n v="3.0937713894592744"/>
  </r>
  <r>
    <x v="3"/>
    <s v="UP2103 - HOSPITAL NACIONAL DE NIÑOS"/>
    <s v="DF.11.2022"/>
    <s v="RIÑON"/>
    <x v="0"/>
    <m/>
    <s v="O+"/>
    <s v="DESCONOCIDA "/>
    <n v="23"/>
    <s v="NO APLICA"/>
    <s v="ANGEL ANDREY"/>
    <s v="GONZALEZ"/>
    <s v="FLORES"/>
    <n v="505110899"/>
    <x v="337"/>
    <s v="MASCULINO"/>
    <d v="2014-01-15T00:00:00"/>
    <n v="8.424366872005475"/>
    <s v="O+"/>
    <m/>
    <s v="INSUFICIENCIA RENAL CRONICA"/>
    <s v="HEMODIALISIS"/>
    <s v="COSTA RICA"/>
    <s v="PUNTARENAS"/>
    <s v="PUNTARENAS"/>
    <s v="LEPANTO"/>
    <m/>
    <m/>
    <m/>
    <n v="0"/>
    <m/>
    <s v="ADECUADA"/>
    <s v="ADECUADA"/>
    <s v="ADECUADA"/>
    <s v="ADECUADA"/>
    <s v="ADECUADA"/>
    <s v="ADECUADA"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s v="702640605"/>
    <s v="MASCULINO"/>
    <s v="COSTA RICA"/>
    <m/>
    <s v="EN HNN AUN "/>
    <n v="0"/>
    <n v="1130"/>
    <n v="37.125256673511295"/>
    <n v="3.0937713894592744"/>
  </r>
  <r>
    <x v="1"/>
    <s v="UP2101 - HOSPITAL DR. RAFAEL A. CALDERÓN GUARDIA"/>
    <s v="DF.12.2022"/>
    <s v="RIÑON"/>
    <x v="0"/>
    <m/>
    <m/>
    <d v="2000-05-11T00:00:00"/>
    <n v="22"/>
    <m/>
    <s v="MARCO ANTONIO"/>
    <s v="SOLANO"/>
    <s v="PICADO"/>
    <n v="109050565"/>
    <x v="338"/>
    <s v="MASCULINO"/>
    <d v="1975-03-21T00:00:00"/>
    <n v="47.25530458590007"/>
    <s v="A+"/>
    <m/>
    <s v="ERC ESTADIO 5"/>
    <s v="DIALISIS PERITONEAL"/>
    <s v="COSTA RICA"/>
    <s v="SAN JOSE"/>
    <s v="CORONADO"/>
    <s v="SAN ISIDRO"/>
    <m/>
    <m/>
    <m/>
    <n v="6"/>
    <m/>
    <s v="EXCELENTE EVOLUCION CLINICA"/>
    <s v="EXCELENTE EVOLUCION CLINICA"/>
    <s v="EXCELENTE EVOLUCION CLINICA"/>
    <s v="EXCELENTE EVOLUCION CLINICA"/>
    <s v="EXCELENTE EVOLUCION CLINICA"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402470179"/>
    <s v="MASCULINO"/>
    <s v="COSTA RICA"/>
    <m/>
    <m/>
    <n v="0"/>
    <n v="1127"/>
    <n v="37.026694045174537"/>
    <n v="3.0855578370978782"/>
  </r>
  <r>
    <x v="3"/>
    <s v="UP2103 - HOSPITAL NACIONAL DE NIÑOS"/>
    <s v="DF.12.2022"/>
    <s v="RIÑON"/>
    <x v="0"/>
    <m/>
    <s v="A+"/>
    <s v="DESCONOCIDA "/>
    <n v="22"/>
    <s v="NO APLICA"/>
    <s v="WILTON ALBEIRO"/>
    <s v="CARRILLO"/>
    <s v="MORAGA"/>
    <n v="120330282"/>
    <x v="338"/>
    <s v="MASCULINO"/>
    <d v="2008-08-28T00:00:00"/>
    <n v="13.815195071868583"/>
    <s v="A+"/>
    <m/>
    <s v="INSUFICIENCIA RENAL CRONICA"/>
    <s v="HEMODIALISIS"/>
    <s v="COSTA RICA"/>
    <s v="HEREDIA"/>
    <s v="HEREDIA"/>
    <s v="SAN FRANCISCO"/>
    <m/>
    <m/>
    <m/>
    <n v="0"/>
    <m/>
    <s v="ADECUADA"/>
    <s v="ADECUADA"/>
    <s v="ADEAUDA"/>
    <s v="ADECUADA"/>
    <s v="ADECUADA"/>
    <s v="ADECUADA"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s v="2101002200185"/>
    <s v="MASCULINO"/>
    <s v="COSTA RICA"/>
    <m/>
    <s v="EN HNN AUN "/>
    <n v="0"/>
    <n v="1127"/>
    <n v="37.026694045174537"/>
    <n v="3.0855578370978782"/>
  </r>
  <r>
    <x v="0"/>
    <m/>
    <m/>
    <s v="RIÑON"/>
    <x v="0"/>
    <m/>
    <m/>
    <m/>
    <m/>
    <s v="cadavérico"/>
    <s v="JIMMY ANDREY"/>
    <s v="CHEVEZ"/>
    <s v="CHEVEZ"/>
    <n v="504160334"/>
    <x v="339"/>
    <s v="MASCULINO"/>
    <d v="1997-05-20T00:00:00"/>
    <n v="25.09240246406571"/>
    <m/>
    <m/>
    <m/>
    <m/>
    <s v="COSTA RICA"/>
    <s v="Liber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26"/>
    <n v="36.993839835728956"/>
    <n v="3.0828199863107462"/>
  </r>
  <r>
    <x v="4"/>
    <s v="UP2102 - HOSPITAL SAN JUAN DE DIOS"/>
    <s v="DF.13.2022"/>
    <s v="RIÑON"/>
    <x v="0"/>
    <s v="NO"/>
    <s v="O+"/>
    <d v="2002-02-10T00:00:00"/>
    <n v="20.364134154688571"/>
    <m/>
    <s v="SANDRA MARIA"/>
    <s v="MENDOZA"/>
    <s v="ALVARADO"/>
    <n v="502490687"/>
    <x v="339"/>
    <m/>
    <m/>
    <n v="122.47775496235455"/>
    <m/>
    <m/>
    <s v="ERC ESTADÍO V"/>
    <m/>
    <s v="COSTA RICA"/>
    <s v="SAN JOSE"/>
    <s v="CENTRAL"/>
    <s v="PAVA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26"/>
    <n v="36.993839835728956"/>
    <n v="3.0828199863107462"/>
  </r>
  <r>
    <x v="0"/>
    <s v="ENRIQUE BALTODANO"/>
    <m/>
    <s v="RIÑON"/>
    <x v="0"/>
    <m/>
    <m/>
    <m/>
    <m/>
    <s v="cadaverico"/>
    <s v="GUSTAVO ADOLFO"/>
    <s v="MARIN"/>
    <s v="LOPEZ"/>
    <n v="17714251"/>
    <x v="340"/>
    <s v="MASCULINO"/>
    <d v="1977-08-13T00:00:00"/>
    <n v="44.876112251882276"/>
    <m/>
    <m/>
    <m/>
    <m/>
    <s v=""/>
    <s v="GUANACASTE"/>
    <s v="BAGACES"/>
    <s v="BAGACE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120"/>
    <n v="36.79671457905544"/>
    <n v="3.0663928815879533"/>
  </r>
  <r>
    <x v="4"/>
    <s v="UP2102 - HOSPITAL SAN JUAN DE DIOS"/>
    <s v="N/A"/>
    <s v="RIÑON"/>
    <x v="1"/>
    <m/>
    <s v="O+"/>
    <d v="1980-11-06T00:00:00"/>
    <n v="41.642710472279262"/>
    <s v="RELACIONADO NO CONSANGUINEO"/>
    <s v="LUIS FERNANDO"/>
    <s v="LEON"/>
    <s v="DELGADO"/>
    <n v="109030201"/>
    <x v="340"/>
    <s v="MASCULINO"/>
    <d v="2023-04-27T00:00:00"/>
    <n v="-0.8268309377138946"/>
    <s v="O+"/>
    <m/>
    <s v="ERC ESTADÍO V"/>
    <s v="HEMODIÁLISIS"/>
    <s v="COSTA RICA"/>
    <s v="SAN JOSE"/>
    <s v="ESCAZU"/>
    <s v="SAN RAFAEL"/>
    <m/>
    <m/>
    <m/>
    <n v="0"/>
    <m/>
    <s v="ADECUADA"/>
    <s v="RIÑÓN FUNCIONAL"/>
    <s v="RIÑÓN FUNCIONAL"/>
    <s v="RIÑÓN FUNCIONAL"/>
    <m/>
    <m/>
    <m/>
    <s v="NO"/>
    <m/>
    <s v="N/A"/>
    <m/>
    <s v="FUNCIONAL"/>
    <m/>
    <m/>
    <m/>
    <m/>
    <s v="N/A"/>
    <m/>
    <m/>
    <s v="NO"/>
    <m/>
    <m/>
    <m/>
    <m/>
    <m/>
    <m/>
    <m/>
    <m/>
    <m/>
    <m/>
    <m/>
    <m/>
    <m/>
    <m/>
    <m/>
    <s v="110870029"/>
    <s v="FEMENINA"/>
    <s v="COSTARRICENSE"/>
    <s v="AFINIDAD"/>
    <s v="CONYUGE"/>
    <n v="0"/>
    <n v="1120"/>
    <n v="36.79671457905544"/>
    <n v="3.0663928815879533"/>
  </r>
  <r>
    <x v="2"/>
    <s v="UP2306 - HOSPITAL DR. MAX PERALTA"/>
    <m/>
    <s v="RIÑÓN"/>
    <x v="1"/>
    <s v="NO"/>
    <s v="O+"/>
    <d v="1989-10-04T00:00:00"/>
    <n v="32.747433264887064"/>
    <s v="RELACIONADO CONSANGUINEO"/>
    <m/>
    <m/>
    <m/>
    <n v="109270725"/>
    <x v="341"/>
    <s v="MASCULINO"/>
    <d v="1975-12-05T00:00:00"/>
    <n v="46.579055441478438"/>
    <s v="O+"/>
    <m/>
    <s v="Glomerulopatía primaria"/>
    <s v="DIÁLISIS PERITONEAL"/>
    <s v="COSTA RICA"/>
    <s v="SAN JOSE"/>
    <s v="DESAMPARADOS"/>
    <s v="FRAILES"/>
    <m/>
    <m/>
    <m/>
    <n v="0"/>
    <m/>
    <s v="VIVO"/>
    <s v="VIVO"/>
    <s v="VIVO"/>
    <s v="VIVO"/>
    <s v="VIVO"/>
    <m/>
    <m/>
    <s v="NO"/>
    <s v="NA"/>
    <s v="NA"/>
    <m/>
    <s v="NO FUNCIONAL"/>
    <s v="NO FUNCIONAL"/>
    <s v="NO FUNCIONAL"/>
    <m/>
    <m/>
    <d v="2022-07-05T00:00:00"/>
    <s v="TROMBOSIS DEL INJERTO"/>
    <s v="REGRESO A DIÁLISIS"/>
    <s v="NO"/>
    <m/>
    <s v="BASI"/>
    <n v="8"/>
    <m/>
    <s v="SI"/>
    <n v="44747"/>
    <s v="VASCULAR"/>
    <s v="TROMBOSIS DE INJERTO"/>
    <s v="SI"/>
    <s v="NO"/>
    <m/>
    <m/>
    <s v="NO"/>
    <m/>
    <m/>
    <m/>
    <m/>
    <m/>
    <m/>
    <m/>
    <n v="0"/>
    <n v="1115"/>
    <n v="36.632443531827512"/>
    <n v="3.052703627652293"/>
  </r>
  <r>
    <x v="2"/>
    <s v="UP2306 - HOSPITAL DR. MAX PERALTA"/>
    <m/>
    <s v="RIÑÓN"/>
    <x v="1"/>
    <s v="NO"/>
    <s v="O+"/>
    <d v="1994-01-21T00:00:00"/>
    <n v="28.544832306639289"/>
    <s v="RELACIONADO CONSANGUINEO"/>
    <m/>
    <m/>
    <m/>
    <n v="303630341"/>
    <x v="342"/>
    <s v="MASCULINO"/>
    <d v="1979-12-17T00:00:00"/>
    <n v="42.64202600958248"/>
    <s v="O+"/>
    <m/>
    <s v="Poliquistosis renal"/>
    <s v="HEMODIÁLISIS"/>
    <s v="COSTA RICA"/>
    <s v="CARTAGO"/>
    <s v="EL GUARCO"/>
    <s v="TEJAR"/>
    <m/>
    <m/>
    <m/>
    <n v="0"/>
    <m/>
    <s v="VIVO"/>
    <s v="VIVO"/>
    <s v="VIVO"/>
    <s v="VIVO"/>
    <s v="VIVO"/>
    <m/>
    <m/>
    <s v="NO"/>
    <s v="NA"/>
    <s v="NA"/>
    <m/>
    <s v="FUNCIONAL"/>
    <s v="FUNCIONAL"/>
    <s v="FUNCIONAL"/>
    <m/>
    <m/>
    <s v="NA"/>
    <m/>
    <m/>
    <s v="NO"/>
    <m/>
    <s v="BASI"/>
    <n v="1.1000000000000001"/>
    <n v="84"/>
    <s v="NO"/>
    <m/>
    <m/>
    <m/>
    <m/>
    <s v="NO"/>
    <m/>
    <m/>
    <s v="NO"/>
    <m/>
    <m/>
    <m/>
    <m/>
    <m/>
    <m/>
    <m/>
    <n v="0"/>
    <n v="1080"/>
    <n v="35.482546201232033"/>
    <n v="2.9568788501026693"/>
  </r>
  <r>
    <x v="1"/>
    <s v="UP2101 - HOSPITAL DR. RAFAEL A. CALDERÓN GUARDIA"/>
    <s v="DF.19.2022"/>
    <s v="RIÑON"/>
    <x v="0"/>
    <m/>
    <m/>
    <d v="1965-03-20T00:00:00"/>
    <n v="57"/>
    <m/>
    <s v="DENNIS ANDRES"/>
    <s v="MATA"/>
    <s v="RAMIREZ"/>
    <n v="304210027"/>
    <x v="343"/>
    <s v="MASCULINO"/>
    <d v="1987-07-07T00:00:00"/>
    <n v="35.101984941820668"/>
    <s v="O+"/>
    <m/>
    <s v="IRC ESTADIO 5"/>
    <s v="DIALISIS PERITONEAL"/>
    <s v="COSTA RICA"/>
    <s v="CARTAGO"/>
    <s v="CENTRAL"/>
    <s v="ORIENTAL"/>
    <m/>
    <m/>
    <m/>
    <n v="6"/>
    <m/>
    <s v="EXCELENTE EVOLUCION CLINICA"/>
    <s v="EXCELENTE EVOLUCION CLINICA"/>
    <s v="EXCELENTE EVOLUCION CLINICA"/>
    <s v="EXCELENTE EVOLUCION CLINICA"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106470983"/>
    <s v="FEMENINA"/>
    <s v="COSTA RICA"/>
    <m/>
    <m/>
    <n v="0"/>
    <n v="1075"/>
    <n v="35.318275154004105"/>
    <n v="2.9431895961670089"/>
  </r>
  <r>
    <x v="0"/>
    <m/>
    <m/>
    <s v="RIÑON"/>
    <x v="0"/>
    <m/>
    <m/>
    <m/>
    <m/>
    <s v="cadaverico"/>
    <s v="WALTER ENRIQUE"/>
    <s v="GOMEZ"/>
    <s v="SALAZAR"/>
    <n v="502650394"/>
    <x v="343"/>
    <s v="MASCULINO"/>
    <d v="1971-03-18T00:00:00"/>
    <n v="51.405886379192332"/>
    <m/>
    <m/>
    <m/>
    <m/>
    <s v="COSTA RICA"/>
    <s v="GUANACASTE"/>
    <s v="CAÑAS"/>
    <s v="CAÑA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075"/>
    <n v="35.318275154004105"/>
    <n v="2.9431895961670089"/>
  </r>
  <r>
    <x v="4"/>
    <s v="UP2102 - HOSPITAL SAN JUAN DE DIOS"/>
    <s v="N/A"/>
    <s v="RIÑON"/>
    <x v="1"/>
    <m/>
    <s v="O+"/>
    <d v="1987-06-17T00:00:00"/>
    <n v="35.167693360711844"/>
    <s v="RELACIONADO CONSANGUÍNEO"/>
    <s v="BRAYNER DAVID"/>
    <s v="VEGA"/>
    <s v="QUESADA"/>
    <n v="111070589"/>
    <x v="344"/>
    <s v="MASCULINO"/>
    <d v="1963-07-29T00:00:00"/>
    <n v="59.052703627652292"/>
    <s v="A+"/>
    <m/>
    <s v="ERC ESTADÍO V"/>
    <s v="HEMODIÁLISIS"/>
    <s v="COSTA RICA"/>
    <s v="HEREDIA"/>
    <s v="CENTRAL"/>
    <s v="HEREDIA"/>
    <m/>
    <m/>
    <m/>
    <n v="0"/>
    <m/>
    <s v="ADECUADA"/>
    <s v="RIÑÓN FUNCIONAL"/>
    <s v="RIÑÓN FUNCIONAL"/>
    <s v="RIÑÓN FUNCIONAL"/>
    <m/>
    <m/>
    <m/>
    <s v="NO"/>
    <m/>
    <s v="N/A"/>
    <m/>
    <s v="FUNCIONAL"/>
    <m/>
    <m/>
    <m/>
    <m/>
    <s v="N/A"/>
    <m/>
    <m/>
    <s v="NO"/>
    <m/>
    <m/>
    <m/>
    <m/>
    <m/>
    <m/>
    <m/>
    <m/>
    <m/>
    <m/>
    <m/>
    <m/>
    <m/>
    <m/>
    <m/>
    <s v="401950135"/>
    <s v="FEMENINA"/>
    <s v="COSTARRICENSE"/>
    <s v="2° GRADO"/>
    <s v="HERMANA (O)"/>
    <n v="0"/>
    <n v="1071"/>
    <n v="35.186858316221766"/>
    <n v="2.9322381930184807"/>
  </r>
  <r>
    <x v="2"/>
    <s v="UP2306 - HOSPITAL DR. MAX PERALTA"/>
    <m/>
    <s v="RIÑÓN"/>
    <x v="1"/>
    <s v="NO"/>
    <s v="O+"/>
    <d v="2001-03-14T00:00:00"/>
    <n v="21.459274469541409"/>
    <s v="RELACIONADO CONSANGUINEO"/>
    <m/>
    <m/>
    <m/>
    <n v="2970088939"/>
    <x v="345"/>
    <s v="FEMENINO"/>
    <d v="1997-08-26T00:00:00"/>
    <n v="25.007529089664612"/>
    <s v="O+"/>
    <m/>
    <s v="RIÑÓN en herradura"/>
    <s v="HEMODIÁLISIS"/>
    <s v="NICARAGUA"/>
    <s v="CARTAGO"/>
    <s v="PARAISO"/>
    <s v="LLANOS DE SANTA LUCIA"/>
    <m/>
    <m/>
    <m/>
    <n v="0"/>
    <m/>
    <s v="VIVO"/>
    <s v="VIVO"/>
    <s v="VIVO"/>
    <s v="VIVO"/>
    <s v="VIVO"/>
    <m/>
    <m/>
    <s v="NO"/>
    <s v="NA"/>
    <s v="NA"/>
    <m/>
    <s v="FUNCIONAL"/>
    <s v="FUNCIONAL"/>
    <s v="FUNCIONAL"/>
    <m/>
    <m/>
    <s v="NA"/>
    <m/>
    <m/>
    <s v="NO"/>
    <m/>
    <s v="BASI"/>
    <n v="0.88"/>
    <n v="122"/>
    <s v="NO"/>
    <m/>
    <m/>
    <m/>
    <m/>
    <s v="NO"/>
    <m/>
    <m/>
    <s v="NO"/>
    <m/>
    <m/>
    <m/>
    <m/>
    <m/>
    <m/>
    <m/>
    <n v="0"/>
    <n v="1059"/>
    <n v="34.792607802874741"/>
    <n v="2.8993839835728954"/>
  </r>
  <r>
    <x v="4"/>
    <s v="UP2102 - HOSPITAL SAN JUAN DE DIOS"/>
    <s v="N/A"/>
    <s v="RIÑON"/>
    <x v="1"/>
    <m/>
    <m/>
    <m/>
    <n v="122.68583162217659"/>
    <s v="RELACIONADO CONSANGUÍNEO"/>
    <s v="STEVEN EDUARDO"/>
    <s v="ARAYA"/>
    <s v="MORALES"/>
    <n v="112590726"/>
    <x v="346"/>
    <s v="MASCULINO"/>
    <m/>
    <n v="122.68583162217659"/>
    <m/>
    <m/>
    <s v="ERC ESTADÍO V"/>
    <s v="HEMODIÁLISIS"/>
    <s v="COSTA RICA"/>
    <s v="SAN JOSE"/>
    <s v="ESCAZU"/>
    <s v="SAN RAFAEL"/>
    <n v="1.5"/>
    <m/>
    <m/>
    <n v="0"/>
    <m/>
    <s v="VIVO"/>
    <s v="VIVO"/>
    <s v="VIVO"/>
    <s v="VIVO"/>
    <m/>
    <m/>
    <m/>
    <s v="NO"/>
    <m/>
    <m/>
    <m/>
    <s v="FUNCIONAL"/>
    <s v="FUNCIONAL"/>
    <m/>
    <m/>
    <m/>
    <m/>
    <m/>
    <m/>
    <s v="NO"/>
    <m/>
    <s v="TIMOGLOBULINA"/>
    <s v="1.60"/>
    <n v="84"/>
    <s v="NO"/>
    <m/>
    <m/>
    <m/>
    <s v="NO"/>
    <s v="NO"/>
    <s v="N/A"/>
    <m/>
    <s v="NO"/>
    <s v="N/A"/>
    <s v="N/A"/>
    <m/>
    <m/>
    <m/>
    <m/>
    <m/>
    <n v="0"/>
    <n v="1050"/>
    <n v="34.496919917864474"/>
    <n v="2.8747433264887063"/>
  </r>
  <r>
    <x v="2"/>
    <s v="UP2306 - HOSPITAL DR. MAX PERALTA"/>
    <m/>
    <s v="RIÑÓN"/>
    <x v="0"/>
    <s v="SI"/>
    <m/>
    <m/>
    <n v="122.69678302532512"/>
    <s v="NO RELACIONADO"/>
    <s v="MARTIN GONZALO"/>
    <s v="MONTOYA"/>
    <s v="LORIA"/>
    <n v="303130725"/>
    <x v="347"/>
    <s v="MASCULINO"/>
    <d v="1971-02-19T00:00:00"/>
    <n v="51.559206023271734"/>
    <s v="AB+"/>
    <m/>
    <s v="Poliquistosis renal"/>
    <s v="DIÁLISIS PERITONEAL"/>
    <s v="COSTA RICA"/>
    <s v="CARTAGO"/>
    <s v="OREAMUNO"/>
    <s v="SAN RAFAEL"/>
    <m/>
    <m/>
    <m/>
    <n v="0"/>
    <m/>
    <s v="VIVO"/>
    <s v="VIVO"/>
    <s v="FALLECIDO"/>
    <s v="FALLECIDO"/>
    <m/>
    <m/>
    <m/>
    <s v="SI"/>
    <d v="2022-11-09T00:00:00"/>
    <s v="Shock séptico"/>
    <s v="NO"/>
    <s v="FUNCIONAL"/>
    <m/>
    <m/>
    <m/>
    <m/>
    <s v="NA"/>
    <m/>
    <m/>
    <s v="NO"/>
    <m/>
    <s v="TIMO"/>
    <s v="NA"/>
    <s v="NA"/>
    <s v="NO"/>
    <m/>
    <m/>
    <m/>
    <m/>
    <s v="NO"/>
    <m/>
    <m/>
    <s v="NO"/>
    <m/>
    <m/>
    <m/>
    <m/>
    <m/>
    <m/>
    <m/>
    <n v="1"/>
    <n v="59"/>
    <n v="1.9383983572895278"/>
    <n v="0.16153319644079397"/>
  </r>
  <r>
    <x v="2"/>
    <s v="UP2306 - HOSPITAL DR. MAX PERALTA"/>
    <m/>
    <s v="RIÑÓN"/>
    <x v="1"/>
    <s v="NO"/>
    <s v="A+"/>
    <d v="1989-11-25T00:00:00"/>
    <n v="32.854209445585212"/>
    <s v="RELACIONADO CONSANGUINEO"/>
    <m/>
    <m/>
    <m/>
    <n v="304250685"/>
    <x v="348"/>
    <s v="MASCULINO"/>
    <d v="1988-02-01T00:00:00"/>
    <n v="34.669404517453799"/>
    <s v="A+"/>
    <m/>
    <s v="Glorumelopatía primaria"/>
    <s v="DIÁLISIS PERITONEAL"/>
    <s v="COSTA RICA"/>
    <s v="CARTAGO"/>
    <s v="CARTAGO"/>
    <s v="CARMEN"/>
    <m/>
    <m/>
    <m/>
    <n v="0"/>
    <m/>
    <s v="VIVO"/>
    <s v="VIVO"/>
    <s v="VIVO"/>
    <s v="VIVO"/>
    <m/>
    <m/>
    <m/>
    <s v="NO"/>
    <s v="NA"/>
    <s v="NA"/>
    <m/>
    <s v="FUNCIONAL"/>
    <s v="FUNCIONAL"/>
    <s v="FUNCIONAL"/>
    <m/>
    <m/>
    <s v="NA"/>
    <m/>
    <m/>
    <s v="NO"/>
    <m/>
    <s v="BASI"/>
    <n v="0.95"/>
    <n v="106"/>
    <s v="SI"/>
    <s v="04/10/20222"/>
    <s v="UROLÓGICA"/>
    <s v="REIMPLANTE URETERAL"/>
    <s v="SI"/>
    <s v="NO"/>
    <m/>
    <m/>
    <s v="NO"/>
    <m/>
    <m/>
    <m/>
    <m/>
    <m/>
    <m/>
    <m/>
    <n v="0"/>
    <n v="1024"/>
    <n v="33.642710472279262"/>
    <n v="2.8035592060232717"/>
  </r>
  <r>
    <x v="2"/>
    <s v="UP2306 - HOSPITAL DR. MAX PERALTA"/>
    <m/>
    <s v="RIÑÓN"/>
    <x v="1"/>
    <s v="NO"/>
    <s v="A+"/>
    <d v="1986-12-17T00:00:00"/>
    <n v="35.832991101984945"/>
    <s v="RELACIONADO CONSANGUINEO"/>
    <m/>
    <m/>
    <m/>
    <n v="303700780"/>
    <x v="349"/>
    <s v="FEMENINO"/>
    <d v="1981-01-08T00:00:00"/>
    <n v="41.771389459274467"/>
    <s v="O+"/>
    <m/>
    <s v="Nefropatía hipertensiva"/>
    <s v="HEMODIÁLISIS"/>
    <s v="COSTA RICA"/>
    <s v="CARTAGO"/>
    <s v="CARTAGO"/>
    <s v="ORIENTAL"/>
    <m/>
    <m/>
    <m/>
    <n v="0"/>
    <m/>
    <s v="VIVO"/>
    <s v="VIVO"/>
    <s v="VIVO"/>
    <s v="VIVO"/>
    <m/>
    <m/>
    <m/>
    <s v="NO"/>
    <s v="NA"/>
    <s v="NA"/>
    <m/>
    <s v="FUNCIONAL"/>
    <s v="FUNCIONAL"/>
    <s v="FUNCIONAL"/>
    <m/>
    <m/>
    <s v="NA"/>
    <m/>
    <m/>
    <s v="NO"/>
    <m/>
    <s v="BASI"/>
    <n v="1.01"/>
    <n v="94"/>
    <s v="NO"/>
    <m/>
    <m/>
    <m/>
    <m/>
    <s v="NO"/>
    <m/>
    <m/>
    <s v="NO"/>
    <m/>
    <m/>
    <m/>
    <m/>
    <m/>
    <m/>
    <m/>
    <n v="0"/>
    <n v="1010"/>
    <n v="33.182751540041068"/>
    <n v="2.7652292950034223"/>
  </r>
  <r>
    <x v="0"/>
    <m/>
    <m/>
    <s v="RIÑON"/>
    <x v="0"/>
    <m/>
    <m/>
    <m/>
    <m/>
    <s v="cadaverico"/>
    <s v="MICHAEL ALBERTO"/>
    <s v="AMADOR"/>
    <s v="BOLAÑOS"/>
    <n v="110760008"/>
    <x v="350"/>
    <s v="MASCULINO"/>
    <d v="1980-07-19T00:00:00"/>
    <n v="42.261464750171115"/>
    <m/>
    <m/>
    <m/>
    <m/>
    <s v="COSTA RICA"/>
    <s v="HEREDIA"/>
    <s v="CENTRAL"/>
    <s v="SAN FRANCISC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004"/>
    <n v="32.985626283367559"/>
    <n v="2.7488021902806299"/>
  </r>
  <r>
    <x v="4"/>
    <s v="UP2102 - HOSPITAL SAN JUAN DE DIOS"/>
    <s v="DF.22.2022"/>
    <s v="RIÑON"/>
    <x v="0"/>
    <s v="NO"/>
    <s v="B+"/>
    <d v="1970-10-01T00:00:00"/>
    <n v="52.062970568104035"/>
    <s v="NINGUNA"/>
    <s v="ALFREDO RAFAEL"/>
    <s v="MOLINA"/>
    <s v="MORA"/>
    <n v="105450635"/>
    <x v="351"/>
    <s v="MASCULINO "/>
    <d v="1958-01-04T00:00:00"/>
    <n v="64.802190280629702"/>
    <m/>
    <n v="43134"/>
    <s v="ERC ESTADÍO V"/>
    <s v="DIÁLISIS PERITONEAL"/>
    <s v="COSTA RICA"/>
    <s v="SAN JOSE"/>
    <s v="CENTRAL"/>
    <s v="CARMEN"/>
    <n v="17.170000000000002"/>
    <m/>
    <m/>
    <n v="0"/>
    <m/>
    <s v="VIVO"/>
    <s v="VIVO"/>
    <s v="VIVO"/>
    <s v="VIVO"/>
    <s v="FALLECIDO"/>
    <s v="FALLECIDO"/>
    <s v="FALLECIDO"/>
    <s v="SI"/>
    <d v="2023-12-16T00:00:00"/>
    <s v="CAUSA NO CONOCIDA. CONSULTÓ A URGENCIAS AREA LOCAL POR MIALGIAS"/>
    <s v="NO"/>
    <s v="NO FUNCIONAL"/>
    <s v="NO FUNCIONAL"/>
    <s v="NO FUNCIONAL"/>
    <s v="NO FUNCIONAL"/>
    <s v="NO FUNCIONAL"/>
    <d v="2022-10-24T00:00:00"/>
    <s v="PERMANECIÓ ANÚRICO"/>
    <s v="REGRESO A DIÁLISIS"/>
    <s v="SI"/>
    <d v="2022-10-24T00:00:00"/>
    <s v="TIMOGLOBULINA"/>
    <s v="5.69"/>
    <n v="10.92"/>
    <s v="SI"/>
    <n v="44860"/>
    <s v="UROLÓGICA"/>
    <s v="NECROSIS RENAL"/>
    <s v="SI"/>
    <s v="NO"/>
    <m/>
    <m/>
    <s v="NO"/>
    <s v="N/A"/>
    <s v="N/A"/>
    <m/>
    <m/>
    <m/>
    <m/>
    <m/>
    <n v="1"/>
    <n v="418"/>
    <n v="13.733059548254619"/>
    <n v="1.1444216290212184"/>
  </r>
  <r>
    <x v="3"/>
    <s v="UP2103 - HOSPITAL NACIONAL DE NIÑOS"/>
    <s v="DF.23.2022"/>
    <s v="RIÑON"/>
    <x v="0"/>
    <m/>
    <s v="O+"/>
    <d v="1995-02-25T00:00:00"/>
    <n v="27"/>
    <s v="NO APLICA"/>
    <s v="NATALY SOFIA"/>
    <s v="GUERRERO"/>
    <s v="MARTINEZ"/>
    <n v="403110205"/>
    <x v="351"/>
    <s v="FEMENINA"/>
    <d v="2015-02-25T00:00:00"/>
    <n v="7.6605065023956191"/>
    <s v="O+"/>
    <m/>
    <s v="INSUFICIENCIA RENAL CRONICA"/>
    <s v="HEMODIALISIS"/>
    <s v="COSTA RICA"/>
    <s v="HEREDIA"/>
    <s v="HEREDIA"/>
    <s v="ULLOA"/>
    <m/>
    <m/>
    <m/>
    <n v="0"/>
    <m/>
    <s v="ADECUADA"/>
    <s v="ADECUADA"/>
    <s v="ADECUADA"/>
    <s v="ADECUADA"/>
    <s v="ADECUADA"/>
    <s v="ADECUADA"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s v="702340152"/>
    <s v="FEMENINA"/>
    <s v="COSTA RICA"/>
    <m/>
    <s v="EN HNN AUN "/>
    <n v="0"/>
    <n v="1003"/>
    <n v="32.95277207392197"/>
    <n v="2.7460643394934978"/>
  </r>
  <r>
    <x v="1"/>
    <s v="UP2101 - HOSPITAL DR. RAFAEL A. CALDERÓN GUARDIA"/>
    <s v="DF.23.2022"/>
    <s v="RIÑON"/>
    <x v="0"/>
    <m/>
    <m/>
    <d v="1995-02-25T00:00:00"/>
    <n v="27"/>
    <m/>
    <s v="DANIEL BOANERGES"/>
    <s v="MORA"/>
    <s v="MADRIGAL"/>
    <n v="115240499"/>
    <x v="351"/>
    <s v="MASCULINO"/>
    <d v="1992-12-22T00:00:00"/>
    <n v="29.83709787816564"/>
    <s v="O+"/>
    <m/>
    <s v="IRC ESTADIO 5"/>
    <s v="HEMODIALISIS"/>
    <s v="COSTA RICA"/>
    <s v="SAN JOSE"/>
    <s v="CURRIDABAT"/>
    <s v="CURRIDABAT"/>
    <m/>
    <m/>
    <m/>
    <n v="14"/>
    <m/>
    <s v="BUENA EVOLUCION "/>
    <s v="RETARDO EN LA FUNCION DEL INJERTO"/>
    <s v="FALLECIDO"/>
    <m/>
    <m/>
    <m/>
    <m/>
    <s v="SI"/>
    <d v="2022-11-06T00:00:00"/>
    <s v="SHOCK SEPTICO"/>
    <s v="NO"/>
    <s v="FUNCIONAL"/>
    <m/>
    <m/>
    <m/>
    <m/>
    <m/>
    <m/>
    <m/>
    <s v="NO"/>
    <m/>
    <m/>
    <m/>
    <m/>
    <m/>
    <m/>
    <m/>
    <m/>
    <m/>
    <m/>
    <m/>
    <m/>
    <m/>
    <m/>
    <m/>
    <n v="702340152"/>
    <s v="FEMENINA"/>
    <s v="COSTA RICA"/>
    <m/>
    <m/>
    <n v="1"/>
    <n v="13"/>
    <n v="0.4271047227926078"/>
    <n v="3.5592060232717319E-2"/>
  </r>
  <r>
    <x v="1"/>
    <s v="UP2101 - HOSPITAL DR. RAFAEL A. CALDERÓN GUARDIA"/>
    <s v="DF.25.2022"/>
    <s v="RIÑON"/>
    <x v="0"/>
    <m/>
    <m/>
    <d v="1989-04-29T00:00:00"/>
    <n v="33"/>
    <m/>
    <s v="MARCELO"/>
    <s v="TRIGUEROS"/>
    <s v="SALAS"/>
    <n v="203050179"/>
    <x v="352"/>
    <s v="MASCULINO"/>
    <d v="1955-04-20T00:00:00"/>
    <n v="67.545516769336075"/>
    <s v="B+"/>
    <m/>
    <s v="IRC ESTADIO 5"/>
    <s v="DIALISIS PERITONEAL"/>
    <s v="COSTA RICA"/>
    <s v="SAN JOSE"/>
    <s v="MONTES DE OCA"/>
    <s v="SAN RAFAEL"/>
    <m/>
    <m/>
    <m/>
    <n v="10"/>
    <m/>
    <s v="EXCELENTE EVOLUCION CLINICA"/>
    <s v="EXCELENTE EVOLUCION CLINICA"/>
    <s v="EXCELENTE EVOLUCION CLINICA"/>
    <s v="EXCELENTE EVOLUCION CLINICA"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503710257"/>
    <s v="MASCULINO"/>
    <s v="COSTA RICA"/>
    <m/>
    <m/>
    <n v="0"/>
    <n v="991"/>
    <n v="32.558521560574945"/>
    <n v="2.7132101300479126"/>
  </r>
  <r>
    <x v="1"/>
    <s v="UP2101 - HOSPITAL DR. RAFAEL A. CALDERÓN GUARDIA"/>
    <s v="DF.25.202"/>
    <s v="RIÑON"/>
    <x v="0"/>
    <m/>
    <m/>
    <d v="1989-04-29T00:00:00"/>
    <n v="33"/>
    <m/>
    <s v="CLAUDIA RAQUEL"/>
    <s v="MAYORGA"/>
    <s v="JIRON"/>
    <n v="800810634"/>
    <x v="352"/>
    <s v="FEMENINA"/>
    <d v="1979-02-03T00:00:00"/>
    <n v="43.753593429158109"/>
    <s v="B+"/>
    <m/>
    <s v="IRC ESTADIO 5"/>
    <s v="DIALISIS PERITONEAL"/>
    <s v="COSTA RICA"/>
    <s v="SAN JOSE"/>
    <s v="DESAMPARADOS"/>
    <s v="DESAMPARADOS"/>
    <m/>
    <m/>
    <m/>
    <n v="7"/>
    <m/>
    <s v="EXCELENTE EVOLUCION CLINICA"/>
    <s v="EXCELENTE EVOLUCION CLINICA"/>
    <s v="EXCELENTE EVOLUCION CLINICA"/>
    <s v="EXCELENTE EVOLUCION CLÍNICA"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503710257"/>
    <s v="MASCULINO"/>
    <s v="COSTA RICA"/>
    <m/>
    <m/>
    <n v="0"/>
    <n v="991"/>
    <n v="32.558521560574945"/>
    <n v="2.7132101300479126"/>
  </r>
  <r>
    <x v="0"/>
    <m/>
    <m/>
    <s v="RIÑON"/>
    <x v="1"/>
    <m/>
    <m/>
    <m/>
    <m/>
    <s v="Hermano"/>
    <s v="MARIO JOSE"/>
    <s v="ARCEDA"/>
    <s v="LOPEZ"/>
    <n v="800980566"/>
    <x v="353"/>
    <s v="MASCULINO"/>
    <d v="1990-08-20T00:00:00"/>
    <n v="32.2217659137577"/>
    <m/>
    <m/>
    <m/>
    <m/>
    <s v="COSTA RICA"/>
    <s v="Heredia, Santa Barvar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987"/>
    <n v="32.427104722792606"/>
    <n v="2.7022587268993838"/>
  </r>
  <r>
    <x v="0"/>
    <m/>
    <m/>
    <s v="RIÑON"/>
    <x v="0"/>
    <m/>
    <m/>
    <m/>
    <m/>
    <s v="cadaverico"/>
    <s v="STEFANIE DE LOS ANGELES"/>
    <s v="CAMPOS"/>
    <s v="HERNANDEZ"/>
    <n v="402040840"/>
    <x v="354"/>
    <s v="FEMENINA"/>
    <d v="1989-12-25T00:00:00"/>
    <n v="32.919917864476389"/>
    <m/>
    <m/>
    <m/>
    <m/>
    <s v="COSTA RICA"/>
    <s v="HEREDIA"/>
    <s v="SAN RAFAEL"/>
    <s v="ANGELE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970"/>
    <n v="31.868583162217661"/>
    <n v="2.6557152635181382"/>
  </r>
  <r>
    <x v="1"/>
    <s v="UP2101 - HOSPITAL DR. RAFAEL A. CALDERÓN GUARDIA"/>
    <s v="DF.26.2022"/>
    <s v="RIÑON"/>
    <x v="0"/>
    <m/>
    <m/>
    <d v="1976-05-05T00:00:00"/>
    <n v="46"/>
    <m/>
    <s v="JOSE FRANCISCO"/>
    <s v="CRUZ"/>
    <s v="CHAVARRIA"/>
    <n v="702530244"/>
    <x v="354"/>
    <s v="MASCULINO"/>
    <d v="1997-06-25T00:00:00"/>
    <n v="25.420944558521562"/>
    <s v="B+"/>
    <m/>
    <s v="IRC ESTADIO 5"/>
    <s v="DIALISIS PERITONEAL"/>
    <s v="COSTA RICA"/>
    <s v="LIMON"/>
    <s v="GUACIMO"/>
    <s v="GUACIMO"/>
    <m/>
    <m/>
    <m/>
    <n v="7"/>
    <m/>
    <s v="EXCELENTE EVOLUCION CLINICA"/>
    <s v="EXCELENTE EVOLUCION CLINICA"/>
    <s v="EXCELENTE EVOLUCION CLINICA"/>
    <s v="EXCELENTE EVOLUCION CLÍNICA"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401640230"/>
    <s v="MASCULINO"/>
    <s v="COSTA RICA"/>
    <m/>
    <m/>
    <n v="0"/>
    <n v="970"/>
    <n v="31.868583162217661"/>
    <n v="2.6557152635181382"/>
  </r>
  <r>
    <x v="0"/>
    <m/>
    <m/>
    <s v="RIÑON"/>
    <x v="1"/>
    <m/>
    <m/>
    <m/>
    <m/>
    <s v="Hermana"/>
    <s v="ALEJANDRO"/>
    <s v="VARGAS"/>
    <s v="RODRIGUEZ"/>
    <n v="114090245"/>
    <x v="355"/>
    <s v="MASCULINO"/>
    <d v="1989-10-19T00:00:00"/>
    <n v="33.114305270362763"/>
    <m/>
    <m/>
    <m/>
    <m/>
    <s v="COSTA RICA"/>
    <s v="Santo Domingo, Heredia"/>
    <m/>
    <m/>
    <m/>
    <m/>
    <m/>
    <m/>
    <m/>
    <m/>
    <m/>
    <m/>
    <m/>
    <m/>
    <m/>
    <m/>
    <s v="SI"/>
    <d v="2022-12-22T00:00:00"/>
    <s v="SHOCK HEMORRAGICO"/>
    <s v="NO"/>
    <s v="NO FUNCIONAL"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2"/>
    <n v="0.7227926078028748"/>
    <n v="6.0232717316906229E-2"/>
  </r>
  <r>
    <x v="3"/>
    <s v="UP2103 - HOSPITAL NACIONAL DE NIÑOS"/>
    <s v="DF.28.2022"/>
    <s v="RIÑON"/>
    <x v="0"/>
    <m/>
    <s v="A+"/>
    <d v="1989-11-05T00:00:00"/>
    <n v="33"/>
    <s v="NO APLICA"/>
    <s v="JOEL ANTONIO"/>
    <s v="SEGURA"/>
    <s v="SANABRIA"/>
    <n v="305920562"/>
    <x v="356"/>
    <s v="MASCULINO"/>
    <d v="2010-04-30T00:00:00"/>
    <n v="12.588637919233403"/>
    <s v="A+"/>
    <m/>
    <s v="INSUFICIENCIA RENAL CRONICA"/>
    <s v="NINGUNA TERAPIA "/>
    <s v="COSTA RICA"/>
    <s v="CARTAGO"/>
    <s v="CARTAGO"/>
    <s v="Corralillo"/>
    <m/>
    <m/>
    <m/>
    <n v="0"/>
    <m/>
    <s v="ADECUADA"/>
    <s v="ADECUADA"/>
    <s v="ADECUADA"/>
    <s v="ADECUADA"/>
    <s v="ADECUADA"/>
    <s v="ADECUADA"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s v="701950352"/>
    <s v="MASCULINO"/>
    <s v="COSTA RICA"/>
    <m/>
    <s v="EN HNN AUN "/>
    <n v="0"/>
    <n v="965"/>
    <n v="31.704312114989733"/>
    <n v="2.6420260095824779"/>
  </r>
  <r>
    <x v="0"/>
    <m/>
    <m/>
    <s v="RIÑON"/>
    <x v="0"/>
    <m/>
    <m/>
    <m/>
    <m/>
    <s v="cadaverico"/>
    <s v="JOSE ANTONIO"/>
    <s v="SALGADO"/>
    <s v="MORA"/>
    <n v="604500807"/>
    <x v="356"/>
    <s v="MASCULINO"/>
    <d v="1999-02-15T00:00:00"/>
    <n v="23.791923340177959"/>
    <m/>
    <m/>
    <m/>
    <m/>
    <s v="COSTA RICA"/>
    <s v="Guanacaste, abangare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965"/>
    <n v="31.704312114989733"/>
    <n v="2.6420260095824779"/>
  </r>
  <r>
    <x v="0"/>
    <m/>
    <m/>
    <s v="RIÑON"/>
    <x v="1"/>
    <m/>
    <m/>
    <m/>
    <m/>
    <s v="Hermana"/>
    <s v="CARLOS AUGUSTO"/>
    <s v="ESPINOZA"/>
    <s v="ARCEYUT"/>
    <n v="800720108"/>
    <x v="357"/>
    <s v="MASCULINO"/>
    <d v="1969-02-23T00:00:00"/>
    <n v="53.798767967145793"/>
    <m/>
    <m/>
    <m/>
    <m/>
    <s v="COSTA RICA"/>
    <s v="San Jose, escalan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954"/>
    <n v="31.342915811088297"/>
    <n v="2.6119096509240247"/>
  </r>
  <r>
    <x v="2"/>
    <s v="UP2306 - HOSPITAL DR. MAX PERALTA"/>
    <m/>
    <s v="RIÑÓN"/>
    <x v="1"/>
    <s v="NO"/>
    <s v="A+"/>
    <d v="1991-02-21T00:00:00"/>
    <n v="31.805612594113622"/>
    <s v="RELACIONADO CONSANGUINEO"/>
    <m/>
    <m/>
    <m/>
    <n v="304060378"/>
    <x v="357"/>
    <s v="MASCULINO"/>
    <d v="1985-10-10T00:00:00"/>
    <n v="37.171800136892543"/>
    <s v="A+"/>
    <m/>
    <s v="NEFROPATIA LUPICA"/>
    <s v="HEMODIÁLISIS"/>
    <s v="COSTA RICA"/>
    <s v="CARTAGO"/>
    <s v="EL GUARCO"/>
    <s v="TEJAR"/>
    <m/>
    <m/>
    <m/>
    <n v="0"/>
    <m/>
    <s v="VIVO"/>
    <s v="VIVO"/>
    <s v="VIVO"/>
    <s v="VIVO"/>
    <m/>
    <m/>
    <m/>
    <s v="NO"/>
    <s v="NA"/>
    <s v="NA"/>
    <m/>
    <s v="FUNCIONAL"/>
    <s v="FUNCIONAL"/>
    <s v="FUNCIONAL"/>
    <m/>
    <m/>
    <s v="NA"/>
    <m/>
    <m/>
    <s v="NO"/>
    <m/>
    <s v="BASI"/>
    <n v="1.45"/>
    <n v="63"/>
    <s v="NO"/>
    <m/>
    <m/>
    <m/>
    <m/>
    <s v="NO"/>
    <m/>
    <m/>
    <s v="NO"/>
    <m/>
    <m/>
    <m/>
    <m/>
    <m/>
    <m/>
    <m/>
    <n v="0"/>
    <n v="954"/>
    <n v="31.342915811088297"/>
    <n v="2.6119096509240247"/>
  </r>
  <r>
    <x v="1"/>
    <s v="UP2101 - HOSPITAL DR. RAFAEL A. CALDERÓN GUARDIA"/>
    <s v="DF.29.2022"/>
    <s v="RIÑON"/>
    <x v="0"/>
    <m/>
    <m/>
    <d v="2004-05-31T00:00:00"/>
    <n v="18"/>
    <m/>
    <s v="BERNAL"/>
    <s v="GARCIA"/>
    <s v="CORDOBA"/>
    <n v="104200872"/>
    <x v="358"/>
    <s v="MASCULINO"/>
    <d v="1953-09-22T00:00:00"/>
    <n v="69.23203285420945"/>
    <s v="B+"/>
    <m/>
    <s v="ERC ESTADIO 5"/>
    <s v="HEMODIALISIS"/>
    <s v="COSTA RICA"/>
    <s v="SAN JOSE"/>
    <s v="MORAVIA"/>
    <s v="SAN VICENTE"/>
    <m/>
    <m/>
    <m/>
    <n v="6"/>
    <m/>
    <s v="EXCELENTE EVOLUCION CLINICA"/>
    <s v="EXCELENTE EVOLUCION CLINICA"/>
    <s v="EXCELENTE EVOLUCION CLINICA"/>
    <s v="EXCELENTE EVOLUCION CLÍNICA"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604860773"/>
    <s v="MASCULINO"/>
    <s v="COSTA RICA"/>
    <m/>
    <m/>
    <n v="0"/>
    <n v="950"/>
    <n v="31.211498973305954"/>
    <n v="2.6009582477754964"/>
  </r>
  <r>
    <x v="1"/>
    <s v="UP2101 - HOSPITAL DR. RAFAEL A. CALDERÓN GUARDIA"/>
    <s v="DF.29.2022"/>
    <s v="RIÑON"/>
    <x v="0"/>
    <m/>
    <m/>
    <d v="2004-05-31T00:00:00"/>
    <n v="18"/>
    <m/>
    <s v="ALEXANDER ENRIQUE"/>
    <s v="JENKINS"/>
    <s v="MORA"/>
    <n v="109510973"/>
    <x v="358"/>
    <s v="MASCULINO"/>
    <d v="1976-11-01T00:00:00"/>
    <n v="46.121834360027378"/>
    <s v="B+"/>
    <m/>
    <s v="IRC ESTADIO 5"/>
    <s v="DIALISIS PERITONEAL"/>
    <s v="COSTA RICA"/>
    <s v="SAN JOSE"/>
    <s v="CENTRAL"/>
    <s v="CARMEN"/>
    <m/>
    <m/>
    <m/>
    <n v="30"/>
    <m/>
    <s v="TÓRPIDA"/>
    <s v="TRASPLANTECTOMIA POR TROMBOSIS INJERTO RENAL  Y REINGRESO A SOPORTE RENAL"/>
    <m/>
    <m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604860773"/>
    <s v="MASCULINO"/>
    <s v="COSTA RICA"/>
    <m/>
    <m/>
    <n v="0"/>
    <n v="950"/>
    <n v="31.211498973305954"/>
    <n v="2.6009582477754964"/>
  </r>
  <r>
    <x v="0"/>
    <m/>
    <m/>
    <s v="RIÑON"/>
    <x v="1"/>
    <m/>
    <m/>
    <m/>
    <m/>
    <s v="Hermano"/>
    <s v="PAOLA VANESSA"/>
    <s v="ROJAS"/>
    <s v="ARROYO"/>
    <n v="206560441"/>
    <x v="359"/>
    <s v="FEMENINA"/>
    <d v="1989-02-21T00:00:00"/>
    <n v="33.828884325804246"/>
    <m/>
    <m/>
    <m/>
    <m/>
    <s v="COSTA RICA"/>
    <s v="Alajuela, San Carlo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945"/>
    <n v="31.04722792607803"/>
    <n v="2.5872689938398357"/>
  </r>
  <r>
    <x v="0"/>
    <m/>
    <m/>
    <s v="RIÑON"/>
    <x v="0"/>
    <m/>
    <m/>
    <m/>
    <m/>
    <s v="cadaverico"/>
    <s v="GERARDO"/>
    <s v="MORENO"/>
    <s v="ACEVEDO"/>
    <n v="502800544"/>
    <x v="360"/>
    <s v="MASCULINO"/>
    <d v="1973-12-08T00:00:00"/>
    <n v="49.045859000684466"/>
    <m/>
    <m/>
    <m/>
    <m/>
    <s v="COSTA RICA"/>
    <s v="GUANACASTE"/>
    <s v="CARRILLO"/>
    <s v="FILADELF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941"/>
    <n v="30.915811088295687"/>
    <n v="2.5763175906913074"/>
  </r>
  <r>
    <x v="1"/>
    <s v="UP2101 - HOSPITAL DR. RAFAEL A. CALDERÓN GUARDIA"/>
    <s v="DF.30.2022"/>
    <s v="RIÑON"/>
    <x v="0"/>
    <m/>
    <m/>
    <d v="1994-12-31T00:00:00"/>
    <n v="27"/>
    <m/>
    <s v="CARLOS JOSE"/>
    <s v="CRUZ"/>
    <s v="MAIRENA"/>
    <n v="1850103257"/>
    <x v="360"/>
    <s v="MASCULINO"/>
    <d v="1985-03-19T00:00:00"/>
    <n v="37.768651608487339"/>
    <s v="O+"/>
    <m/>
    <s v="ERC ESTADIO 5"/>
    <s v="HEMODIALISIS"/>
    <s v="NICARAGUA"/>
    <s v="LIMON"/>
    <s v="MATINA"/>
    <s v="CARRANDI"/>
    <m/>
    <m/>
    <m/>
    <n v="2"/>
    <m/>
    <s v="TORPIDA, FALLECIMIENTO POR SHOCK HIPOVOLEMICO A LAS 48 HORAS"/>
    <m/>
    <m/>
    <m/>
    <m/>
    <m/>
    <m/>
    <s v="SI"/>
    <d v="2022-12-27T00:00:00"/>
    <s v="CHOQUE HIPOVOLEMICO"/>
    <m/>
    <s v="FUNCIONAL"/>
    <m/>
    <m/>
    <m/>
    <m/>
    <m/>
    <m/>
    <m/>
    <s v="NO"/>
    <m/>
    <m/>
    <m/>
    <m/>
    <m/>
    <m/>
    <m/>
    <m/>
    <m/>
    <m/>
    <m/>
    <m/>
    <m/>
    <m/>
    <m/>
    <n v="702330385"/>
    <s v="MASCULINO"/>
    <s v="COSTA RICA"/>
    <m/>
    <m/>
    <n v="1"/>
    <n v="2"/>
    <n v="6.5708418891170434E-2"/>
    <n v="5.4757015742642025E-3"/>
  </r>
  <r>
    <x v="3"/>
    <s v="UP2103 - HOSPITAL NACIONAL DE NIÑOS"/>
    <s v="DF.01.2023"/>
    <s v="RIÑON"/>
    <x v="0"/>
    <m/>
    <s v="O+"/>
    <s v="DESCONOCIDA "/>
    <n v="6"/>
    <s v="NO APLICA"/>
    <s v="BRANDON ADIEL"/>
    <s v="ZUÑIGA"/>
    <s v="QUIROS"/>
    <n v="306160481"/>
    <x v="361"/>
    <s v="MASCULINO"/>
    <d v="2013-11-30T00:00:00"/>
    <n v="9.0930869267624921"/>
    <s v="O+"/>
    <m/>
    <s v="INSUFICIENCIA RENAL CRONICA"/>
    <s v="DIALISIS PERITONEAL"/>
    <s v="COSTA RICA"/>
    <s v="SAN JOSE"/>
    <s v="SAN JOSE"/>
    <s v="ZAPOTE"/>
    <m/>
    <m/>
    <m/>
    <n v="1"/>
    <m/>
    <s v="PERDIDO"/>
    <s v="NO APLICA "/>
    <s v="NO APLICA"/>
    <s v="NO APLICA"/>
    <s v="NO APLCIA"/>
    <s v="NO APLICA "/>
    <m/>
    <s v="SI"/>
    <d v="2023-03-16T00:00:00"/>
    <s v="ERC"/>
    <m/>
    <s v="NO FUNCIONAL"/>
    <m/>
    <m/>
    <m/>
    <m/>
    <d v="2023-01-11T00:00:00"/>
    <m/>
    <m/>
    <s v="NO"/>
    <m/>
    <m/>
    <m/>
    <m/>
    <m/>
    <m/>
    <m/>
    <m/>
    <m/>
    <m/>
    <m/>
    <m/>
    <m/>
    <m/>
    <m/>
    <s v="DESCONOCIDA"/>
    <s v="MASCULINO"/>
    <s v="COSTA RICA"/>
    <m/>
    <s v="PACIENTE FALLECE "/>
    <n v="1"/>
    <n v="71.75"/>
    <n v="2.3572895277207393"/>
    <n v="0.19644079397672826"/>
  </r>
  <r>
    <x v="3"/>
    <s v="UP2103 - HOSPITAL NACIONAL DE NIÑOS"/>
    <s v="DF.01.2023"/>
    <s v="RIÑON"/>
    <x v="0"/>
    <m/>
    <s v="O+"/>
    <s v="DESCONOCIDA "/>
    <n v="6"/>
    <s v="NO APLICA"/>
    <s v="CHARLOTTE BELEN"/>
    <s v="RAMIREZ"/>
    <s v="MATAMOROS"/>
    <n v="122610689"/>
    <x v="362"/>
    <s v="FEMENINA"/>
    <d v="2016-08-29T00:00:00"/>
    <n v="6.3497604380561263"/>
    <s v="O+"/>
    <m/>
    <s v="INSUFICIENCIA RENAL CRONICA"/>
    <s v="DIALISIS PERITONEAL"/>
    <s v="COSTA RICA"/>
    <s v="CARTAGO"/>
    <s v="LA UNION"/>
    <s v="SAN DIEGO"/>
    <m/>
    <m/>
    <m/>
    <n v="0"/>
    <m/>
    <s v="ADECUADA"/>
    <s v="ADECUADA"/>
    <s v="ADECUADA"/>
    <s v="ADECUADA"/>
    <s v="ADECUADA"/>
    <s v="ADECUADA"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s v="DESCONOCIDA"/>
    <s v="MASCULINO"/>
    <s v="COSTA RICA"/>
    <m/>
    <s v="EN HNN AUN "/>
    <n v="0"/>
    <n v="930.75"/>
    <n v="30.579055441478438"/>
    <n v="2.5482546201232035"/>
  </r>
  <r>
    <x v="2"/>
    <s v="UP2306 - HOSPITAL DR. MAX PERALTA"/>
    <m/>
    <s v="RIÑÓN"/>
    <x v="1"/>
    <s v="NO"/>
    <s v="O+"/>
    <d v="1998-03-19T06:00:00"/>
    <n v="24.810403832991103"/>
    <s v="RELACIONADO CONSANGUINEO"/>
    <m/>
    <m/>
    <m/>
    <n v="305100101"/>
    <x v="363"/>
    <s v="MASCULINO"/>
    <d v="1998-05-24T06:00:00"/>
    <n v="24.629705681040384"/>
    <s v="A+"/>
    <m/>
    <s v="NEFROPATIA LUPICA"/>
    <s v="HEMODIÁLISIS"/>
    <s v="COSTA RICA"/>
    <s v="CARTAGO"/>
    <s v="LA UNION"/>
    <s v="TRES RIOS"/>
    <m/>
    <m/>
    <m/>
    <n v="0"/>
    <m/>
    <s v="VIVO"/>
    <s v="VIVO"/>
    <s v="VIVO"/>
    <s v="VIVO"/>
    <m/>
    <m/>
    <m/>
    <s v="NO"/>
    <s v="NA"/>
    <s v="NA"/>
    <m/>
    <s v="FUNCIONAL"/>
    <s v="FUNCIONAL"/>
    <s v="FUNCIONAL"/>
    <m/>
    <m/>
    <s v="NA"/>
    <m/>
    <m/>
    <s v="NO"/>
    <m/>
    <s v="BASI"/>
    <n v="1.27"/>
    <n v="80"/>
    <s v="NO"/>
    <m/>
    <m/>
    <m/>
    <m/>
    <s v="NO"/>
    <m/>
    <m/>
    <s v="NO"/>
    <m/>
    <m/>
    <m/>
    <m/>
    <m/>
    <m/>
    <m/>
    <n v="0"/>
    <n v="925.75"/>
    <n v="30.414784394250514"/>
    <n v="2.5345653661875427"/>
  </r>
  <r>
    <x v="0"/>
    <m/>
    <m/>
    <s v="RIÑON"/>
    <x v="0"/>
    <m/>
    <m/>
    <m/>
    <m/>
    <s v="cadaverico"/>
    <s v="WALTER"/>
    <s v="MONTERO"/>
    <s v="FLORES"/>
    <n v="602050149"/>
    <x v="364"/>
    <s v="MASCULINO"/>
    <d v="1962-06-13T00:00:00"/>
    <n v="60.602327173169066"/>
    <m/>
    <m/>
    <m/>
    <m/>
    <s v="COSTA RICA"/>
    <s v="SAN JOSE"/>
    <s v="DESAMPARADOS"/>
    <s v="SAN RAFAEL ARRIB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916"/>
    <n v="30.094455852156056"/>
    <n v="2.5078713210130048"/>
  </r>
  <r>
    <x v="3"/>
    <s v="UP2103 - HOSPITAL NACIONAL DE NIÑOS"/>
    <s v="DF.02.2023"/>
    <s v="RIÑON"/>
    <x v="0"/>
    <m/>
    <s v="O+"/>
    <s v="DESCONOCIDA "/>
    <n v="28"/>
    <s v="NO APLICA"/>
    <s v="DEYLON JOSUE"/>
    <s v="CAMPOS"/>
    <s v="GUEVARA"/>
    <n v="605140341"/>
    <x v="365"/>
    <s v="MASCULINO"/>
    <d v="2008-08-06T00:00:00"/>
    <n v="14.456536618754278"/>
    <s v="A+"/>
    <m/>
    <s v="INSUFICIENCIA RENAL CRONICA"/>
    <s v="HEMODIALISIS"/>
    <s v="COSTA RICA"/>
    <s v="PUNTARENAS"/>
    <s v="CORREDORES"/>
    <s v="CORREDOR"/>
    <m/>
    <m/>
    <m/>
    <n v="0"/>
    <m/>
    <s v="ADECUADA"/>
    <s v="ADECUADA"/>
    <s v="ADECUADA"/>
    <s v="ADECUADA"/>
    <s v="ADECUADA"/>
    <s v="ADECUADA"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s v="DESCONOCIDA"/>
    <s v="MASCULINO"/>
    <s v="COSTA RICA"/>
    <m/>
    <s v="SEGUIMEITNO EN HOSPITAL DE ADULTOS "/>
    <n v="0"/>
    <n v="914.75"/>
    <n v="30.053388090349078"/>
    <n v="2.5044490075290895"/>
  </r>
  <r>
    <x v="4"/>
    <m/>
    <s v="DF.03.2023"/>
    <s v="RIÑON"/>
    <x v="0"/>
    <s v="NO"/>
    <s v="A+"/>
    <d v="1984-07-04T00:00:00"/>
    <n v="38.57631759069131"/>
    <s v="NINGUNA"/>
    <s v="EDELMIRA DE LOS ANGELES"/>
    <s v="QUESADA"/>
    <s v="JIMENEZ"/>
    <n v="105830916"/>
    <x v="366"/>
    <s v="FEMENINO"/>
    <d v="1962-05-28T00:00:00"/>
    <n v="60.67898699520876"/>
    <s v="A+"/>
    <n v="42894"/>
    <s v="ERC ESTADÍO V"/>
    <s v="HEMODIÁLISIS"/>
    <s v="COSTA RICA"/>
    <s v="SAN JOSE"/>
    <s v="SANTA ANA"/>
    <s v="SALITRAL"/>
    <n v="15"/>
    <m/>
    <m/>
    <n v="3"/>
    <m/>
    <s v="VIVO"/>
    <s v="VIVO"/>
    <s v="VIVO"/>
    <s v="FALLECIDO"/>
    <s v="FALLECIDO"/>
    <s v="FALLECIDO"/>
    <s v="FALLECIDO"/>
    <s v="SI"/>
    <d v="2024-01-09T00:00:00"/>
    <s v="SHOCK SEPTICO"/>
    <s v="SI"/>
    <s v="FUNCIONAL"/>
    <s v="FUNCIONAL"/>
    <m/>
    <m/>
    <m/>
    <m/>
    <m/>
    <m/>
    <s v="NO"/>
    <m/>
    <s v="TIMOGLOBULINA"/>
    <s v="1.67"/>
    <m/>
    <s v="NO"/>
    <m/>
    <m/>
    <m/>
    <s v="NO"/>
    <s v="SI"/>
    <d v="2024-01-04T00:00:00"/>
    <s v="MÚLTIPLE"/>
    <s v="NO"/>
    <s v="N/A"/>
    <s v="N/A"/>
    <m/>
    <m/>
    <m/>
    <m/>
    <m/>
    <n v="1"/>
    <n v="343"/>
    <n v="11.268993839835728"/>
    <n v="0.93908281998631071"/>
  </r>
  <r>
    <x v="1"/>
    <s v="UP2101 - HOSPITAL DR. RAFAEL A. CALDERÓN GUARDIA"/>
    <s v="DF.03.2023"/>
    <s v="RIÑON"/>
    <x v="0"/>
    <m/>
    <m/>
    <d v="1984-07-04T00:00:00"/>
    <n v="38"/>
    <m/>
    <s v="VICTOR MANUEL"/>
    <s v="TORRES"/>
    <s v="NOVOA"/>
    <n v="701480382"/>
    <x v="367"/>
    <s v="MASCULINO"/>
    <d v="1982-09-07T00:00:00"/>
    <n v="40.400410677618069"/>
    <s v="A+"/>
    <m/>
    <s v="IRC ESTADIO V- PROBABLE GLOMERULONEFRITIS PRIMARIA"/>
    <s v="DIALISIS PERITONEAL"/>
    <s v="COSTA RICA"/>
    <s v="LIMON"/>
    <s v="GUACIMO"/>
    <s v="GUACIMO"/>
    <m/>
    <m/>
    <m/>
    <n v="8"/>
    <m/>
    <s v="BUENA EVOLUCION CLINICA"/>
    <s v="EXCELENTE EVOLUCION CLINICA"/>
    <s v="EXCELENTE EVOLUCION CLINICA"/>
    <s v="EXCELENTE EVOLUCION CLÍNICA"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112100660"/>
    <s v="MASCULINO"/>
    <s v="COSTA RICA"/>
    <m/>
    <m/>
    <n v="0"/>
    <n v="903.75"/>
    <n v="29.691991786447637"/>
    <n v="2.4743326488706368"/>
  </r>
  <r>
    <x v="1"/>
    <s v="UP2101 - HOSPITAL DR. RAFAEL A. CALDERÓN GUARDIA"/>
    <m/>
    <s v="RIÑON"/>
    <x v="1"/>
    <m/>
    <s v="O+"/>
    <d v="1980-11-07T06:00:00"/>
    <n v="42.236824093086902"/>
    <s v="RELACIONADO CONSANGUINEO"/>
    <s v="HER STEVEN"/>
    <s v="BARRANTES"/>
    <s v="VILLALOBOS"/>
    <n v="703100161"/>
    <x v="368"/>
    <s v="MASCULINO"/>
    <d v="2004-08-30T00:00:00"/>
    <n v="18.426420260095824"/>
    <s v="O+"/>
    <m/>
    <s v="IRC ESTADIO V CAUSA NO FILIADA"/>
    <s v="HEMODIALISIS"/>
    <s v="COSTA RICA"/>
    <s v="LIMON"/>
    <s v="POCOSI"/>
    <s v="CARIARI"/>
    <m/>
    <m/>
    <m/>
    <n v="7"/>
    <m/>
    <s v="EXCELENTE EVOLUCION CLINICA"/>
    <s v="EXCELENTE EVOLUCION CLINICA"/>
    <s v="EXCELENTE EVOLUCION CLINICA"/>
    <s v="EXCELENTE EVOLUCION CLINICA"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701390460"/>
    <s v="FEMENINA"/>
    <s v="COSTA RICA"/>
    <m/>
    <m/>
    <n v="0"/>
    <n v="901.75"/>
    <n v="29.626283367556468"/>
    <n v="2.4688569472963722"/>
  </r>
  <r>
    <x v="0"/>
    <m/>
    <m/>
    <s v="RIÑON"/>
    <x v="1"/>
    <m/>
    <m/>
    <m/>
    <m/>
    <s v="TRDVR"/>
    <s v="RODDY ALEXANDER"/>
    <s v="MORA"/>
    <s v="ARIAS"/>
    <n v="107310168"/>
    <x v="369"/>
    <s v="MASCULINO"/>
    <d v="1968-09-21T00:00:00"/>
    <n v="54.381930184804929"/>
    <m/>
    <m/>
    <m/>
    <m/>
    <s v="COSTA RICA"/>
    <s v="SAN JOSE"/>
    <s v="ALAJUELITA"/>
    <s v="ALAJUELIT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896"/>
    <n v="29.437371663244353"/>
    <n v="2.4531143052703626"/>
  </r>
  <r>
    <x v="1"/>
    <s v="UP2101 - HOSPITAL DR. RAFAEL A. CALDERÓN GUARDIA"/>
    <s v="DF.04.2023"/>
    <s v="RIÑON"/>
    <x v="0"/>
    <m/>
    <m/>
    <d v="1973-11-26T00:00:00"/>
    <n v="49"/>
    <m/>
    <s v="ANIELKA YORLENE"/>
    <s v="VILLAGRA"/>
    <s v="NOINDICAOTRO"/>
    <n v="2940097939"/>
    <x v="370"/>
    <s v="FEMENINA"/>
    <d v="1994-06-06T00:00:00"/>
    <n v="28.687200547570157"/>
    <s v="O+"/>
    <m/>
    <s v="ERC ESTADIO 5"/>
    <s v="HEMODIALISIS"/>
    <s v="NICARAGUA"/>
    <s v="LIMON"/>
    <s v="MATINA"/>
    <s v="BATAN"/>
    <m/>
    <m/>
    <m/>
    <n v="9"/>
    <m/>
    <s v="EXCELENTE EVOLUCION CLINICA"/>
    <s v="EXCELENTE EVOLUCION CLINICA"/>
    <s v="EXCELENTE EVOLUCION CLINICA"/>
    <s v="EXCELENTE EVOLUCION CLINICA"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108690373"/>
    <s v="MASCULINO"/>
    <s v="COSTA RICA"/>
    <m/>
    <m/>
    <n v="0"/>
    <n v="892"/>
    <n v="29.305954825462013"/>
    <n v="2.4421629021218343"/>
  </r>
  <r>
    <x v="4"/>
    <m/>
    <s v="DF.04.2023"/>
    <s v="RIÑON"/>
    <x v="0"/>
    <s v="NO"/>
    <s v="O+"/>
    <d v="1973-11-26T00:00:00"/>
    <n v="49.212867898699521"/>
    <s v="NINGUNA"/>
    <m/>
    <m/>
    <m/>
    <n v="16521772"/>
    <x v="370"/>
    <m/>
    <m/>
    <n v="123.11841204654347"/>
    <m/>
    <m/>
    <s v="ERC ESTADÍO V"/>
    <m/>
    <s v="NICARAGU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s v="SI"/>
    <m/>
    <s v="CITOMEGALOVIRUS"/>
    <m/>
    <m/>
    <m/>
    <m/>
    <m/>
    <m/>
    <m/>
    <m/>
    <n v="0"/>
    <n v="892"/>
    <n v="29.305954825462013"/>
    <n v="2.4421629021218343"/>
  </r>
  <r>
    <x v="0"/>
    <m/>
    <m/>
    <s v="RIÑON"/>
    <x v="1"/>
    <m/>
    <m/>
    <m/>
    <m/>
    <s v="Hija"/>
    <s v="EVARISTO LUCIANO MARCIANO"/>
    <s v="MATARRITA"/>
    <s v="DIAZ"/>
    <n v="501690795"/>
    <x v="371"/>
    <s v="MASCULINO"/>
    <d v="1957-10-26T00:00:00"/>
    <n v="65.30595482546201"/>
    <m/>
    <m/>
    <m/>
    <m/>
    <s v="COSTA RICA"/>
    <s v="GUANACASTE"/>
    <s v="SANTA CRUZ"/>
    <s v="SANTA CRUZ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889"/>
    <n v="29.207392197125255"/>
    <n v="2.4339493497604381"/>
  </r>
  <r>
    <x v="2"/>
    <s v="UP2306 - HOSPITAL DR. MAX PERALTA"/>
    <m/>
    <s v="RIÑÓN"/>
    <x v="1"/>
    <s v="NO"/>
    <s v="O+"/>
    <d v="1988-10-28T00:00:00"/>
    <n v="34.351813826146476"/>
    <s v="RELACIONADO CONSANGUINEO"/>
    <m/>
    <m/>
    <m/>
    <n v="304510314"/>
    <x v="372"/>
    <s v="MASCULINO"/>
    <d v="1991-01-18T00:00:00"/>
    <n v="32.128678986995212"/>
    <s v="O+"/>
    <m/>
    <s v="GN X C3"/>
    <s v="DIÁLISIS PERITONEAL"/>
    <s v="COSTA RICA"/>
    <s v="CARTAGO"/>
    <s v="PARAISO"/>
    <s v="LLANOS DE SANTA LUCIA"/>
    <m/>
    <m/>
    <m/>
    <n v="0"/>
    <m/>
    <s v="VIVO"/>
    <s v="VIVO"/>
    <s v="VIVO"/>
    <s v="VIVO"/>
    <m/>
    <m/>
    <m/>
    <s v="NO"/>
    <d v="2025-03-20T00:00:00"/>
    <s v="PERITONITIS"/>
    <s v="NO"/>
    <s v="FUNCIONAL"/>
    <s v="NO FUNCIONAL"/>
    <s v="NO FUNCIONAL"/>
    <m/>
    <m/>
    <d v="2024-03-15T00:00:00"/>
    <s v="RECURRENCIA DE GLOMERULOPATIA"/>
    <s v="REGRESO A DIÁLISIS"/>
    <s v="NO"/>
    <m/>
    <s v="BASI"/>
    <n v="11.19"/>
    <n v="6"/>
    <s v="NO"/>
    <m/>
    <m/>
    <m/>
    <m/>
    <s v="NO"/>
    <m/>
    <m/>
    <s v="NO"/>
    <m/>
    <m/>
    <m/>
    <m/>
    <m/>
    <m/>
    <m/>
    <n v="0"/>
    <n v="870"/>
    <n v="28.583162217659137"/>
    <n v="2.3819301848049284"/>
  </r>
  <r>
    <x v="0"/>
    <m/>
    <m/>
    <s v="RIÑON"/>
    <x v="1"/>
    <m/>
    <m/>
    <m/>
    <m/>
    <s v="Hija"/>
    <s v="RUDDY SEBASTIAN"/>
    <s v="PRENDIS"/>
    <s v="ZAMORA"/>
    <n v="1670100853"/>
    <x v="373"/>
    <s v="MASCULINO"/>
    <d v="1967-03-09T00:00:00"/>
    <n v="55.997262149212865"/>
    <m/>
    <m/>
    <m/>
    <m/>
    <s v="NICARAGUA"/>
    <s v="Guanacaste, caña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868"/>
    <n v="28.517453798767967"/>
    <n v="2.3764544832306638"/>
  </r>
  <r>
    <x v="4"/>
    <s v="UP2102 - HOSPITAL SAN JUAN DE DIOS"/>
    <s v="N/A"/>
    <s v="RIÑON"/>
    <x v="1"/>
    <m/>
    <s v="A+"/>
    <d v="1993-08-11T00:00:00"/>
    <n v="29.572210814510608"/>
    <s v="RELACIONADO CONSANGUÍNEO"/>
    <s v="HENRY DE JESUS"/>
    <s v="JIMENEZ"/>
    <s v="JIMENEZ"/>
    <n v="105550345"/>
    <x v="374"/>
    <s v="MASCULINO"/>
    <d v="1961-04-29T06:00:00"/>
    <n v="61.856262833675565"/>
    <s v="O+"/>
    <m/>
    <s v="ERC ESTADÍO V"/>
    <s v="DIALISIS PERITONEAL"/>
    <s v="COSTA RICA"/>
    <s v="SAN JOSE"/>
    <s v="MORA"/>
    <s v="COLON"/>
    <n v="0.55000000000000004"/>
    <m/>
    <m/>
    <n v="0"/>
    <m/>
    <s v="ADECUADA"/>
    <s v="VIVO"/>
    <s v="VIVO"/>
    <s v="VIVO"/>
    <m/>
    <m/>
    <m/>
    <s v="NO"/>
    <m/>
    <s v="N/A"/>
    <m/>
    <s v="FUNCIONAL"/>
    <s v="FUNCIONAL"/>
    <m/>
    <m/>
    <m/>
    <s v="N/A"/>
    <m/>
    <m/>
    <s v="NO"/>
    <m/>
    <s v="BASILIXIMAB"/>
    <n v="0.89"/>
    <n v="99.3"/>
    <s v="SI"/>
    <n v="45005"/>
    <s v="UROLÓGICA"/>
    <s v="FUGA URINARIA"/>
    <s v="NO"/>
    <s v="NO"/>
    <s v="NA"/>
    <m/>
    <s v="NO"/>
    <s v="N/A"/>
    <s v="N/A"/>
    <n v="115440413"/>
    <s v="MASCULINO"/>
    <s v="COSTARRICENSE"/>
    <s v="1° GRADO"/>
    <s v="HIJA/HIJO"/>
    <n v="0"/>
    <n v="867.75"/>
    <n v="28.50924024640657"/>
    <n v="2.375770020533881"/>
  </r>
  <r>
    <x v="0"/>
    <m/>
    <m/>
    <s v="RIÑON"/>
    <x v="1"/>
    <m/>
    <m/>
    <m/>
    <m/>
    <s v="Hermana"/>
    <s v="BRAYAN JOSUE"/>
    <s v="ESQUIVEL"/>
    <s v="NAVARRO"/>
    <n v="208140288"/>
    <x v="375"/>
    <s v="MASCULINO"/>
    <d v="2001-02-15T00:00:00"/>
    <n v="22.075290896646134"/>
    <m/>
    <m/>
    <m/>
    <m/>
    <s v="COSTA RICA"/>
    <s v="Alajuela, Palmare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861"/>
    <n v="28.28747433264887"/>
    <n v="2.3572895277207393"/>
  </r>
  <r>
    <x v="1"/>
    <s v="UP2101 - HOSPITAL DR. RAFAEL A. CALDERÓN GUARDIA"/>
    <s v="DF.07.2023"/>
    <s v="RIÑON"/>
    <x v="0"/>
    <m/>
    <m/>
    <d v="1996-11-07T00:00:00"/>
    <n v="26"/>
    <m/>
    <s v="RAFAEL ANGEL"/>
    <s v="ZAPATA"/>
    <s v="MONGE"/>
    <n v="105430427"/>
    <x v="376"/>
    <s v="MASCULINO"/>
    <d v="1960-11-12T00:00:00"/>
    <n v="62.338809034907598"/>
    <s v="A+"/>
    <m/>
    <s v="IRC ESTADIO V "/>
    <s v="DIALISIS PERITONEAL"/>
    <s v="COSTA RICA"/>
    <s v="SAN JOSE"/>
    <s v="CENTRAL"/>
    <s v="HOSPITAL"/>
    <m/>
    <m/>
    <m/>
    <n v="7"/>
    <m/>
    <s v="EXCELENTE EVOLUCION CLINICA"/>
    <s v="EXCELENTE EVOLUCION CLINICA"/>
    <s v="EXCELENTE EVOLUCION CLINICA"/>
    <s v="EXCELENTE EVOLUCION CLINICA"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207590794"/>
    <s v="MASCULINO"/>
    <s v="COSTA RICA"/>
    <m/>
    <m/>
    <n v="0"/>
    <n v="859.75"/>
    <n v="28.246406570841888"/>
    <n v="2.353867214236824"/>
  </r>
  <r>
    <x v="0"/>
    <m/>
    <m/>
    <s v="RIÑON"/>
    <x v="0"/>
    <m/>
    <m/>
    <m/>
    <m/>
    <s v="cadaverico"/>
    <s v="ISIDORA FRANCISCA"/>
    <s v="AGUIRRE"/>
    <s v="MARTINEZ"/>
    <n v="205580051"/>
    <x v="377"/>
    <s v="FEMENINA"/>
    <d v="1980-05-15T00:00:00"/>
    <n v="42.836413415468854"/>
    <m/>
    <m/>
    <m/>
    <m/>
    <s v="COSTA RICA"/>
    <s v="Cutis, San Carlo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859"/>
    <n v="28.2217659137577"/>
    <n v="2.3518138261464752"/>
  </r>
  <r>
    <x v="2"/>
    <s v="UP2306 - HOSPITAL DR. MAX PERALTA"/>
    <m/>
    <s v="RIÑÓN"/>
    <x v="1"/>
    <s v="NO"/>
    <s v="O+"/>
    <d v="1989-08-23T06:00:00"/>
    <n v="33.590691307323752"/>
    <s v="RELACIONADO CONSANGUINEO"/>
    <m/>
    <m/>
    <m/>
    <n v="302670932"/>
    <x v="378"/>
    <s v="FEMENINO"/>
    <d v="1963-12-30T06:00:00"/>
    <n v="59.238877481177276"/>
    <s v="O+"/>
    <m/>
    <s v="Nefropatía hipertensiva"/>
    <s v="DIÁLISIS PERITONEAL"/>
    <s v="COSTA RICA"/>
    <s v="CARTAGO"/>
    <s v="OREAMUNO"/>
    <s v="SAN RAFAEL"/>
    <m/>
    <m/>
    <m/>
    <n v="0"/>
    <m/>
    <s v="VIVO"/>
    <s v="VIVO"/>
    <s v="VIVO"/>
    <s v="VIVO"/>
    <m/>
    <m/>
    <m/>
    <s v="NO"/>
    <s v="NA"/>
    <s v="NA"/>
    <m/>
    <s v="FUNCIONAL"/>
    <s v="FUNCIONAL"/>
    <s v="FUNCIONAL"/>
    <m/>
    <m/>
    <s v="NA"/>
    <m/>
    <m/>
    <s v="NO"/>
    <m/>
    <s v="BASI"/>
    <n v="0.89"/>
    <n v="74"/>
    <s v="NO"/>
    <m/>
    <m/>
    <m/>
    <m/>
    <s v="NO"/>
    <m/>
    <m/>
    <s v="NO"/>
    <m/>
    <m/>
    <m/>
    <m/>
    <m/>
    <m/>
    <m/>
    <n v="0"/>
    <n v="848.75"/>
    <n v="27.885010266940451"/>
    <n v="2.3237508555783708"/>
  </r>
  <r>
    <x v="0"/>
    <m/>
    <m/>
    <s v="RIÑON"/>
    <x v="1"/>
    <m/>
    <m/>
    <m/>
    <m/>
    <s v="Amiga"/>
    <s v="DANIA"/>
    <s v="MARIN"/>
    <s v="NOGUERA"/>
    <n v="603430100"/>
    <x v="379"/>
    <s v="FEMENINA"/>
    <d v="1984-12-25T00:00:00"/>
    <n v="38.294318959616703"/>
    <m/>
    <m/>
    <m/>
    <m/>
    <s v="COSTA RICA"/>
    <s v="PUNTARENAS"/>
    <s v="PARRITA"/>
    <s v="PARRIT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833"/>
    <n v="27.367556468172484"/>
    <n v="2.2806297056810405"/>
  </r>
  <r>
    <x v="2"/>
    <s v="UP2306 - HOSPITAL DR. MAX PERALTA"/>
    <m/>
    <s v="RIÑÓN"/>
    <x v="1"/>
    <s v="NO"/>
    <s v="O+"/>
    <d v="1996-01-06T00:00:00"/>
    <n v="27.277207392197127"/>
    <s v="RELACIONADO NO CONSANGUINEO"/>
    <s v="ALEJANDRO FERNANDO"/>
    <s v="RAMIREZ"/>
    <s v="MURILLO"/>
    <n v="117730247"/>
    <x v="380"/>
    <s v="MASCULINO"/>
    <d v="1996-01-17T00:00:00"/>
    <n v="27.247091033538673"/>
    <s v="B+"/>
    <m/>
    <s v="Nefropatía por IgA"/>
    <s v="DIÁLISIS PERITONEAL"/>
    <s v="COSTA RICA"/>
    <s v="CARTAGO"/>
    <s v="LA UNION"/>
    <s v="DULCE NOMBRE"/>
    <m/>
    <m/>
    <m/>
    <n v="0"/>
    <m/>
    <s v="VIVO"/>
    <s v="VIVO"/>
    <s v="VIVO"/>
    <s v="VIVO"/>
    <m/>
    <m/>
    <m/>
    <s v="NO"/>
    <s v="NA"/>
    <s v="NA"/>
    <m/>
    <s v="FUNCIONAL"/>
    <s v="FUNCIONAL"/>
    <m/>
    <m/>
    <m/>
    <s v="NA"/>
    <m/>
    <m/>
    <s v="NO"/>
    <m/>
    <s v="BASI"/>
    <n v="1.08"/>
    <n v="95"/>
    <s v="NO"/>
    <m/>
    <m/>
    <m/>
    <m/>
    <s v="NO"/>
    <m/>
    <m/>
    <s v="NO"/>
    <m/>
    <m/>
    <n v="116300821"/>
    <s v="FEMENINA"/>
    <s v="COSTA RICA"/>
    <s v="AFINIDAD"/>
    <s v="CONYUGE"/>
    <n v="0"/>
    <n v="828"/>
    <n v="27.20328542094456"/>
    <n v="2.2669404517453797"/>
  </r>
  <r>
    <x v="0"/>
    <m/>
    <m/>
    <s v="RIÑON"/>
    <x v="0"/>
    <m/>
    <m/>
    <m/>
    <m/>
    <s v="cadaverico"/>
    <s v="INOCENTE DONALD"/>
    <s v="BARRANTES"/>
    <s v="CASTILLO"/>
    <n v="501370151"/>
    <x v="381"/>
    <s v="MASCULINO"/>
    <d v="1950-12-28T00:00:00"/>
    <n v="72.323066392881586"/>
    <m/>
    <m/>
    <m/>
    <m/>
    <s v="COSTA RICA"/>
    <s v="Santa Cruz, Guanacaste"/>
    <m/>
    <m/>
    <m/>
    <m/>
    <m/>
    <m/>
    <m/>
    <m/>
    <m/>
    <m/>
    <m/>
    <m/>
    <m/>
    <m/>
    <s v="SI"/>
    <d v="2023-07-31T00:00:00"/>
    <s v="CAUSA NO CONOCIDA"/>
    <s v="NO"/>
    <s v="NO FUNCIONAL"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97"/>
    <n v="3.1868583162217661"/>
    <n v="0.2655715263518138"/>
  </r>
  <r>
    <x v="1"/>
    <s v="UP2101 - HOSPITAL DR. RAFAEL A. CALDERÓN GUARDIA"/>
    <s v="DF.08.2023"/>
    <s v="RIÑON"/>
    <x v="0"/>
    <m/>
    <m/>
    <d v="1965-04-27T00:00:00"/>
    <n v="57"/>
    <m/>
    <s v="MARLENY PAMELA"/>
    <s v="ALVARADO"/>
    <s v="MORENO"/>
    <n v="112500672"/>
    <x v="382"/>
    <s v="FEMENINA"/>
    <d v="1985-08-19T00:00:00"/>
    <n v="37.681724845995895"/>
    <s v="O+"/>
    <m/>
    <s v="IRC ESTADIO V "/>
    <s v="HEMODIALISIS"/>
    <s v="COSTA RICA"/>
    <s v="SAN JOSE"/>
    <s v="MONTES DE OCA"/>
    <s v="SAN PEDRO"/>
    <m/>
    <m/>
    <m/>
    <n v="8"/>
    <m/>
    <s v="EXCELENTE EVOLUCION CLINICA"/>
    <s v="EXCELENTE EVOLUCION CLINICA"/>
    <s v="EXCELENTE EVOLUCION CLINICA"/>
    <s v="EXCELENTE EVOLUCION CLINICA"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302750930"/>
    <s v="FEMENINA"/>
    <s v="COSTA RICA"/>
    <m/>
    <m/>
    <n v="0"/>
    <n v="819.75"/>
    <n v="26.932238193018481"/>
    <n v="2.2443531827515399"/>
  </r>
  <r>
    <x v="2"/>
    <s v="UP2306 - HOSPITAL DR. MAX PERALTA"/>
    <m/>
    <s v="RIÑÓN"/>
    <x v="1"/>
    <s v="NO"/>
    <s v="A+"/>
    <d v="1973-09-15T00:00:00"/>
    <n v="49.642710472279262"/>
    <s v="RELACIONADO CONSANGUÍNEO"/>
    <s v="MARIO ALEJANDRO"/>
    <s v="SANCHEZ"/>
    <s v="GAMBOA"/>
    <n v="116410971"/>
    <x v="383"/>
    <s v="MASCULINO"/>
    <d v="1996-05-19T00:00:00"/>
    <n v="26.967830253251197"/>
    <s v="A+"/>
    <m/>
    <s v="Enfermedad de Allport"/>
    <s v="DIÁLISIS PERITONEAL"/>
    <s v="COSTA RICA"/>
    <s v="CARTAGO"/>
    <s v="LA UNION"/>
    <s v="SAN RAFAEL"/>
    <m/>
    <m/>
    <m/>
    <n v="0"/>
    <m/>
    <s v="VIVO"/>
    <s v="VIVO"/>
    <s v="VIVO"/>
    <s v="VIVO"/>
    <m/>
    <m/>
    <m/>
    <s v="NO"/>
    <s v="NA"/>
    <s v="NA"/>
    <m/>
    <s v="FUNCIONAL"/>
    <s v="FUNCIONAL"/>
    <m/>
    <m/>
    <m/>
    <s v="NA"/>
    <m/>
    <m/>
    <s v="NO"/>
    <m/>
    <s v="BASI"/>
    <n v="1.7"/>
    <n v="53"/>
    <s v="NO"/>
    <m/>
    <m/>
    <m/>
    <m/>
    <s v="NO"/>
    <m/>
    <m/>
    <s v="NO"/>
    <m/>
    <m/>
    <n v="701070984"/>
    <s v="FEMENINA"/>
    <s v="COSTA RICA"/>
    <s v="1° GRADO"/>
    <s v="MADRE/PADRE"/>
    <n v="0"/>
    <n v="807"/>
    <n v="26.513347022587268"/>
    <n v="2.2094455852156059"/>
  </r>
  <r>
    <x v="0"/>
    <m/>
    <m/>
    <s v="RIÑON"/>
    <x v="1"/>
    <m/>
    <m/>
    <m/>
    <m/>
    <s v="hermano"/>
    <s v="RUTH NATALIA"/>
    <s v="MARIN"/>
    <s v="CASTRO"/>
    <n v="401980073"/>
    <x v="384"/>
    <s v="FEMENINA"/>
    <d v="1988-03-27T00:00:00"/>
    <n v="35.118412046543462"/>
    <m/>
    <m/>
    <m/>
    <m/>
    <s v="COSTA RICA"/>
    <s v="Heredia, San Rafael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805"/>
    <n v="26.447638603696099"/>
    <n v="2.2039698836413417"/>
  </r>
  <r>
    <x v="2"/>
    <s v="UP2306 - HOSPITAL DR. MAX PERALTA"/>
    <m/>
    <s v="RIÑÓN"/>
    <x v="0"/>
    <s v="SI"/>
    <s v="A+"/>
    <m/>
    <n v="123.35660506502396"/>
    <s v="NO RELACIONADO"/>
    <m/>
    <m/>
    <m/>
    <n v="900860136"/>
    <x v="384"/>
    <s v="MASCULINO"/>
    <d v="1968-09-20T00:00:00"/>
    <n v="54.633812457221083"/>
    <s v="O+"/>
    <m/>
    <s v="NEFROPATIA HIPERTENSIVA"/>
    <s v="DIÁLISIS PERITONEAL"/>
    <s v="COSTA RICA"/>
    <s v="CARTAGO"/>
    <s v="LA UNION"/>
    <s v="SAN DIEGO"/>
    <m/>
    <m/>
    <m/>
    <n v="0"/>
    <m/>
    <s v="VIVO"/>
    <s v="VIVO"/>
    <s v="VIVO"/>
    <s v="VIVO"/>
    <m/>
    <m/>
    <m/>
    <s v="NO"/>
    <s v="NA"/>
    <s v="NA"/>
    <m/>
    <s v="FUNCIONAL"/>
    <s v="FUNCIONAL"/>
    <m/>
    <m/>
    <m/>
    <s v="NA"/>
    <m/>
    <m/>
    <s v="NO"/>
    <m/>
    <s v="TIMO"/>
    <n v="1.47"/>
    <n v="56"/>
    <s v="NO"/>
    <m/>
    <m/>
    <m/>
    <m/>
    <s v="NO"/>
    <m/>
    <m/>
    <s v="NO"/>
    <m/>
    <m/>
    <m/>
    <m/>
    <m/>
    <m/>
    <m/>
    <n v="0"/>
    <n v="805"/>
    <n v="26.447638603696099"/>
    <n v="2.2039698836413417"/>
  </r>
  <r>
    <x v="4"/>
    <m/>
    <s v="DF.09.2023"/>
    <s v="RIÑON"/>
    <x v="0"/>
    <s v="SI"/>
    <s v="O+"/>
    <d v="1978-03-18T00:00:00"/>
    <n v="45.144421629021217"/>
    <s v="NINGUNA"/>
    <s v="JOSE OLENIN"/>
    <s v="GUTIERREZ"/>
    <s v="GORGONA"/>
    <n v="501540575"/>
    <x v="384"/>
    <s v="MASCULINO "/>
    <d v="1955-04-02T00:00:00"/>
    <n v="68.10403832991102"/>
    <m/>
    <n v="42214"/>
    <s v="ERC ESTADÍO V"/>
    <s v="DIALISIS PERITONEAL"/>
    <s v="COSTA RICA"/>
    <s v="SAN JOSE"/>
    <s v="DESAMPARADOS"/>
    <s v="DESAMPARADOS"/>
    <n v="10"/>
    <m/>
    <m/>
    <n v="1"/>
    <m/>
    <s v="FALLECIDO"/>
    <s v="FALLECIDO"/>
    <s v="FALLECIDO"/>
    <s v="FALLECIDO"/>
    <s v="FALLECIDO"/>
    <s v="FALLECIDO"/>
    <s v="FALLECIDO"/>
    <s v="SI"/>
    <d v="2023-05-18T00:00:00"/>
    <s v="SHOCK HIPOVOLEMICO"/>
    <s v="NO"/>
    <s v="NO FUNCIONAL"/>
    <m/>
    <m/>
    <m/>
    <m/>
    <m/>
    <m/>
    <m/>
    <s v="NO"/>
    <m/>
    <s v="TIMOGLOBULINA"/>
    <s v="N/A"/>
    <s v="N/A"/>
    <s v="SI"/>
    <n v="45088"/>
    <s v="SANGRADO"/>
    <s v="SANGRADO HILIO RENAL"/>
    <s v="SI"/>
    <s v="NO"/>
    <m/>
    <m/>
    <s v="NO"/>
    <s v="N/A"/>
    <s v="N/A"/>
    <m/>
    <m/>
    <m/>
    <m/>
    <m/>
    <n v="1"/>
    <n v="8"/>
    <n v="0.26283367556468173"/>
    <n v="2.190280629705681E-2"/>
  </r>
  <r>
    <x v="0"/>
    <m/>
    <m/>
    <s v="RIÑON"/>
    <x v="1"/>
    <m/>
    <m/>
    <m/>
    <m/>
    <s v="Esposa"/>
    <s v="EDGARDO ALFREDO"/>
    <s v="ALVARADO"/>
    <s v="ALVARADO"/>
    <n v="502270475"/>
    <x v="385"/>
    <s v="MASCULINO"/>
    <d v="1965-11-19T00:00:00"/>
    <n v="57.489390828199866"/>
    <m/>
    <m/>
    <m/>
    <m/>
    <s v="COSTA RICA"/>
    <s v="GUANACASTE"/>
    <s v="BAGACES"/>
    <s v="BAGACE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798"/>
    <n v="26.217659137577002"/>
    <n v="2.1848049281314168"/>
  </r>
  <r>
    <x v="0"/>
    <m/>
    <m/>
    <s v="RIÑON"/>
    <x v="0"/>
    <m/>
    <m/>
    <m/>
    <m/>
    <s v="cadaverico"/>
    <s v="MARCELINO"/>
    <s v="CASTILLO"/>
    <s v="NOINDICAOTRO"/>
    <n v="16828361"/>
    <x v="386"/>
    <s v="MASCULINO"/>
    <d v="1968-04-28T00:00:00"/>
    <n v="55.052703627652292"/>
    <m/>
    <m/>
    <m/>
    <m/>
    <s v="NICARAGUA"/>
    <s v="SAN JOSE"/>
    <s v="CENTRAL"/>
    <s v="URUC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797"/>
    <n v="26.184804928131417"/>
    <n v="2.1820670773442847"/>
  </r>
  <r>
    <x v="4"/>
    <m/>
    <s v="DF.10.2023"/>
    <s v="RIÑON"/>
    <x v="0"/>
    <s v="NO"/>
    <s v="A+"/>
    <d v="1991-03-30T00:00:00"/>
    <n v="32.134154688569474"/>
    <s v="NINGUNA"/>
    <s v="RENE ORLANDO"/>
    <s v="MARROQUIN"/>
    <s v="ORELLANA"/>
    <n v="16321182"/>
    <x v="386"/>
    <s v="MASCULINO"/>
    <d v="1963-07-06T00:00:00"/>
    <n v="59.865845311430526"/>
    <s v="A+"/>
    <n v="42360"/>
    <s v="ERC ESTADÍO V"/>
    <s v="HEMODIÁLISIS"/>
    <s v="NO ESPECIFICADO"/>
    <s v="SAN JOSE"/>
    <s v="ALAJUELITA"/>
    <s v="CONCEPCION"/>
    <n v="7"/>
    <m/>
    <m/>
    <n v="0"/>
    <m/>
    <s v="VIVO"/>
    <s v="VIVO"/>
    <s v="VIVO"/>
    <s v="VIVO"/>
    <m/>
    <m/>
    <m/>
    <s v="NO"/>
    <m/>
    <m/>
    <m/>
    <s v="FUNCIONAL"/>
    <s v="FUNCIONAL"/>
    <m/>
    <m/>
    <m/>
    <m/>
    <m/>
    <m/>
    <s v="SI"/>
    <n v="45087"/>
    <s v="TIMOGLOBULINA"/>
    <s v="1.00"/>
    <s v="95.9"/>
    <s v="NO"/>
    <m/>
    <m/>
    <m/>
    <s v="NO"/>
    <s v="SI"/>
    <n v="45449"/>
    <s v="HONGOS"/>
    <s v="NO"/>
    <s v="N/A"/>
    <s v="N/A"/>
    <m/>
    <m/>
    <m/>
    <m/>
    <m/>
    <n v="0"/>
    <n v="797"/>
    <n v="26.184804928131417"/>
    <n v="2.1820670773442847"/>
  </r>
  <r>
    <x v="2"/>
    <s v="UP2306 - HOSPITAL DR. MAX PERALTA"/>
    <m/>
    <s v="RIÑÓN"/>
    <x v="1"/>
    <s v="NO"/>
    <s v="O+"/>
    <d v="1990-09-07T00:00:00"/>
    <n v="32.723477070499655"/>
    <s v="RELACIONADO CONSANGUINEO"/>
    <m/>
    <m/>
    <m/>
    <n v="305650983"/>
    <x v="387"/>
    <s v="FEMENINO"/>
    <d v="2006-06-03T06:00:00"/>
    <n v="16.985626283367555"/>
    <s v="O+"/>
    <m/>
    <s v="Malformación congénita"/>
    <s v="DIÁLISIS PERITONEAL"/>
    <s v="COSTA RICA"/>
    <s v="CARTAGO"/>
    <s v="PARAISO"/>
    <s v="LLANOS DE SANTA LUCIA"/>
    <m/>
    <m/>
    <m/>
    <n v="0"/>
    <m/>
    <s v="VIVO"/>
    <s v="VIVO"/>
    <s v="VIVO"/>
    <s v="VIVO"/>
    <m/>
    <m/>
    <m/>
    <s v="NO"/>
    <s v="NA"/>
    <s v="NA"/>
    <m/>
    <s v="FUNCIONAL"/>
    <s v="NO FUNCIONAL"/>
    <m/>
    <m/>
    <m/>
    <d v="2024-02-01T00:00:00"/>
    <s v="RECHAZO SEVERO"/>
    <s v="REGRESO A DIÁLISIS"/>
    <s v="SI"/>
    <m/>
    <s v="BASI"/>
    <n v="7.08"/>
    <n v="8"/>
    <s v="SI"/>
    <n v="45121"/>
    <s v="UROLÓGICA"/>
    <s v="REIMPLANTE URETERAL"/>
    <s v="SI"/>
    <s v="NO"/>
    <m/>
    <m/>
    <s v="NO"/>
    <m/>
    <m/>
    <m/>
    <m/>
    <m/>
    <m/>
    <m/>
    <n v="0"/>
    <n v="785.75"/>
    <n v="25.815195071868583"/>
    <n v="2.1512662559890487"/>
  </r>
  <r>
    <x v="0"/>
    <m/>
    <m/>
    <s v="RIÑON"/>
    <x v="1"/>
    <m/>
    <m/>
    <m/>
    <m/>
    <s v="Hermano"/>
    <s v="BERENICE DIXIANA"/>
    <s v="MURILLO"/>
    <s v="GALERA"/>
    <n v="502920324"/>
    <x v="388"/>
    <s v="FEMENINA"/>
    <d v="1976-01-19T00:00:00"/>
    <n v="47.381245722108147"/>
    <m/>
    <m/>
    <m/>
    <m/>
    <s v="COSTA RICA"/>
    <s v="GUANACASTE"/>
    <s v="CAÑAS"/>
    <s v="CAÑA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777"/>
    <n v="25.527720739219713"/>
    <n v="2.1273100616016429"/>
  </r>
  <r>
    <x v="0"/>
    <m/>
    <m/>
    <s v="RIÑON"/>
    <x v="1"/>
    <m/>
    <m/>
    <m/>
    <m/>
    <s v="Amiga"/>
    <s v="CARLOS EDUARDO"/>
    <s v="CORDERO"/>
    <s v="ARAUZ"/>
    <n v="106250720"/>
    <x v="389"/>
    <s v="MASCULINO"/>
    <d v="1964-03-18T00:00:00"/>
    <n v="59.238877481177276"/>
    <m/>
    <m/>
    <m/>
    <m/>
    <s v="COSTA RICA"/>
    <s v="HEREDIA"/>
    <s v="CENTRAL"/>
    <s v="SAN FRANCISCO"/>
    <m/>
    <m/>
    <m/>
    <m/>
    <m/>
    <m/>
    <m/>
    <m/>
    <m/>
    <m/>
    <m/>
    <m/>
    <s v="SI"/>
    <d v="2023-07-03T00:00:00"/>
    <s v="TAQUICARDIA VENTRICULAR"/>
    <s v="SI"/>
    <s v="N/A"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9"/>
    <n v="0.62422997946611913"/>
    <n v="5.2019164955509928E-2"/>
  </r>
  <r>
    <x v="1"/>
    <s v="UP2101 - HOSPITAL DR. RAFAEL A. CALDERÓN GUARDIA"/>
    <s v="DF.12.2023"/>
    <s v="RIÑON"/>
    <x v="0"/>
    <m/>
    <m/>
    <d v="1970-02-25T00:00:00"/>
    <n v="53"/>
    <m/>
    <s v="ELXIMAR JOSE"/>
    <s v="CUBILLO"/>
    <s v="BRICEÑO"/>
    <n v="17813016"/>
    <x v="390"/>
    <s v="MASCULINO"/>
    <d v="1978-05-01T00:00:00"/>
    <n v="45.131416837782339"/>
    <s v="O+"/>
    <m/>
    <s v="IRC ESTADIO V "/>
    <s v="HEMODIALISIS"/>
    <s v="NICARAGUA"/>
    <s v="SAN JOSE"/>
    <s v="DESAMPARADOS"/>
    <s v="SAN MIGUEL"/>
    <m/>
    <m/>
    <m/>
    <n v="8"/>
    <m/>
    <s v="EXCELENTE EVOLUCION CLINICA"/>
    <s v="RETARDO EN LA FUNCION DEL INJERTO"/>
    <s v="RECHAZO HUMORAL"/>
    <s v="INJERTO FUNCIONAL"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303080202"/>
    <s v="FEMENINA"/>
    <s v="COSTA RICA"/>
    <m/>
    <m/>
    <n v="0"/>
    <n v="765.75"/>
    <n v="25.15811088295688"/>
    <n v="2.0965092402464065"/>
  </r>
  <r>
    <x v="1"/>
    <s v="UP2101 - HOSPITAL DR. RAFAEL A. CALDERÓN GUARDIA"/>
    <s v="DF.12.2023"/>
    <s v="RIÑON"/>
    <x v="0"/>
    <m/>
    <m/>
    <d v="1970-02-25T00:00:00"/>
    <n v="53"/>
    <m/>
    <s v="DANIEL RICARDO"/>
    <s v="GAMBOA"/>
    <s v="CASTRILLO"/>
    <n v="109820540"/>
    <x v="390"/>
    <s v="MASCULINO"/>
    <d v="1977-10-05T00:00:00"/>
    <n v="45.700889801505816"/>
    <s v="A+"/>
    <m/>
    <s v="IRC ESTADIO V "/>
    <s v="DIALISIS PERITONEAL"/>
    <s v="COSTA RICA"/>
    <s v="SAN JOSE"/>
    <s v="CORONADO"/>
    <s v="SAN ISIDRO"/>
    <m/>
    <m/>
    <m/>
    <n v="8"/>
    <m/>
    <s v="EXCELENTE EVOLUCION CLINICA"/>
    <s v="RETARDO EN LA FUNCION DEL INJERTO"/>
    <s v="NECESIDAD DE TRASPLANTECTOMIA DEBIDO A PIELONEFRITIS CRONICA DEL INJERTO POR GERMEN MULTIRESSISTENTE, Y REINICIO DE SOPORTE RENAL"/>
    <m/>
    <m/>
    <m/>
    <m/>
    <s v="NO"/>
    <m/>
    <m/>
    <m/>
    <s v="FUNCIONAL"/>
    <m/>
    <m/>
    <m/>
    <m/>
    <d v="2024-01-10T00:00:00"/>
    <m/>
    <m/>
    <s v="NO"/>
    <m/>
    <m/>
    <m/>
    <m/>
    <m/>
    <m/>
    <m/>
    <m/>
    <m/>
    <m/>
    <m/>
    <m/>
    <m/>
    <m/>
    <m/>
    <n v="303080202"/>
    <s v="FEMENINA"/>
    <s v="COSTA RICA"/>
    <m/>
    <m/>
    <n v="0"/>
    <n v="765.75"/>
    <n v="25.15811088295688"/>
    <n v="2.0965092402464065"/>
  </r>
  <r>
    <x v="0"/>
    <m/>
    <m/>
    <s v="RIÑON"/>
    <x v="0"/>
    <m/>
    <m/>
    <m/>
    <m/>
    <s v="cadaverico"/>
    <s v="RODRIGO BERNARDO DE JESUS"/>
    <s v="VIQUEZ"/>
    <s v="RAMIREZ"/>
    <n v="400980156"/>
    <x v="391"/>
    <s v="MASCULINO"/>
    <d v="1949-12-23T00:00:00"/>
    <n v="73.486652977412732"/>
    <m/>
    <m/>
    <m/>
    <m/>
    <s v="COSTA RICA"/>
    <s v="HEREDIA"/>
    <s v="FLORES"/>
    <s v="SAN JOAQUI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765"/>
    <n v="25.133470225872689"/>
    <n v="2.0944558521560577"/>
  </r>
  <r>
    <x v="4"/>
    <m/>
    <s v="DF.12.2023"/>
    <s v="RIÑON"/>
    <x v="0"/>
    <s v="NO"/>
    <s v="O+"/>
    <d v="1970-02-25T00:00:00"/>
    <n v="53.311430527036279"/>
    <s v=" NINGUNA"/>
    <s v="MEI YIN"/>
    <s v="CHENG"/>
    <s v="KOO"/>
    <n v="800450151"/>
    <x v="391"/>
    <s v="FEMENINO"/>
    <d v="1958-01-01T00:00:00"/>
    <n v="65.46201232032854"/>
    <s v="B+"/>
    <n v="43858"/>
    <s v="ERC ESTADÍO V"/>
    <s v="DIÁLISIS PERITONEAL"/>
    <s v="COSTA RICA"/>
    <m/>
    <m/>
    <m/>
    <n v="12"/>
    <m/>
    <m/>
    <n v="3"/>
    <m/>
    <s v="VIVO"/>
    <s v="VIVO"/>
    <s v="VIVO"/>
    <s v="VIVO"/>
    <m/>
    <m/>
    <m/>
    <s v="NO"/>
    <m/>
    <m/>
    <m/>
    <s v="FUNCIONAL"/>
    <s v="FUNCIONAL"/>
    <m/>
    <m/>
    <m/>
    <m/>
    <m/>
    <m/>
    <s v="SI"/>
    <n v="45119"/>
    <s v="TIMOGLOBULINA"/>
    <n v="1"/>
    <n v="31.45"/>
    <s v="NO"/>
    <m/>
    <m/>
    <m/>
    <s v="NO"/>
    <s v="SI"/>
    <n v="45112"/>
    <m/>
    <s v="NO"/>
    <s v="N/A"/>
    <s v="N/A"/>
    <m/>
    <m/>
    <m/>
    <m/>
    <m/>
    <n v="0"/>
    <n v="765"/>
    <n v="25.133470225872689"/>
    <n v="2.0944558521560577"/>
  </r>
  <r>
    <x v="0"/>
    <m/>
    <m/>
    <s v="RIÑON"/>
    <x v="1"/>
    <m/>
    <m/>
    <m/>
    <m/>
    <s v="Hermano"/>
    <s v="GERALD ALONSO"/>
    <s v="MURILLO"/>
    <s v="MONTOYA"/>
    <n v="401660686"/>
    <x v="392"/>
    <s v="MASCULINO"/>
    <d v="1977-11-17T00:00:00"/>
    <n v="45.590691307323752"/>
    <m/>
    <m/>
    <m/>
    <m/>
    <s v="COSTA RICA"/>
    <s v="HEREDIA"/>
    <s v="CENTRAL"/>
    <s v="MERCEDE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763"/>
    <n v="25.067761806981519"/>
    <n v="2.0889801505817931"/>
  </r>
  <r>
    <x v="0"/>
    <m/>
    <m/>
    <s v="RIÑON"/>
    <x v="1"/>
    <m/>
    <m/>
    <m/>
    <m/>
    <s v="Esposo"/>
    <s v="DIANA AZUCENA"/>
    <s v="BERMUDEZ"/>
    <s v="MORA"/>
    <n v="2970090626"/>
    <x v="393"/>
    <s v="FEMENINA"/>
    <d v="1997-09-29T00:00:00"/>
    <n v="25.782340862422998"/>
    <m/>
    <m/>
    <m/>
    <m/>
    <s v="NICARAGUA"/>
    <s v="Alajuela, San Carlo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742"/>
    <n v="24.377823408624231"/>
    <n v="2.0314852840520192"/>
  </r>
  <r>
    <x v="1"/>
    <s v="UP2101 - HOSPITAL DR. RAFAEL A. CALDERÓN GUARDIA"/>
    <s v="DF.14.2023"/>
    <s v="RIÑON"/>
    <x v="0"/>
    <m/>
    <m/>
    <d v="2003-12-13T00:00:00"/>
    <n v="19"/>
    <m/>
    <s v="JOSE NICOLAS"/>
    <s v="MARENCO"/>
    <s v="SIRIAS"/>
    <n v="17617336"/>
    <x v="394"/>
    <s v="MASCULINO"/>
    <d v="1976-08-29T00:00:00"/>
    <n v="46.875427789185487"/>
    <s v="O+"/>
    <m/>
    <s v="IRC ESTADIO V CAUSA NO FILIADA"/>
    <s v="DIALISIS PERITONEAL"/>
    <s v="NICARAGUA"/>
    <s v="SAN JOSE"/>
    <s v="CURRIDABAT"/>
    <s v="TIRRASES"/>
    <m/>
    <m/>
    <m/>
    <n v="7"/>
    <m/>
    <s v="TROMBOSIS DEL INJERTO A LAS 48H"/>
    <m/>
    <m/>
    <m/>
    <m/>
    <m/>
    <m/>
    <s v="NO"/>
    <m/>
    <m/>
    <m/>
    <s v="NO FUNCIONAL"/>
    <m/>
    <m/>
    <m/>
    <m/>
    <d v="2023-07-15T00:00:00"/>
    <m/>
    <m/>
    <s v="NO"/>
    <m/>
    <m/>
    <m/>
    <m/>
    <m/>
    <m/>
    <m/>
    <m/>
    <m/>
    <m/>
    <m/>
    <m/>
    <m/>
    <m/>
    <m/>
    <n v="118930349"/>
    <s v="FEMENINA"/>
    <s v="COSTA RICA"/>
    <m/>
    <m/>
    <n v="0"/>
    <n v="738.75"/>
    <n v="24.271047227926079"/>
    <n v="2.0225872689938398"/>
  </r>
  <r>
    <x v="1"/>
    <s v="UP2101 - HOSPITAL DR. RAFAEL A. CALDERÓN GUARDIA"/>
    <s v="DF.14.2023"/>
    <s v="RIÑON"/>
    <x v="0"/>
    <m/>
    <m/>
    <d v="2003-12-13T00:00:00"/>
    <n v="19"/>
    <m/>
    <s v="CARLOS LUIS"/>
    <s v="LOPEZ"/>
    <s v="LEAL"/>
    <n v="602510583"/>
    <x v="395"/>
    <s v="MASCULINO"/>
    <d v="1973-02-27T00:00:00"/>
    <n v="50.379876796714576"/>
    <s v="O+"/>
    <m/>
    <s v="IRC ESTADIO V CAUSA NO FILIADA"/>
    <s v="DIALISIS PERITONEAL"/>
    <s v="COSTA RICA"/>
    <s v="SAN JOSE"/>
    <s v="CORONADO"/>
    <s v="PATALILLO"/>
    <m/>
    <m/>
    <m/>
    <n v="5"/>
    <m/>
    <s v="EXCELENTE EVOLUCION CLINICA"/>
    <s v="EXCELENTE EVOLUCION CLINICA"/>
    <s v="EXCELENTE EVOLUCION CLINICA"/>
    <s v="EXCELENTE EVOLUCION CLINICA"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118930349"/>
    <s v="FEMENINA"/>
    <s v="COSTA RICA"/>
    <m/>
    <m/>
    <n v="0"/>
    <n v="737.75"/>
    <n v="24.238193018480494"/>
    <n v="2.0198494182067077"/>
  </r>
  <r>
    <x v="2"/>
    <s v="UP2306 - HOSPITAL DR. MAX PERALTA"/>
    <m/>
    <s v="RIÑÓN"/>
    <x v="1"/>
    <s v="NO"/>
    <s v="O+"/>
    <d v="1997-10-27T00:00:00"/>
    <n v="25.71937029431896"/>
    <s v="RELACIONADO CONSANGUINEO"/>
    <m/>
    <m/>
    <m/>
    <n v="302990628"/>
    <x v="396"/>
    <s v="MASCULINO"/>
    <d v="1968-07-22T00:00:00"/>
    <n v="54.984257357973988"/>
    <s v="O+"/>
    <m/>
    <s v="Nefropatía hipertensiva"/>
    <s v="HEMODIÁLISIS"/>
    <s v="COSTA RICA"/>
    <s v="CARTAGO"/>
    <s v="LA UNION"/>
    <s v="Concepción"/>
    <m/>
    <m/>
    <m/>
    <n v="0"/>
    <m/>
    <s v="VIVO"/>
    <s v="VIVO"/>
    <s v="VIVO"/>
    <s v="VIVO"/>
    <m/>
    <m/>
    <m/>
    <s v="NO"/>
    <s v="NA"/>
    <s v="NA"/>
    <m/>
    <s v="FUNCIONAL"/>
    <s v="FUNCIONAL"/>
    <m/>
    <m/>
    <m/>
    <s v="NA"/>
    <m/>
    <m/>
    <s v="NO"/>
    <m/>
    <s v="BASI"/>
    <n v="0.91"/>
    <n v="100"/>
    <s v="NO"/>
    <m/>
    <m/>
    <m/>
    <m/>
    <s v="NO"/>
    <m/>
    <m/>
    <s v="NO"/>
    <m/>
    <m/>
    <m/>
    <m/>
    <m/>
    <m/>
    <m/>
    <n v="0"/>
    <n v="737"/>
    <n v="24.213552361396303"/>
    <n v="2.0177960301163584"/>
  </r>
  <r>
    <x v="2"/>
    <s v="UP2306 - HOSPITAL DR. MAX PERALTA"/>
    <m/>
    <s v="RIÑÓN"/>
    <x v="1"/>
    <s v="NO"/>
    <s v="A+"/>
    <d v="1978-08-17T00:00:00"/>
    <n v="44.95277207392197"/>
    <s v="RELACIONADO CONSANGUINEO"/>
    <m/>
    <m/>
    <m/>
    <n v="204840537"/>
    <x v="397"/>
    <s v="MASCULINO"/>
    <d v="1973-03-09T00:00:00"/>
    <n v="50.392881587953454"/>
    <s v="A+"/>
    <m/>
    <s v="Nefropatía hipertensiva"/>
    <s v="DIÁLISIS PERITONEAL"/>
    <s v="COSTA RICA"/>
    <s v="CARTAGO"/>
    <s v="EL GUARCO"/>
    <s v="TEJAR"/>
    <m/>
    <m/>
    <m/>
    <n v="0"/>
    <m/>
    <s v="VIVO"/>
    <s v="VIVO"/>
    <s v="VIVO"/>
    <s v="VIVO"/>
    <m/>
    <m/>
    <m/>
    <s v="NO"/>
    <s v="NA"/>
    <s v="NA"/>
    <m/>
    <s v="FUNCIONAL"/>
    <s v="FUNCIONAL"/>
    <m/>
    <m/>
    <m/>
    <s v="NA"/>
    <m/>
    <m/>
    <s v="NO"/>
    <m/>
    <s v="BASI"/>
    <n v="1.29"/>
    <n v="67"/>
    <s v="NO"/>
    <m/>
    <m/>
    <m/>
    <m/>
    <s v="NO"/>
    <m/>
    <m/>
    <s v="NO"/>
    <m/>
    <m/>
    <m/>
    <m/>
    <m/>
    <m/>
    <m/>
    <n v="0"/>
    <n v="723"/>
    <n v="23.753593429158112"/>
    <n v="1.9794661190965093"/>
  </r>
  <r>
    <x v="4"/>
    <s v="UP2102 - HOSPITAL SAN JUAN DE DIOS"/>
    <s v="N/A"/>
    <s v="RIÑON"/>
    <x v="1"/>
    <m/>
    <s v="O+"/>
    <d v="1974-10-31T06:00:00"/>
    <n v="48.772073921971256"/>
    <s v="RELACIONADO CONSANGUÍNEO"/>
    <s v="FANNY"/>
    <s v="RIVERA"/>
    <s v="CORDERO"/>
    <n v="303250804"/>
    <x v="398"/>
    <s v="FEMENINO"/>
    <d v="1973-07-29T06:00:00"/>
    <n v="50.02874743326489"/>
    <s v="O+"/>
    <n v="45141"/>
    <s v="ERC ESTADÍO V"/>
    <s v="HEMODIÁLISIS"/>
    <s v="COSTA RICA"/>
    <s v="CARTAGO"/>
    <s v="PARAÍSO"/>
    <s v="CACHÍ"/>
    <n v="0.56999999999999995"/>
    <m/>
    <m/>
    <n v="2"/>
    <m/>
    <s v="VIVO"/>
    <s v="VIVO"/>
    <s v="VIVO"/>
    <s v="VIVO"/>
    <m/>
    <m/>
    <m/>
    <s v="NO"/>
    <m/>
    <s v="N/A"/>
    <m/>
    <s v="FUNCIONAL"/>
    <s v="FUNCIONAL"/>
    <m/>
    <m/>
    <m/>
    <s v="N/A"/>
    <m/>
    <m/>
    <s v="NO"/>
    <m/>
    <s v="TIMOGLOBULINA"/>
    <n v="1.1399999999999999"/>
    <n v="62.67"/>
    <s v="NO"/>
    <m/>
    <m/>
    <m/>
    <s v="NO"/>
    <s v="NO"/>
    <s v="N/A"/>
    <m/>
    <s v="NO"/>
    <s v="N/A"/>
    <s v="N/A"/>
    <n v="303330163"/>
    <s v="FEMENINA"/>
    <s v="COSTARRICENSE"/>
    <s v="2° GRADO"/>
    <s v="HERMANA (O)"/>
    <n v="0"/>
    <n v="713.75"/>
    <n v="23.449691991786448"/>
    <n v="1.9541409993155372"/>
  </r>
  <r>
    <x v="0"/>
    <m/>
    <m/>
    <s v="RIÑON"/>
    <x v="1"/>
    <m/>
    <m/>
    <m/>
    <m/>
    <s v="Hermano"/>
    <s v="ARIEL JOSUE"/>
    <s v="ALVARADO"/>
    <s v="VARGAS"/>
    <n v="116190849"/>
    <x v="399"/>
    <s v="MASCULINO"/>
    <d v="1995-09-27T00:00:00"/>
    <n v="27.885010266940451"/>
    <m/>
    <m/>
    <m/>
    <m/>
    <s v="COSTA RICA"/>
    <s v="HEREDIA"/>
    <s v="SANTO DOMINGO"/>
    <s v="SAN VICENT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707"/>
    <n v="23.227926078028748"/>
    <n v="1.9356605065023955"/>
  </r>
  <r>
    <x v="2"/>
    <s v="UP2306 - HOSPITAL DR. MAX PERALTA"/>
    <m/>
    <s v="RIÑÓN"/>
    <x v="1"/>
    <s v="NO"/>
    <s v="O+"/>
    <d v="1992-06-13T00:00:00"/>
    <n v="31.186858316221766"/>
    <s v="RELACIONADO CONSANGUINEO"/>
    <m/>
    <m/>
    <m/>
    <n v="112550891"/>
    <x v="400"/>
    <s v="MASCULINO"/>
    <d v="1985-07-23T00:00:00"/>
    <n v="38.078028747433265"/>
    <s v="O+"/>
    <m/>
    <s v="Nefropatía diabética"/>
    <s v="DIÁLISIS PERITONEAL"/>
    <s v="COSTA RICA"/>
    <s v="CARTAGO"/>
    <s v="CARTAGO"/>
    <s v="DULCE NOMBRE"/>
    <m/>
    <m/>
    <m/>
    <n v="0"/>
    <m/>
    <s v="VIVO"/>
    <s v="VIVO"/>
    <s v="VIVO"/>
    <s v="VIVO"/>
    <m/>
    <m/>
    <m/>
    <s v="NO"/>
    <s v="NA"/>
    <s v="NA"/>
    <m/>
    <s v="FUNCIONAL"/>
    <s v="FUNCIONAL"/>
    <m/>
    <m/>
    <m/>
    <s v="NA"/>
    <m/>
    <m/>
    <s v="NO"/>
    <m/>
    <s v="BASI"/>
    <n v="1.39"/>
    <n v="67"/>
    <s v="NO"/>
    <m/>
    <m/>
    <m/>
    <m/>
    <s v="NO"/>
    <m/>
    <m/>
    <s v="NO"/>
    <m/>
    <m/>
    <m/>
    <m/>
    <m/>
    <m/>
    <m/>
    <n v="0"/>
    <n v="702"/>
    <n v="23.06365503080082"/>
    <n v="1.9219712525667352"/>
  </r>
  <r>
    <x v="2"/>
    <s v="UP2306 - HOSPITAL DR. MAX PERALTA"/>
    <m/>
    <s v="RIÑÓN"/>
    <x v="0"/>
    <s v="SI"/>
    <s v="B+"/>
    <d v="1955-09-29T00:00:00"/>
    <n v="67.89596167008898"/>
    <s v="NO RELACIONADO"/>
    <m/>
    <m/>
    <m/>
    <n v="402510758"/>
    <x v="401"/>
    <s v="FEMENINO"/>
    <d v="2001-06-18T06:00:00"/>
    <n v="22.175906913073238"/>
    <s v="AB-"/>
    <m/>
    <s v="MALFORMACION DE VIA URINARIA"/>
    <s v="DIÁLISIS PERITONEAL"/>
    <s v="COSTA RICA"/>
    <s v="CARTAGO"/>
    <s v="CARTAGO"/>
    <s v="ORIENTAL"/>
    <m/>
    <m/>
    <m/>
    <n v="0"/>
    <m/>
    <s v="VIVO"/>
    <s v="VIVO"/>
    <s v="FALLECIDO"/>
    <s v="FALLECIDO"/>
    <m/>
    <m/>
    <m/>
    <s v="SI"/>
    <d v="2023-11-30T00:00:00"/>
    <s v="Shock séptico"/>
    <s v="NO"/>
    <s v="FUNCIONAL"/>
    <s v="NO FUNCIONAL"/>
    <m/>
    <m/>
    <m/>
    <d v="2023-10-01T00:00:00"/>
    <s v="ITU A REPETICION"/>
    <s v="PALIATIVO"/>
    <s v="NO"/>
    <m/>
    <s v="TIMO"/>
    <s v="NA"/>
    <s v="NA"/>
    <s v="NO"/>
    <m/>
    <m/>
    <m/>
    <m/>
    <s v="NO"/>
    <m/>
    <m/>
    <s v="NO"/>
    <m/>
    <m/>
    <m/>
    <m/>
    <m/>
    <m/>
    <m/>
    <n v="1"/>
    <n v="100"/>
    <n v="3.2854209445585214"/>
    <n v="0.27378507871321012"/>
  </r>
  <r>
    <x v="1"/>
    <s v="UP2306 - HOSPITAL DR. MAX PERALTA"/>
    <s v="DF.15.2023 HCG 21/08/2023"/>
    <s v="RIÑON"/>
    <x v="0"/>
    <m/>
    <m/>
    <d v="1955-09-29T00:00:00"/>
    <n v="67"/>
    <m/>
    <s v="ALFONSO"/>
    <s v="BRENES"/>
    <s v="BRENES"/>
    <n v="302170125"/>
    <x v="402"/>
    <s v="MASCULINO"/>
    <d v="1956-10-17T00:00:00"/>
    <n v="66.845311430527033"/>
    <s v="B+"/>
    <m/>
    <s v="IRC ESTADIO V CAUSA NO FILIADA"/>
    <s v="DIALISIS PERITONEAL"/>
    <s v="COSTA RICA"/>
    <s v="CARTAGO"/>
    <s v="CENTRAL"/>
    <s v="ORIENTAL"/>
    <m/>
    <m/>
    <m/>
    <n v="8"/>
    <m/>
    <s v="EXCELENTE EVOLUCION CLINICA"/>
    <s v="EXCELENTE EVOLUCION CLINICA"/>
    <s v="EXCELENTE EVOLUCION CLINICA"/>
    <m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105290598"/>
    <s v="MASCULINO"/>
    <s v="COSTA RICA"/>
    <m/>
    <s v="PACIENTE LLEVA SU CONTROL PRE Y POSTRASPLANTE EN HOSPITAL MAX PERALTA. EL TRASPLANTE RENAL SE REALIZÓ EN EL CALDERON GUARDIA"/>
    <n v="0"/>
    <n v="700.75"/>
    <n v="23.022587268993838"/>
    <n v="1.9185489390828201"/>
  </r>
  <r>
    <x v="0"/>
    <m/>
    <m/>
    <s v="RIÑON"/>
    <x v="1"/>
    <m/>
    <m/>
    <m/>
    <m/>
    <s v="Tia"/>
    <s v="ESTEBAN"/>
    <s v="FUNES"/>
    <s v="JUAREZ"/>
    <n v="504060214"/>
    <x v="403"/>
    <s v="MASCULINO"/>
    <d v="1995-08-13T00:00:00"/>
    <n v="28.027378507871322"/>
    <m/>
    <m/>
    <m/>
    <m/>
    <s v="COSTA RICA"/>
    <s v="Guanacaste, bagace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700"/>
    <n v="22.997946611909651"/>
    <n v="1.9164955509924708"/>
  </r>
  <r>
    <x v="0"/>
    <m/>
    <m/>
    <s v="RIÑON"/>
    <x v="1"/>
    <m/>
    <m/>
    <m/>
    <m/>
    <s v="Esposa"/>
    <s v="FENY OCTAVIO"/>
    <s v="ARRIETA"/>
    <s v="ESQUIVEL"/>
    <n v="206310351"/>
    <x v="404"/>
    <s v="MASCULINO"/>
    <d v="1987-03-25T00:00:00"/>
    <n v="36.470910335386719"/>
    <m/>
    <m/>
    <m/>
    <m/>
    <s v="COSTA RICA"/>
    <s v="Alajuela, Grecia 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679"/>
    <n v="22.308008213552363"/>
    <n v="1.8590006844626967"/>
  </r>
  <r>
    <x v="0"/>
    <m/>
    <m/>
    <s v="RIÑON"/>
    <x v="1"/>
    <m/>
    <m/>
    <m/>
    <m/>
    <s v="Madre"/>
    <s v="JUSTIN"/>
    <s v="AMADOR"/>
    <s v="NAVARRO"/>
    <n v="402590963"/>
    <x v="405"/>
    <s v="MASCULINO"/>
    <d v="2003-05-21T00:00:00"/>
    <n v="20.334017796030118"/>
    <m/>
    <m/>
    <m/>
    <m/>
    <s v="COSTA RICA"/>
    <s v="Heredia, San Antonio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672"/>
    <n v="22.078028747433265"/>
    <n v="1.839835728952772"/>
  </r>
  <r>
    <x v="4"/>
    <s v="UP2102 - HOSPITAL SAN JUAN DE DIOS"/>
    <s v="N/A"/>
    <s v="RIÑON"/>
    <x v="1"/>
    <m/>
    <s v="O+"/>
    <d v="1979-09-16T06:00:00"/>
    <n v="44.010951403148532"/>
    <s v="RELACIONADO CONSANGUÍNEO"/>
    <s v="JIMMY DE LA TRINIDAD"/>
    <s v="ARCIA"/>
    <s v="ESPINOZA"/>
    <n v="401410198"/>
    <x v="406"/>
    <s v="MASCULINO"/>
    <d v="1966-02-10T06:00:00"/>
    <n v="57.607118412046546"/>
    <s v="O+"/>
    <n v="45148"/>
    <s v="ERC ESTADÍO V"/>
    <s v="DIALISIS PERITONEAL"/>
    <s v="COSTA RICA"/>
    <s v="HEREDIA"/>
    <s v="SAN PABLO"/>
    <s v="SAN PABLO"/>
    <n v="0.56000000000000005"/>
    <m/>
    <m/>
    <n v="3"/>
    <m/>
    <s v="VIVO"/>
    <s v="VIVO"/>
    <s v="VIVO"/>
    <s v="VIVO"/>
    <m/>
    <m/>
    <m/>
    <s v="NO"/>
    <m/>
    <s v="N/A"/>
    <m/>
    <s v="FUNCIONAL"/>
    <s v="FUNCIONAL"/>
    <m/>
    <m/>
    <m/>
    <s v="N/A"/>
    <m/>
    <m/>
    <s v="NO"/>
    <m/>
    <s v="BASILIXIMAB"/>
    <n v="2.04"/>
    <n v="54.7"/>
    <s v="NO"/>
    <m/>
    <m/>
    <m/>
    <s v="NO"/>
    <s v="NO"/>
    <s v="N/A"/>
    <m/>
    <s v="NO"/>
    <s v="N/A"/>
    <s v="N/A"/>
    <n v="110480162"/>
    <s v="FEMENINA"/>
    <s v="COSTARRICENSE"/>
    <s v="2° GRADO"/>
    <s v="HERMANA (O)"/>
    <n v="0"/>
    <n v="671.75"/>
    <n v="22.069815195071868"/>
    <n v="1.839151266255989"/>
  </r>
  <r>
    <x v="0"/>
    <m/>
    <m/>
    <s v="RIÑON"/>
    <x v="1"/>
    <m/>
    <m/>
    <m/>
    <m/>
    <s v="Prima"/>
    <s v="KEVIN ARIEL"/>
    <s v="VARGAS"/>
    <s v="CORRALES"/>
    <n v="504400238"/>
    <x v="407"/>
    <s v="MASCULINO"/>
    <d v="2001-09-07T00:00:00"/>
    <n v="22.053388090349078"/>
    <m/>
    <m/>
    <m/>
    <m/>
    <s v="COSTA RICA"/>
    <s v="Guanacaste, caña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665"/>
    <n v="21.848049281314168"/>
    <n v="1.8206707734428473"/>
  </r>
  <r>
    <x v="2"/>
    <s v="UP2306 - HOSPITAL DR. MAX PERALTA"/>
    <m/>
    <s v="RIÑÓN"/>
    <x v="1"/>
    <s v="NO"/>
    <s v="O+"/>
    <d v="1993-03-14T06:00:00"/>
    <n v="30.551676933607119"/>
    <s v="RELACIONADO CONSANGUINEO"/>
    <m/>
    <m/>
    <m/>
    <n v="304900958"/>
    <x v="408"/>
    <s v="MASCULINO"/>
    <d v="1995-11-19T06:00:00"/>
    <n v="27.868583162217661"/>
    <s v="A+"/>
    <m/>
    <s v="Malformación congénita + trauma"/>
    <s v="HEMODIÁLISIS"/>
    <s v="COSTA RICA"/>
    <s v="CARTAGO"/>
    <s v="PARAISO"/>
    <s v="PARAISO"/>
    <m/>
    <m/>
    <m/>
    <n v="0"/>
    <m/>
    <s v="VIVO"/>
    <s v="VIVO"/>
    <s v="VIVO"/>
    <s v="VIVO"/>
    <m/>
    <m/>
    <m/>
    <s v="NO"/>
    <s v="NA"/>
    <s v="NA"/>
    <m/>
    <s v="FUNCIONAL"/>
    <s v="FUNCIONAL"/>
    <m/>
    <m/>
    <m/>
    <s v="NA"/>
    <m/>
    <m/>
    <s v="NO"/>
    <m/>
    <s v="BASI"/>
    <n v="1.49"/>
    <n v="65"/>
    <s v="SI"/>
    <n v="45544"/>
    <s v="UROLÓGICA"/>
    <s v="FIBROSIS DE LECHO QUIRURGICO + ANGIOPLASTA A RENAL"/>
    <s v="SI"/>
    <s v="NO"/>
    <m/>
    <m/>
    <s v="NO"/>
    <m/>
    <m/>
    <m/>
    <m/>
    <m/>
    <m/>
    <m/>
    <n v="0"/>
    <n v="659.75"/>
    <n v="21.675564681724847"/>
    <n v="1.8062970568104038"/>
  </r>
  <r>
    <x v="1"/>
    <s v="UP2101 - HOSPITAL DR. RAFAEL A. CALDERÓN GUARDIA"/>
    <s v="DF.18.2023 HCG 09-10-2023"/>
    <s v="RIÑON"/>
    <x v="0"/>
    <m/>
    <m/>
    <d v="1982-04-11T00:00:00"/>
    <n v="42"/>
    <m/>
    <s v="VICTORIA EUGENIA"/>
    <s v="ARAYA"/>
    <s v="FERNANDEZ"/>
    <n v="104660890"/>
    <x v="409"/>
    <s v="FEMENINA"/>
    <d v="1956-05-19T00:00:00"/>
    <n v="67.392881587953454"/>
    <s v="O+"/>
    <m/>
    <s v="IRC ESTADIO V CAUSA NO FILIADA"/>
    <s v="DIALISIS PERITONEAL"/>
    <s v="COSTA RICA"/>
    <s v="SAN JOSE"/>
    <s v="MORAVIA"/>
    <s v="TRINIDAD"/>
    <m/>
    <m/>
    <m/>
    <n v="9"/>
    <m/>
    <s v="EXCELENTE EVOLUCION CLINICA"/>
    <s v="EXCELENTE EVOLUCION CLINICA"/>
    <s v="FALLECIDA A LOS 5 MESES POR ENDOCARDITIS"/>
    <m/>
    <m/>
    <m/>
    <m/>
    <s v="SI"/>
    <d v="2024-03-17T00:00:00"/>
    <s v="ENDOCARDITIS DE VALVULA MITRAL"/>
    <s v="SI"/>
    <s v="FUNCIONAL"/>
    <m/>
    <m/>
    <m/>
    <m/>
    <m/>
    <m/>
    <m/>
    <s v="NO"/>
    <m/>
    <m/>
    <m/>
    <m/>
    <m/>
    <m/>
    <m/>
    <m/>
    <m/>
    <m/>
    <m/>
    <m/>
    <m/>
    <m/>
    <m/>
    <n v="1820105579"/>
    <s v="MASCULINO"/>
    <s v="EXTRANJERO"/>
    <m/>
    <m/>
    <n v="1"/>
    <n v="158.75"/>
    <n v="5.2156057494866532"/>
    <n v="0.4346338124572211"/>
  </r>
  <r>
    <x v="3"/>
    <s v="UP2103 - HOSPITAL NACIONAL DE NIÑOS"/>
    <s v="DF.18.2023"/>
    <s v="RIÑON"/>
    <x v="0"/>
    <m/>
    <s v="O+"/>
    <s v="DESCONOCIDA "/>
    <n v="34"/>
    <s v="NO APLICA"/>
    <s v="MANUEL JOSUE"/>
    <s v="HERNANDEZ"/>
    <s v="ARCE"/>
    <n v="209130456"/>
    <x v="409"/>
    <s v="MASCULINO"/>
    <d v="2009-01-04T00:00:00"/>
    <n v="14.763175906913073"/>
    <s v="O+"/>
    <m/>
    <s v="INSUFICIENCIA RENAL CRÓNICA V"/>
    <s v="HEMODIALISIS"/>
    <s v="COSTA RICA"/>
    <s v="ALAJUELA"/>
    <s v="ATENAS"/>
    <s v="SAN ISIDRO"/>
    <m/>
    <m/>
    <m/>
    <n v="0"/>
    <m/>
    <s v="ADECUADA"/>
    <s v="ADECUADA"/>
    <s v="ADECUADA"/>
    <s v="ADECUADA"/>
    <s v="ADECUADA"/>
    <s v="ADECUADA"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s v="DESCONOCIDA"/>
    <s v="FEMENINA"/>
    <s v="COSTA RICA"/>
    <m/>
    <s v="EN HNN AUN "/>
    <n v="0"/>
    <n v="651.75"/>
    <n v="21.412731006160165"/>
    <n v="1.784394250513347"/>
  </r>
  <r>
    <x v="1"/>
    <s v="UP2101 - HOSPITAL DR. RAFAEL A. CALDERÓN GUARDIA"/>
    <s v="DF.19.2023 HSJD"/>
    <s v="RIÑON"/>
    <x v="0"/>
    <m/>
    <m/>
    <d v="1990-12-23T00:00:00"/>
    <n v="32"/>
    <m/>
    <s v="YASMIN SARAY"/>
    <s v="NAVARRO"/>
    <s v="RAMIREZ"/>
    <n v="109100512"/>
    <x v="410"/>
    <s v="FEMENINA"/>
    <d v="1975-05-22T00:00:00"/>
    <n v="48.463381245722111"/>
    <s v="B+"/>
    <m/>
    <s v="IRC ESTADIO V CAUSA NO FILIADA"/>
    <s v="DIALISIS PERITONEAL"/>
    <s v="COSTA RICA"/>
    <s v="SAN JOSE"/>
    <s v="CENTRAL"/>
    <s v="HATILLO"/>
    <m/>
    <m/>
    <m/>
    <n v="9"/>
    <m/>
    <s v="EXCELENTE EVOLUCION CLINICA"/>
    <s v="EXCELENTE EVOLUCION CLINICA"/>
    <s v="EXCELENTE EVOLUCION CLINICA"/>
    <m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114550039"/>
    <s v="MASCULINO"/>
    <s v="COSTA RICA"/>
    <m/>
    <m/>
    <n v="0"/>
    <n v="623.75"/>
    <n v="20.492813141683779"/>
    <n v="1.7077344284736482"/>
  </r>
  <r>
    <x v="2"/>
    <s v="UP2306 - HOSPITAL DR. MAX PERALTA"/>
    <s v="19-2023"/>
    <s v="RIÑÓN"/>
    <x v="0"/>
    <s v="SI"/>
    <s v="B+"/>
    <m/>
    <n v="123.85284052019165"/>
    <s v="NO RELACIONADO"/>
    <m/>
    <m/>
    <m/>
    <n v="108420982"/>
    <x v="410"/>
    <s v="FEMENINO"/>
    <d v="1972-12-04T06:00:00"/>
    <n v="50.924024640657088"/>
    <s v="B+"/>
    <m/>
    <s v="Poliquistosis renal"/>
    <s v="HEMODIÁLISIS"/>
    <s v="COSTA RICA"/>
    <s v="CARTAGO"/>
    <s v="EL GUARCO"/>
    <s v="SAN ISIDRO"/>
    <m/>
    <m/>
    <m/>
    <n v="0"/>
    <m/>
    <s v="VIVO"/>
    <s v="VIVO"/>
    <s v="VIVO"/>
    <s v="VIVO"/>
    <m/>
    <m/>
    <m/>
    <s v="NO"/>
    <s v="NA"/>
    <s v="NA"/>
    <m/>
    <s v="FUNCIONAL"/>
    <s v="FUNCIONAL"/>
    <m/>
    <m/>
    <m/>
    <s v="NA"/>
    <m/>
    <m/>
    <s v="NO"/>
    <m/>
    <s v="TIMO"/>
    <n v="1.59"/>
    <n v="52"/>
    <s v="SI"/>
    <n v="45261"/>
    <s v="VASCULAR"/>
    <s v="LINFOCELE"/>
    <s v="SI"/>
    <s v="NO"/>
    <m/>
    <m/>
    <s v="NO"/>
    <m/>
    <m/>
    <m/>
    <m/>
    <m/>
    <m/>
    <m/>
    <n v="0"/>
    <n v="623.75"/>
    <n v="20.492813141683779"/>
    <n v="1.7077344284736482"/>
  </r>
  <r>
    <x v="0"/>
    <m/>
    <m/>
    <s v="RIÑON"/>
    <x v="0"/>
    <m/>
    <m/>
    <m/>
    <m/>
    <s v="Cadaverico"/>
    <s v="OLGA MARTA DE LA TRINIDAD"/>
    <s v="MARIN"/>
    <s v="PEREZ"/>
    <n v="204330346"/>
    <x v="411"/>
    <s v="FEMENINA"/>
    <d v="1967-09-12T00:00:00"/>
    <n v="56.172484599589325"/>
    <m/>
    <m/>
    <m/>
    <m/>
    <s v="COSTA RICA"/>
    <s v="Alajuela, los chile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617"/>
    <n v="20.271047227926079"/>
    <n v="1.6892539356605065"/>
  </r>
  <r>
    <x v="2"/>
    <s v="UP2306 - HOSPITAL DR. MAX PERALTA"/>
    <m/>
    <s v="RIÑÓN"/>
    <x v="0"/>
    <s v="SI"/>
    <s v="O+"/>
    <m/>
    <n v="123.87132101300479"/>
    <s v="NO RELACIONADO"/>
    <m/>
    <m/>
    <m/>
    <n v="502690849"/>
    <x v="411"/>
    <s v="FEMENINO"/>
    <d v="1968-04-23T00:00:00"/>
    <n v="55.559206023271734"/>
    <s v="O+"/>
    <m/>
    <s v="Nefropatía hipertensiva"/>
    <s v="DIÁLISIS PERITONEAL"/>
    <s v="COSTA RICA"/>
    <s v="CARTAGO"/>
    <s v="LA UNION"/>
    <s v="DULCE NOMBRE"/>
    <m/>
    <m/>
    <m/>
    <n v="0"/>
    <m/>
    <s v="VIVO"/>
    <s v="VIVO"/>
    <s v="VIVO"/>
    <s v="VIVO"/>
    <m/>
    <m/>
    <m/>
    <s v="NO"/>
    <s v="NA"/>
    <s v="NA"/>
    <m/>
    <s v="NO FUNCIONAL"/>
    <s v="NO FUNCIONAL"/>
    <m/>
    <m/>
    <m/>
    <d v="2023-11-15T00:00:00"/>
    <s v="NECROSIS TOTAL DEL INJERTO POR TROMBOSIS A RENAL"/>
    <s v="REGRESO A DIÁLISIS"/>
    <s v="NO"/>
    <m/>
    <s v="TIMO"/>
    <n v="10.4"/>
    <n v="4"/>
    <s v="SI"/>
    <n v="45245"/>
    <s v="VASCULAR"/>
    <s v="TROMBOSIS DE  ARTERIA RENAL"/>
    <s v="SI"/>
    <s v="NO"/>
    <m/>
    <m/>
    <s v="NO"/>
    <m/>
    <m/>
    <m/>
    <m/>
    <m/>
    <m/>
    <m/>
    <n v="0"/>
    <n v="617"/>
    <n v="20.271047227926079"/>
    <n v="1.6892539356605065"/>
  </r>
  <r>
    <x v="0"/>
    <m/>
    <m/>
    <s v="RIÑON"/>
    <x v="1"/>
    <m/>
    <m/>
    <m/>
    <m/>
    <s v="Hermana"/>
    <s v="RANDALL ANDRES"/>
    <s v="MORA"/>
    <s v="SERRANO"/>
    <n v="114690361"/>
    <x v="412"/>
    <s v="MASCULINO"/>
    <d v="1991-06-07T00:00:00"/>
    <n v="32.440793976728266"/>
    <m/>
    <m/>
    <m/>
    <m/>
    <s v="COSTA RICA"/>
    <s v="SAN JOSE"/>
    <s v="TIBAS"/>
    <s v="ANSELMO LLORENT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616"/>
    <n v="20.238193018480494"/>
    <n v="1.6865160848733745"/>
  </r>
  <r>
    <x v="4"/>
    <s v="UP2701 - HOSPITAL FERNANDO ESCALANTE PRADILLA"/>
    <s v="N/A"/>
    <s v="RIÑON"/>
    <x v="1"/>
    <m/>
    <s v="O+"/>
    <d v="1982-11-11T06:00:00"/>
    <n v="41.029431895961672"/>
    <s v="RELACIONADO CONSANGUÍNEO"/>
    <s v="ERNESTO"/>
    <s v="ESQUIVEL"/>
    <s v="BARQUERO"/>
    <n v="108060361"/>
    <x v="413"/>
    <s v="MASCULINO"/>
    <d v="1971-09-01T06:00:00"/>
    <n v="52.224503764544835"/>
    <s v="O+"/>
    <n v="45104"/>
    <s v="ERC ESTADÍO V"/>
    <s v="DIALISIS PERITONEAL"/>
    <s v="COSTA RICA"/>
    <s v="SAN JOSE"/>
    <s v="PEREZ ZELEDON"/>
    <s v="SAN ISIDRO DE EL GENERAL"/>
    <n v="1.17"/>
    <m/>
    <m/>
    <n v="0"/>
    <m/>
    <s v="VIVO"/>
    <s v="VIVO"/>
    <s v="VIVO"/>
    <m/>
    <m/>
    <m/>
    <m/>
    <s v="NO"/>
    <m/>
    <s v="N/A"/>
    <m/>
    <s v="FUNCIONAL"/>
    <m/>
    <m/>
    <m/>
    <m/>
    <s v="N/A"/>
    <m/>
    <m/>
    <s v="NO"/>
    <m/>
    <s v="BASILIXIMAB"/>
    <m/>
    <m/>
    <s v="NO"/>
    <m/>
    <m/>
    <m/>
    <s v="NO"/>
    <s v="NO"/>
    <s v="N/A"/>
    <m/>
    <s v="NO"/>
    <s v="N/A"/>
    <s v="N/A"/>
    <n v="111540893"/>
    <s v="FEMENINA"/>
    <s v="COSTARRICENSE"/>
    <s v="3° GRADO"/>
    <s v="SOBRINA (O)"/>
    <n v="0"/>
    <n v="608.75"/>
    <n v="20"/>
    <n v="1.6666666666666667"/>
  </r>
  <r>
    <x v="0"/>
    <m/>
    <m/>
    <s v="RIÑON"/>
    <x v="1"/>
    <m/>
    <m/>
    <m/>
    <m/>
    <s v="Hermano"/>
    <s v="JOSE PABLO"/>
    <s v="RODRIGUEZ"/>
    <s v="CORDERO"/>
    <n v="110160048"/>
    <x v="414"/>
    <s v="MASCULINO"/>
    <d v="1978-10-08T00:00:00"/>
    <n v="45.141683778234089"/>
    <m/>
    <m/>
    <m/>
    <m/>
    <s v="COSTA RICA"/>
    <s v="SAN JOSE"/>
    <s v="CENTRAL"/>
    <s v="CARME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602"/>
    <n v="19.7782340862423"/>
    <n v="1.6481861738535251"/>
  </r>
  <r>
    <x v="2"/>
    <s v="UP2306 - HOSPITAL DR. MAX PERALTA"/>
    <m/>
    <s v="RIÑÓN"/>
    <x v="1"/>
    <s v="NO"/>
    <s v="A+"/>
    <d v="1995-12-20T00:00:00"/>
    <n v="27.956194387405887"/>
    <s v="RELACIONADO CONSANGUINEO"/>
    <m/>
    <m/>
    <m/>
    <n v="304630448"/>
    <x v="415"/>
    <s v="MASCULINO"/>
    <d v="1992-05-22T00:00:00"/>
    <n v="31.534565366187543"/>
    <s v="A+"/>
    <m/>
    <s v="Malformación congénita"/>
    <s v="DIÁLISIS PERITONEAL"/>
    <s v="COSTA RICA"/>
    <s v="CARTAGO"/>
    <s v="Jiménez"/>
    <s v="Juan Viñas"/>
    <m/>
    <m/>
    <m/>
    <n v="0"/>
    <m/>
    <s v="VIVO"/>
    <s v="VIVO"/>
    <s v="VIVO"/>
    <s v="VIVO"/>
    <m/>
    <m/>
    <m/>
    <s v="NO"/>
    <s v="NA"/>
    <s v="NA"/>
    <m/>
    <s v="FUNCIONAL"/>
    <s v="FUNCIONAL"/>
    <m/>
    <m/>
    <m/>
    <s v="NA"/>
    <m/>
    <m/>
    <s v="NO"/>
    <m/>
    <s v="BASI"/>
    <n v="1.9"/>
    <n v="47"/>
    <s v="NO"/>
    <m/>
    <m/>
    <m/>
    <m/>
    <s v="NO"/>
    <m/>
    <m/>
    <s v="NO"/>
    <m/>
    <m/>
    <m/>
    <m/>
    <m/>
    <m/>
    <m/>
    <n v="0"/>
    <n v="597"/>
    <n v="19.613963039014372"/>
    <n v="1.6344969199178645"/>
  </r>
  <r>
    <x v="0"/>
    <m/>
    <m/>
    <s v="RIÑON"/>
    <x v="1"/>
    <m/>
    <m/>
    <m/>
    <m/>
    <s v="Hermana"/>
    <s v="ALEXANDER"/>
    <s v="RIOS"/>
    <s v="ORTEGA"/>
    <n v="205050369"/>
    <x v="416"/>
    <s v="MASCULINO"/>
    <d v="1975-09-27T00:00:00"/>
    <n v="48.191649555099247"/>
    <m/>
    <m/>
    <m/>
    <m/>
    <s v="COSTA RICA"/>
    <s v="ALAJUELA"/>
    <s v="CENTRAL"/>
    <s v="ALAJUEL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595"/>
    <n v="19.548254620123203"/>
    <n v="1.6290212183436004"/>
  </r>
  <r>
    <x v="0"/>
    <m/>
    <m/>
    <s v="RIÑON"/>
    <x v="1"/>
    <m/>
    <m/>
    <m/>
    <m/>
    <s v="Hijo"/>
    <s v="FAUSTINO GERARDO"/>
    <s v="CAMACHO"/>
    <s v="ARTEAGA"/>
    <n v="502980102"/>
    <x v="417"/>
    <s v="MASCULINO"/>
    <d v="1977-03-26T00:00:00"/>
    <n v="46.715947980835047"/>
    <m/>
    <m/>
    <m/>
    <m/>
    <s v="COSTA RICA"/>
    <s v="GUANACASTE"/>
    <s v="LIBERIA"/>
    <s v="LIBERI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588"/>
    <n v="19.318275154004105"/>
    <n v="1.6098562628336757"/>
  </r>
  <r>
    <x v="2"/>
    <s v="UP2306 - HOSPITAL DR. MAX PERALTA"/>
    <m/>
    <s v="RIÑÓN"/>
    <x v="1"/>
    <s v="NO"/>
    <s v="A+"/>
    <d v="1965-12-29T00:00:00"/>
    <n v="57.968514715947983"/>
    <s v="RELACIONADO CONSANGUINEO"/>
    <m/>
    <m/>
    <m/>
    <n v="106420746"/>
    <x v="418"/>
    <s v="FEMENINO"/>
    <d v="1965-01-07T00:00:00"/>
    <n v="58.943189596167009"/>
    <s v="A+"/>
    <m/>
    <s v="Vasculitis ANCA C"/>
    <s v="DIÁLISIS PERITONEAL"/>
    <s v="COSTA RICA"/>
    <s v="SAN JOSE"/>
    <s v="Tarrazú"/>
    <s v="San Marcos"/>
    <m/>
    <m/>
    <m/>
    <n v="0"/>
    <m/>
    <s v="VIVO"/>
    <s v="VIVO"/>
    <s v="VIVO"/>
    <s v="VIVO"/>
    <m/>
    <m/>
    <m/>
    <s v="NO"/>
    <s v="NA"/>
    <s v="NA"/>
    <m/>
    <s v="FUNCIONAL"/>
    <s v="FUNCIONAL"/>
    <m/>
    <m/>
    <m/>
    <s v="NA"/>
    <m/>
    <m/>
    <s v="NO"/>
    <m/>
    <s v="BASI"/>
    <n v="0.85"/>
    <n v="99"/>
    <s v="NO"/>
    <m/>
    <m/>
    <m/>
    <m/>
    <s v="NO"/>
    <m/>
    <m/>
    <s v="NO"/>
    <m/>
    <m/>
    <m/>
    <m/>
    <m/>
    <m/>
    <m/>
    <n v="0"/>
    <n v="583"/>
    <n v="19.154004106776181"/>
    <n v="1.5961670088980151"/>
  </r>
  <r>
    <x v="3"/>
    <s v="UP2103 - HOSPITAL NACIONAL DE NIÑOS"/>
    <s v="DF.24.2023"/>
    <s v="RIÑON"/>
    <x v="0"/>
    <m/>
    <s v="A+"/>
    <s v="DESCONOCIDA "/>
    <n v="30"/>
    <s v="NO APLICA"/>
    <s v="SANTIAGO DAVID"/>
    <s v="NUÑEZ"/>
    <s v="UGALDE"/>
    <n v="703810027"/>
    <x v="419"/>
    <s v="MASCULINO"/>
    <d v="2013-12-25T00:00:00"/>
    <n v="9.9856262833675569"/>
    <s v="A+"/>
    <m/>
    <s v="INSUFICIENCIA RENAL CRÓNICA V"/>
    <s v="DIALISIS PERITONEAL"/>
    <s v="COSTA RICA"/>
    <s v="LIMON"/>
    <s v="GUACIMO"/>
    <s v="GUACIMO"/>
    <m/>
    <m/>
    <m/>
    <n v="0"/>
    <m/>
    <s v="ADECUADA"/>
    <s v="ADECUADA"/>
    <s v="ADECUADA"/>
    <s v="ADECUADA"/>
    <s v="ADECUADA"/>
    <s v="ADECUADA"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s v="DESCONOCIDA"/>
    <s v="MASCULINO"/>
    <s v="COSTA RICA"/>
    <m/>
    <s v="EN HNN AUN "/>
    <n v="0"/>
    <n v="580.75"/>
    <n v="19.080082135523615"/>
    <n v="1.5900068446269677"/>
  </r>
  <r>
    <x v="1"/>
    <s v="UP2101 - HOSPITAL DR. RAFAEL A. CALDERÓN GUARDIA"/>
    <s v="DF.24.2023 HCG 19-12-2023"/>
    <s v="RIÑON"/>
    <x v="0"/>
    <m/>
    <m/>
    <d v="1993-01-30T00:00:00"/>
    <n v="30"/>
    <m/>
    <s v="MIGUEL ANGEL DEL SOCORRO"/>
    <s v="BOCAM"/>
    <s v="BARRIENTOS"/>
    <n v="700630379"/>
    <x v="419"/>
    <s v="MASCULINO"/>
    <d v="1957-09-22T00:00:00"/>
    <n v="66.242984257357975"/>
    <s v="A+"/>
    <m/>
    <s v="IRC ESTADIO V CAUSA NO FILIADA"/>
    <s v="DIALISIS PERITONEAL"/>
    <s v="COSTA RICA"/>
    <s v="LIMON"/>
    <s v="SIQUIRRES"/>
    <s v="SIQUIRRES"/>
    <m/>
    <m/>
    <m/>
    <n v="34"/>
    <m/>
    <s v="LENTA EVOLUCION CLINICA"/>
    <s v="TORPIDA POR COMPLICACION ISQUEMICA CEREBROVASCULAR"/>
    <m/>
    <m/>
    <m/>
    <m/>
    <m/>
    <s v="SI"/>
    <d v="2024-02-02T00:00:00"/>
    <s v="EVENTO CEREBROVASCULAR, INFARTO DE TALLO"/>
    <m/>
    <s v="FUNCIONAL"/>
    <m/>
    <m/>
    <m/>
    <m/>
    <m/>
    <m/>
    <m/>
    <s v="NO"/>
    <m/>
    <m/>
    <m/>
    <m/>
    <m/>
    <m/>
    <m/>
    <m/>
    <m/>
    <m/>
    <m/>
    <m/>
    <m/>
    <m/>
    <m/>
    <n v="304680557"/>
    <s v="MASCULINO"/>
    <s v="COSTA RICA"/>
    <m/>
    <m/>
    <n v="1"/>
    <n v="43.75"/>
    <n v="1.4373716632443532"/>
    <n v="0.11978097193702943"/>
  </r>
  <r>
    <x v="0"/>
    <m/>
    <m/>
    <s v="RIÑON"/>
    <x v="0"/>
    <m/>
    <m/>
    <m/>
    <m/>
    <s v="cadaverico"/>
    <s v="THOMARY YERIELA"/>
    <s v="RODRIGUEZ"/>
    <s v="MENDOZA"/>
    <n v="2060081944"/>
    <x v="420"/>
    <s v="FEMENINA"/>
    <d v="2006-12-03T00:00:00"/>
    <n v="17.09240246406571"/>
    <m/>
    <m/>
    <m/>
    <m/>
    <s v="NICARAGUA"/>
    <s v="Alajuela, Atenas"/>
    <m/>
    <m/>
    <m/>
    <m/>
    <m/>
    <m/>
    <m/>
    <m/>
    <m/>
    <m/>
    <m/>
    <m/>
    <m/>
    <m/>
    <s v="NO"/>
    <m/>
    <m/>
    <m/>
    <s v="NO FUNCIONAL"/>
    <m/>
    <m/>
    <m/>
    <m/>
    <d v="2024-01-11T00:00:00"/>
    <s v="LACERACIÓN RENAL Y HEMATOMA"/>
    <s v="TRASPLANTECTOMÍA"/>
    <s v="NO"/>
    <m/>
    <m/>
    <m/>
    <m/>
    <m/>
    <m/>
    <m/>
    <m/>
    <m/>
    <s v="NO"/>
    <m/>
    <m/>
    <m/>
    <m/>
    <m/>
    <m/>
    <m/>
    <m/>
    <m/>
    <m/>
    <n v="0"/>
    <n v="564"/>
    <n v="18.529774127310063"/>
    <n v="1.5441478439425051"/>
  </r>
  <r>
    <x v="3"/>
    <s v="UP2103 - HOSPITAL NACIONAL DE NIÑOS"/>
    <s v="DF.07.2024"/>
    <s v="RIÑON"/>
    <x v="0"/>
    <m/>
    <s v="O+"/>
    <s v="DESCONOCIDA "/>
    <n v="40"/>
    <s v="NO APLICA"/>
    <s v="ILANIT TAMARA"/>
    <s v="HIDALGO"/>
    <s v="VARGAS"/>
    <n v="120090288"/>
    <x v="421"/>
    <s v="FEMENINA"/>
    <d v="2007-11-05T00:00:00"/>
    <n v="16.258042436687202"/>
    <s v="O+"/>
    <n v="44749"/>
    <s v="ENFERMEDAD RENAL CRÓNICA V"/>
    <s v="HEMODIALISIS"/>
    <s v="COSTA RICA"/>
    <s v="SAN JOSE"/>
    <s v="MORA"/>
    <s v="TABARCIA"/>
    <m/>
    <m/>
    <m/>
    <n v="0"/>
    <m/>
    <s v="ADECUADA"/>
    <s v="ADECUADA"/>
    <s v="ADECUADA"/>
    <s v="ADECUADA"/>
    <s v="ADECUADA"/>
    <s v="ADECUADA"/>
    <m/>
    <s v="NO"/>
    <m/>
    <m/>
    <m/>
    <s v="FUNCIONAL"/>
    <s v="FUNCIONAL"/>
    <m/>
    <m/>
    <m/>
    <m/>
    <m/>
    <m/>
    <s v="NO"/>
    <m/>
    <m/>
    <m/>
    <m/>
    <m/>
    <m/>
    <m/>
    <m/>
    <m/>
    <m/>
    <m/>
    <m/>
    <m/>
    <m/>
    <m/>
    <s v="DESCONOCIDA"/>
    <s v="MACULINO"/>
    <s v="COSTA RICA"/>
    <m/>
    <s v="EN HNN AUN "/>
    <n v="0"/>
    <n v="531.75"/>
    <n v="17.470225872689937"/>
    <n v="1.4558521560574949"/>
  </r>
  <r>
    <x v="0"/>
    <m/>
    <m/>
    <s v="RIÑON"/>
    <x v="1"/>
    <m/>
    <s v="O+"/>
    <d v="1978-11-18T00:00:00"/>
    <n v="45.144421629021217"/>
    <s v="RELACIONADO NO CONSANGUINEO"/>
    <s v="WALTER ENRIQUE"/>
    <s v="CHAVARRIA"/>
    <s v="CAMPOS"/>
    <n v="401320785"/>
    <x v="422"/>
    <s v="MASCULINO"/>
    <d v="1963-03-22T00:00:00"/>
    <n v="60.804928131416837"/>
    <s v="O+"/>
    <m/>
    <m/>
    <m/>
    <s v="COSTA RICA"/>
    <s v="HEREDIA"/>
    <s v="SANTA BARBARA"/>
    <s v="SANTA BARBARA"/>
    <m/>
    <m/>
    <m/>
    <m/>
    <m/>
    <m/>
    <m/>
    <m/>
    <m/>
    <m/>
    <m/>
    <m/>
    <s v="NO"/>
    <m/>
    <m/>
    <m/>
    <s v="FUNCIONAL"/>
    <s v="FUNCIONAL"/>
    <m/>
    <m/>
    <m/>
    <m/>
    <m/>
    <m/>
    <m/>
    <m/>
    <m/>
    <m/>
    <m/>
    <m/>
    <m/>
    <m/>
    <m/>
    <m/>
    <m/>
    <m/>
    <m/>
    <m/>
    <m/>
    <m/>
    <n v="110190403"/>
    <s v="FEMENINA"/>
    <s v="COSTA RICA"/>
    <s v="AFINIDAD"/>
    <s v="HIJA (O) ADOPTIVO"/>
    <n v="0"/>
    <n v="560"/>
    <n v="18.39835728952772"/>
    <n v="1.5331964407939767"/>
  </r>
  <r>
    <x v="0"/>
    <m/>
    <m/>
    <s v="RIÑON"/>
    <x v="1"/>
    <m/>
    <s v="A+"/>
    <d v="2001-04-07T00:00:00"/>
    <n v="22.798083504449007"/>
    <s v="RELACIONADO CONSANGUINEO"/>
    <s v="ROGER FABRICIO"/>
    <s v="ROJAS"/>
    <s v="LAZO"/>
    <n v="1900107500"/>
    <x v="423"/>
    <s v="MASCULINO"/>
    <d v="1990-06-09T00:00:00"/>
    <n v="33.626283367556468"/>
    <s v="A+"/>
    <m/>
    <m/>
    <m/>
    <s v="HONDURAS"/>
    <s v="Puntarenas, El carmen"/>
    <m/>
    <m/>
    <m/>
    <m/>
    <m/>
    <m/>
    <m/>
    <m/>
    <m/>
    <m/>
    <m/>
    <m/>
    <m/>
    <m/>
    <s v="NO"/>
    <m/>
    <m/>
    <m/>
    <s v="FUNCIONAL"/>
    <s v="FUNCIONAL"/>
    <m/>
    <m/>
    <m/>
    <m/>
    <m/>
    <m/>
    <m/>
    <m/>
    <m/>
    <m/>
    <m/>
    <m/>
    <m/>
    <m/>
    <m/>
    <m/>
    <m/>
    <m/>
    <m/>
    <m/>
    <m/>
    <m/>
    <n v="1010104699"/>
    <s v="MASCULINO"/>
    <s v="NICARAGUA"/>
    <s v="2° GRADO"/>
    <s v="HERMANA (O)"/>
    <n v="0"/>
    <n v="546"/>
    <n v="17.938398357289529"/>
    <n v="1.4948665297741273"/>
  </r>
  <r>
    <x v="1"/>
    <s v="UP2101 - HOSPITAL DR. RAFAEL A. CALDERÓN GUARDIA"/>
    <s v="DF.10.2024 HSJD"/>
    <s v="RIÑON"/>
    <x v="0"/>
    <m/>
    <m/>
    <d v="1983-07-23T00:00:00"/>
    <n v="40"/>
    <m/>
    <s v="RODOLFO"/>
    <s v="SERRANO"/>
    <s v="ARIAS"/>
    <n v="103680380"/>
    <x v="424"/>
    <s v="MASCULINO"/>
    <d v="1949-01-18T00:00:00"/>
    <n v="75.171115674195761"/>
    <s v="O+"/>
    <m/>
    <s v="IRC ESTADIO V"/>
    <s v="DIALISIS PERITONEAL"/>
    <s v="COSTA RICA"/>
    <s v="SAN JOSE"/>
    <s v="SANTA ANA"/>
    <s v="SALITRAL"/>
    <m/>
    <m/>
    <m/>
    <n v="5"/>
    <m/>
    <s v="EXCELENTE EVOLUCION CLINICA"/>
    <s v="LESION RENAL AGUDA POR UROPATIA OBSTRUCTIVA"/>
    <m/>
    <m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111790146"/>
    <s v="FEMENINA"/>
    <s v="COSTA RICA"/>
    <m/>
    <m/>
    <n v="0"/>
    <n v="488.75"/>
    <n v="16.057494866529773"/>
    <n v="1.3381245722108146"/>
  </r>
  <r>
    <x v="2"/>
    <s v="UP2306 - HOSPITAL DR. MAX PERALTA"/>
    <s v="DF.03.2024 HSJD 25-01-2024"/>
    <s v="RIÑÓN"/>
    <x v="0"/>
    <s v="SI"/>
    <m/>
    <m/>
    <n v="124.07186858316221"/>
    <s v="NO RELACIONADO"/>
    <s v="MARCELA ISABEL"/>
    <s v="LEIVA"/>
    <s v="PICADO"/>
    <n v="303250115"/>
    <x v="425"/>
    <s v="FEMENINO"/>
    <d v="1973-04-15T06:00:00"/>
    <n v="50.781656399726216"/>
    <s v="A+"/>
    <m/>
    <s v="NEFRITIS LUPICA"/>
    <s v="DIÁLISIS PERITONEAL"/>
    <s v="COSTA RICA"/>
    <s v="CARTAGO"/>
    <s v="CARTAGO"/>
    <s v="AGUACALIENTE (SAN FRANCISCO)"/>
    <m/>
    <m/>
    <m/>
    <n v="3"/>
    <m/>
    <s v="VIVO"/>
    <s v="VIVO"/>
    <s v="VIVO"/>
    <s v="VIVO"/>
    <m/>
    <m/>
    <m/>
    <s v="NO"/>
    <s v="NA"/>
    <s v="NA"/>
    <m/>
    <s v="FUNCIONAL"/>
    <s v="FUNCIONAL"/>
    <m/>
    <m/>
    <m/>
    <s v="NA"/>
    <m/>
    <m/>
    <s v="NO"/>
    <m/>
    <s v="TIMO"/>
    <n v="1.54"/>
    <n v="42"/>
    <s v="NO"/>
    <m/>
    <m/>
    <m/>
    <m/>
    <s v="NO"/>
    <m/>
    <m/>
    <s v="NO"/>
    <m/>
    <m/>
    <m/>
    <m/>
    <m/>
    <m/>
    <m/>
    <n v="0"/>
    <n v="543.75"/>
    <n v="17.864476386036962"/>
    <n v="1.4887063655030801"/>
  </r>
  <r>
    <x v="3"/>
    <s v="UP2103 - HOSPITAL NACIONAL DE NIÑOS"/>
    <s v="DF.24.2024"/>
    <s v="RIÑON"/>
    <x v="0"/>
    <m/>
    <m/>
    <m/>
    <m/>
    <m/>
    <s v="TIFANNY VALERIA"/>
    <s v="GONZALEZ"/>
    <s v="HERNANDEZ"/>
    <n v="121100331"/>
    <x v="426"/>
    <s v="FEMENINA"/>
    <d v="2011-03-06T00:00:00"/>
    <n v="13.390828199863108"/>
    <s v="O+"/>
    <n v="44503"/>
    <s v="INSUFICIENCIA RENAL CRÓNICA. MIOCARDIOPATÍA DILATADA"/>
    <s v="HEMODIALISIS"/>
    <s v="COSTA RICA"/>
    <s v="SAN JOSE"/>
    <s v="SAN JOSE"/>
    <s v="HATILLO"/>
    <m/>
    <m/>
    <m/>
    <m/>
    <m/>
    <m/>
    <m/>
    <m/>
    <m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m/>
    <m/>
    <m/>
    <m/>
    <m/>
    <n v="0"/>
    <n v="362"/>
    <n v="11.893223819301848"/>
    <n v="0.99110198494182067"/>
  </r>
  <r>
    <x v="1"/>
    <s v="UP2101 - HOSPITAL DR. RAFAEL A. CALDERÓN GUARDIA"/>
    <s v="DF.03.2024 HSJD "/>
    <s v="RIÑON"/>
    <x v="0"/>
    <m/>
    <m/>
    <d v="1984-10-11T00:00:00"/>
    <n v="39"/>
    <m/>
    <s v="MANUEL ANTONIO"/>
    <s v="OVIEDO"/>
    <s v="GARCIA"/>
    <n v="103740777"/>
    <x v="425"/>
    <s v="MASCULINO"/>
    <d v="1949-06-10T00:00:00"/>
    <n v="74.629021218343595"/>
    <s v="O+"/>
    <m/>
    <s v="IRC ESTADIO V "/>
    <s v="DIALISIS PERITONEAL"/>
    <s v="COSTA RICA"/>
    <s v="SAN JOSE"/>
    <s v="CENTRAL"/>
    <s v="CATEDRAL"/>
    <m/>
    <m/>
    <m/>
    <n v="7"/>
    <m/>
    <s v="EXCELENTE EVOLUCION CLINICA"/>
    <s v="EXCELENTE EVOLUCION CLINICA"/>
    <s v="FALLECIDO"/>
    <m/>
    <m/>
    <m/>
    <m/>
    <s v="SI"/>
    <d v="2024-05-22T00:00:00"/>
    <s v="CAUSA NO CONOCIDA. CONSULTÓ A URGENCIAS AREA LOCAL POR DISNEA E HIPERGLICEMIA, LLEGANDO SIN SIGNOS VITALES SEGUN NOTA DE URGENCIAS"/>
    <s v="SI"/>
    <s v="FUNCIONAL"/>
    <m/>
    <m/>
    <m/>
    <m/>
    <m/>
    <m/>
    <m/>
    <s v="NO"/>
    <m/>
    <m/>
    <m/>
    <m/>
    <m/>
    <m/>
    <m/>
    <m/>
    <m/>
    <m/>
    <m/>
    <m/>
    <m/>
    <m/>
    <m/>
    <n v="112310677"/>
    <s v="FEMENINA"/>
    <s v="COSTA RICA"/>
    <m/>
    <m/>
    <n v="1"/>
    <n v="116.75"/>
    <n v="3.8357289527720737"/>
    <n v="0.31964407939767281"/>
  </r>
  <r>
    <x v="0"/>
    <m/>
    <m/>
    <s v="RIÑON"/>
    <x v="1"/>
    <m/>
    <s v="O+"/>
    <d v="1981-07-29T00:00:00"/>
    <n v="42.507871321013006"/>
    <s v="RELACIONADO CONSANGUINEO"/>
    <s v="REBECA"/>
    <s v="MILNER"/>
    <s v="BARQUERO"/>
    <n v="109500523"/>
    <x v="427"/>
    <s v="FEMENINA"/>
    <d v="1976-10-04T00:00:00"/>
    <n v="47.323750855578368"/>
    <s v="O+"/>
    <m/>
    <m/>
    <m/>
    <s v="COSTA RICA"/>
    <s v="HEREDIA"/>
    <s v="SANTO DOMINGO"/>
    <s v="SANTO DOMINGO"/>
    <m/>
    <m/>
    <m/>
    <m/>
    <m/>
    <m/>
    <m/>
    <m/>
    <m/>
    <m/>
    <m/>
    <m/>
    <s v="NO"/>
    <m/>
    <m/>
    <m/>
    <s v="FUNCIONAL"/>
    <s v="FUNCIONAL"/>
    <m/>
    <m/>
    <m/>
    <m/>
    <m/>
    <m/>
    <m/>
    <m/>
    <m/>
    <m/>
    <m/>
    <m/>
    <m/>
    <m/>
    <m/>
    <m/>
    <m/>
    <m/>
    <m/>
    <m/>
    <m/>
    <m/>
    <n v="111120042"/>
    <s v="FEMENINA"/>
    <s v="COSTA RICA"/>
    <s v="2° GRADO"/>
    <s v="HERMANA (O)"/>
    <n v="0"/>
    <n v="539"/>
    <n v="17.708418891170432"/>
    <n v="1.4757015742642026"/>
  </r>
  <r>
    <x v="1"/>
    <s v="UP2101 - HOSPITAL DR. RAFAEL A. CALDERÓN GUARDIA"/>
    <s v="DF.06.2024"/>
    <s v="RIÑON"/>
    <x v="0"/>
    <m/>
    <m/>
    <d v="1972-02-22T00:00:00"/>
    <n v="52"/>
    <m/>
    <s v="VILMA"/>
    <s v="HIDALGO"/>
    <s v="CHAVARRIA"/>
    <n v="104031153"/>
    <x v="428"/>
    <s v="FEMENINA"/>
    <d v="1951-10-30T00:00:00"/>
    <n v="72.252566735112936"/>
    <s v="O+"/>
    <m/>
    <s v="IRC ESTADIO V "/>
    <s v="DIALISIS PERITONEAL"/>
    <s v="COSTA RICA"/>
    <s v="SAN JOSE"/>
    <s v="PURISCAL"/>
    <s v="MERCEDES SUR"/>
    <m/>
    <m/>
    <m/>
    <n v="19"/>
    <m/>
    <s v="EVOLUCION LENTA PERO SATISFACTORIA"/>
    <s v="AVC ISQUEMICO, SHOCK SEPTICO"/>
    <m/>
    <m/>
    <m/>
    <m/>
    <m/>
    <s v="SI"/>
    <d v="2024-03-23T00:00:00"/>
    <s v="SHOCK SEPTICO, AVC ISQUEMICO DERECHO"/>
    <s v="NO"/>
    <s v="FUNCIONAL"/>
    <m/>
    <m/>
    <m/>
    <m/>
    <m/>
    <m/>
    <m/>
    <s v="NO"/>
    <m/>
    <m/>
    <m/>
    <m/>
    <m/>
    <m/>
    <m/>
    <m/>
    <m/>
    <m/>
    <m/>
    <m/>
    <m/>
    <m/>
    <m/>
    <n v="2720098249"/>
    <s v="FEMENINA"/>
    <s v="NICARAGUA"/>
    <m/>
    <m/>
    <n v="1"/>
    <n v="52.75"/>
    <n v="1.7330595482546201"/>
    <n v="0.14442162902121836"/>
  </r>
  <r>
    <x v="0"/>
    <m/>
    <m/>
    <s v="RIÑON"/>
    <x v="0"/>
    <m/>
    <m/>
    <m/>
    <m/>
    <s v="cadaverico"/>
    <s v="JOSE SANTIAGO"/>
    <s v="PALACIOS"/>
    <s v="REYES"/>
    <n v="16564649"/>
    <x v="429"/>
    <s v="MASCULINO"/>
    <d v="1965-06-13T00:00:00"/>
    <n v="58.652977412731005"/>
    <s v="O+"/>
    <m/>
    <m/>
    <m/>
    <s v="NO ESPECIFICADO"/>
    <s v="PUNTARENAS"/>
    <s v="AGUIRRE"/>
    <s v="QUEPOS"/>
    <m/>
    <m/>
    <m/>
    <m/>
    <m/>
    <m/>
    <m/>
    <m/>
    <m/>
    <m/>
    <m/>
    <m/>
    <s v="SI"/>
    <d v="2024-02-21T00:00:00"/>
    <s v="TAQUICARDIA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4"/>
    <n v="0.45995893223819301"/>
    <n v="3.8329911019849415E-2"/>
  </r>
  <r>
    <x v="3"/>
    <s v="UP2103 - HOSPITAL NACIONAL DE NIÑOS"/>
    <s v="DF.02.2024"/>
    <s v="RIÑON"/>
    <x v="0"/>
    <m/>
    <s v="O+"/>
    <s v="DESCONOCIDA "/>
    <n v="29"/>
    <s v="NO APLICA"/>
    <s v="SEBASTIAN"/>
    <s v="TENCIO"/>
    <s v="RODRIGUEZ"/>
    <n v="209250420"/>
    <x v="430"/>
    <s v="MASCULINO"/>
    <d v="2009-11-30T00:00:00"/>
    <n v="14.100616016427105"/>
    <s v="O+"/>
    <n v="44883"/>
    <s v="INSUFICIENCIA RENAL CRÓNICA"/>
    <s v="HEMODIALISIS"/>
    <s v="COSTA RICA"/>
    <s v="ALAJUELA"/>
    <s v="SAN RAMON"/>
    <s v="SANTIAGO"/>
    <m/>
    <m/>
    <m/>
    <n v="0"/>
    <m/>
    <s v="ADECUADA"/>
    <s v="ADECUADA"/>
    <s v="ADECUADA"/>
    <s v="ADECUADA"/>
    <s v="ADECUADA"/>
    <s v="ADECUADA"/>
    <m/>
    <s v="NO"/>
    <m/>
    <m/>
    <m/>
    <s v="FUNCIONAL"/>
    <s v="FUNCIONAL"/>
    <m/>
    <m/>
    <m/>
    <m/>
    <m/>
    <m/>
    <s v="NO"/>
    <m/>
    <m/>
    <m/>
    <m/>
    <m/>
    <m/>
    <m/>
    <m/>
    <m/>
    <m/>
    <m/>
    <m/>
    <m/>
    <m/>
    <m/>
    <s v="DESCONOCIDA"/>
    <s v="MACULINO"/>
    <s v="COSTA RICA"/>
    <m/>
    <s v="EN HNN AUN "/>
    <n v="0"/>
    <n v="563.75"/>
    <n v="18.521560574948666"/>
    <n v="1.5434633812457221"/>
  </r>
  <r>
    <x v="2"/>
    <s v="UP2306 - HOSPITAL DR. MAX PERALTA"/>
    <m/>
    <s v="RIÑÓN"/>
    <x v="1"/>
    <s v="NO"/>
    <s v="O+"/>
    <d v="1993-01-06T06:00:00"/>
    <n v="31.09924709103354"/>
    <s v="RELACIONADO CONSANGUINEO"/>
    <s v="EDER ARTURO"/>
    <s v="VARGAS"/>
    <s v="GUTIERREZ"/>
    <n v="304220224"/>
    <x v="431"/>
    <s v="MASCULINO"/>
    <d v="1987-08-20T06:00:00"/>
    <n v="36.481861738535251"/>
    <s v="O+"/>
    <m/>
    <s v="GLOMERULOPATIA PRIMARIA"/>
    <s v="DIÁLISIS PERITONEAL"/>
    <s v="COSTA RICA"/>
    <s v="CARTAGO"/>
    <s v="CARTAGO"/>
    <s v="AGUACALIENTE (SAN FRANCISCO)"/>
    <m/>
    <m/>
    <m/>
    <n v="0"/>
    <m/>
    <s v="VIVO"/>
    <s v="VIVO"/>
    <s v="VIVO"/>
    <s v="VIVO"/>
    <m/>
    <m/>
    <m/>
    <s v="NO"/>
    <s v="NA"/>
    <s v="NA"/>
    <m/>
    <s v="FUNCIONAL"/>
    <s v="FUNCIONAL"/>
    <m/>
    <m/>
    <m/>
    <s v="NA"/>
    <m/>
    <m/>
    <s v="NO"/>
    <m/>
    <s v="BASI"/>
    <n v="1.65"/>
    <n v="55"/>
    <s v="NO"/>
    <m/>
    <m/>
    <m/>
    <m/>
    <s v="NO"/>
    <m/>
    <m/>
    <s v="NO"/>
    <m/>
    <m/>
    <n v="304670692"/>
    <s v="MASCULINO"/>
    <s v="COSTA RICA"/>
    <s v="2° GRADO"/>
    <s v="HERMANA (O)"/>
    <n v="0"/>
    <n v="526.75"/>
    <n v="17.305954825462013"/>
    <n v="1.4421629021218343"/>
  </r>
  <r>
    <x v="0"/>
    <m/>
    <m/>
    <s v="RIÑON"/>
    <x v="1"/>
    <m/>
    <s v="A+"/>
    <d v="1992-09-17T00:00:00"/>
    <n v="31.408624229979466"/>
    <s v="RELACIONADO CONSANGUINEO"/>
    <s v="RANDY JOHEL"/>
    <s v="MEJIAS"/>
    <s v="LOAIZA"/>
    <n v="114560669"/>
    <x v="432"/>
    <s v="MASCULINO"/>
    <d v="1991-02-15T00:00:00"/>
    <n v="32.996577686516083"/>
    <s v="A+"/>
    <m/>
    <m/>
    <m/>
    <s v="COSTA RICA"/>
    <s v="SAN JOSE"/>
    <s v="DESAMPARADOS"/>
    <s v="SAN MIGUEL"/>
    <m/>
    <m/>
    <m/>
    <m/>
    <m/>
    <m/>
    <m/>
    <m/>
    <m/>
    <m/>
    <m/>
    <m/>
    <s v="NO"/>
    <m/>
    <m/>
    <m/>
    <s v="FUNCIONAL"/>
    <s v="FUNCIONAL"/>
    <m/>
    <m/>
    <m/>
    <m/>
    <m/>
    <m/>
    <m/>
    <m/>
    <m/>
    <m/>
    <m/>
    <m/>
    <m/>
    <m/>
    <m/>
    <m/>
    <m/>
    <m/>
    <m/>
    <m/>
    <m/>
    <m/>
    <n v="115110945"/>
    <s v="MASCULINO"/>
    <s v="COSTA RICA"/>
    <s v="2° GRADO"/>
    <s v="HERMANA (O)"/>
    <n v="0"/>
    <n v="525"/>
    <n v="17.248459958932237"/>
    <n v="1.4373716632443532"/>
  </r>
  <r>
    <x v="0"/>
    <m/>
    <m/>
    <s v="RIÑON"/>
    <x v="0"/>
    <m/>
    <m/>
    <m/>
    <m/>
    <s v="cadaverico"/>
    <s v="ALEJANDRO DE JESUS"/>
    <s v="ALVARADO"/>
    <s v="LEPIZ"/>
    <n v="401710016"/>
    <x v="433"/>
    <s v="MASCULINO"/>
    <d v="1979-05-24T00:00:00"/>
    <n v="44.739219712525667"/>
    <s v="O+"/>
    <m/>
    <m/>
    <m/>
    <s v="COSTA RICA"/>
    <s v="HEREDIA"/>
    <s v="CENTRAL"/>
    <s v="SAN FRANCISCO"/>
    <m/>
    <m/>
    <m/>
    <m/>
    <m/>
    <m/>
    <m/>
    <m/>
    <m/>
    <m/>
    <m/>
    <m/>
    <s v="NO"/>
    <m/>
    <m/>
    <m/>
    <s v="FUNCIONAL"/>
    <s v="FUNCIONAL"/>
    <m/>
    <m/>
    <m/>
    <m/>
    <m/>
    <m/>
    <m/>
    <m/>
    <m/>
    <m/>
    <m/>
    <m/>
    <m/>
    <m/>
    <m/>
    <m/>
    <m/>
    <m/>
    <m/>
    <m/>
    <m/>
    <m/>
    <m/>
    <m/>
    <m/>
    <m/>
    <m/>
    <n v="0"/>
    <n v="521"/>
    <n v="17.117043121149898"/>
    <n v="1.4264202600958247"/>
  </r>
  <r>
    <x v="0"/>
    <m/>
    <m/>
    <s v="RIÑON"/>
    <x v="1"/>
    <m/>
    <s v="O+"/>
    <d v="1975-12-27T00:00:00"/>
    <n v="48.172484599589325"/>
    <s v="RELACIONADO NO CONSANGUINEO"/>
    <s v="OMAR"/>
    <s v="SANCHEZ"/>
    <s v="GAUNA"/>
    <n v="601590079"/>
    <x v="434"/>
    <s v="MASCULINO"/>
    <d v="1961-05-09T00:00:00"/>
    <n v="62.806297056810401"/>
    <s v="O+"/>
    <m/>
    <m/>
    <m/>
    <s v="COSTA RICA"/>
    <s v="SAN JOSE"/>
    <s v="TIBAS"/>
    <s v="ANSELMO LLORENTE"/>
    <m/>
    <m/>
    <m/>
    <m/>
    <m/>
    <m/>
    <m/>
    <m/>
    <m/>
    <m/>
    <m/>
    <m/>
    <s v="NO"/>
    <m/>
    <m/>
    <m/>
    <s v="FUNCIONAL"/>
    <s v="FUNCIONAL"/>
    <m/>
    <m/>
    <m/>
    <m/>
    <m/>
    <m/>
    <m/>
    <m/>
    <m/>
    <m/>
    <m/>
    <m/>
    <m/>
    <m/>
    <m/>
    <m/>
    <m/>
    <m/>
    <m/>
    <m/>
    <m/>
    <m/>
    <n v="109260871"/>
    <s v="FEMENINA"/>
    <s v="COSTA RICA"/>
    <s v="AFINIDAD"/>
    <s v="CONYUGE"/>
    <n v="0"/>
    <n v="511"/>
    <n v="16.788501026694046"/>
    <n v="1.3990417522245038"/>
  </r>
  <r>
    <x v="2"/>
    <s v="UP2306 - HOSPITAL DR. MAX PERALTA"/>
    <m/>
    <s v="RIÑÓN"/>
    <x v="1"/>
    <s v="NO"/>
    <s v="O+"/>
    <d v="2004-08-01T06:00:00"/>
    <n v="19.589322381930184"/>
    <s v="RELACIONADO CONSANGUINEO"/>
    <s v="DAVIS"/>
    <s v="VARGAS"/>
    <s v="CEDEÑO"/>
    <n v="118200941"/>
    <x v="435"/>
    <s v="MASCULINO"/>
    <d v="2001-09-09T06:00:00"/>
    <n v="22.483230663928815"/>
    <s v="O+"/>
    <m/>
    <s v="Mielomeningocele"/>
    <s v="HEMODIÁLISIS"/>
    <s v="COSTA RICA"/>
    <s v="CARTAGO"/>
    <s v="CARTAGO"/>
    <s v="AGUACALIENTE (SAN FRANCISCO)"/>
    <m/>
    <m/>
    <m/>
    <n v="0"/>
    <m/>
    <s v="VIVO"/>
    <s v="VIVO"/>
    <s v="VIVO"/>
    <s v="VIVO"/>
    <m/>
    <m/>
    <m/>
    <s v="NO"/>
    <s v="NA"/>
    <s v="NA"/>
    <m/>
    <s v="FUNCIONAL"/>
    <s v="FUNCIONAL"/>
    <m/>
    <m/>
    <m/>
    <s v="NA"/>
    <m/>
    <m/>
    <s v="NO"/>
    <m/>
    <s v="BASI"/>
    <m/>
    <m/>
    <s v="NO"/>
    <m/>
    <m/>
    <m/>
    <m/>
    <s v="NO"/>
    <m/>
    <m/>
    <s v="NO"/>
    <m/>
    <m/>
    <n v="305530699"/>
    <s v="MASCULINO"/>
    <s v="COSTA RICA"/>
    <s v="4° GRADO"/>
    <s v="PRIMA (O)"/>
    <n v="0"/>
    <n v="505.75"/>
    <n v="16.616016427104721"/>
    <n v="1.3846680355920602"/>
  </r>
  <r>
    <x v="0"/>
    <m/>
    <m/>
    <s v="RIÑON"/>
    <x v="1"/>
    <m/>
    <s v="A+"/>
    <d v="1987-01-11T00:00:00"/>
    <n v="37.149897330595479"/>
    <s v="RELACIONADO CONSANGUINEO"/>
    <s v="RAFAEL ANTONIO"/>
    <s v="MONTERO"/>
    <s v="MORALES"/>
    <n v="106140180"/>
    <x v="436"/>
    <s v="MASCULINO"/>
    <d v="1963-09-30T00:00:00"/>
    <n v="60.432580424366868"/>
    <s v="A+"/>
    <m/>
    <m/>
    <m/>
    <s v="COSTA RICA"/>
    <s v="ALAJUELA"/>
    <s v="CENTRAL"/>
    <s v="ALAJUELA"/>
    <m/>
    <m/>
    <m/>
    <m/>
    <m/>
    <m/>
    <m/>
    <m/>
    <m/>
    <m/>
    <m/>
    <m/>
    <s v="NO"/>
    <m/>
    <m/>
    <m/>
    <s v="FUNCIONAL"/>
    <s v="FUNCIONAL"/>
    <m/>
    <m/>
    <m/>
    <m/>
    <m/>
    <m/>
    <m/>
    <m/>
    <m/>
    <m/>
    <m/>
    <m/>
    <m/>
    <m/>
    <m/>
    <m/>
    <m/>
    <m/>
    <m/>
    <m/>
    <m/>
    <m/>
    <n v="206290265"/>
    <s v="FEMENINA"/>
    <s v="COSTA RICA"/>
    <s v="1° GRADO"/>
    <s v="HIJA/HIJO"/>
    <n v="0"/>
    <n v="504"/>
    <n v="16.558521560574949"/>
    <n v="1.3798767967145791"/>
  </r>
  <r>
    <x v="0"/>
    <m/>
    <m/>
    <s v="RIÑON"/>
    <x v="1"/>
    <m/>
    <s v="O+"/>
    <d v="1990-10-10T00:00:00"/>
    <n v="33.42368240930869"/>
    <s v="RELACIONADO CONSANGUINEO"/>
    <s v="EMILCE DE LA TRINIDAD"/>
    <s v="BALLESTERO"/>
    <s v="MIRANDA"/>
    <n v="106400737"/>
    <x v="437"/>
    <s v="FEMENINA"/>
    <d v="1964-11-25T00:00:00"/>
    <n v="59.296372347707049"/>
    <m/>
    <m/>
    <m/>
    <m/>
    <s v="COSTA RICA"/>
    <s v="San Jose, Pavas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114460244"/>
    <s v="MASCULINO"/>
    <s v="COSTA RICA"/>
    <s v="1° GRADO"/>
    <s v="HIJA/HIJO"/>
    <n v="0"/>
    <n v="497"/>
    <n v="16.328542094455852"/>
    <n v="1.3607118412046544"/>
  </r>
  <r>
    <x v="0"/>
    <m/>
    <m/>
    <s v="RIÑON"/>
    <x v="1"/>
    <m/>
    <s v="A+"/>
    <d v="1991-10-11T00:00:00"/>
    <n v="32.440793976728266"/>
    <s v="RELACIONADO NO CONSANGUINEO"/>
    <s v="PRISCILLA ISABEL"/>
    <s v="HERNANDEZ"/>
    <s v="BOLAÑOS"/>
    <n v="116320261"/>
    <x v="438"/>
    <s v="FEMENINA"/>
    <d v="1996-02-06T00:00:00"/>
    <n v="28.11772758384668"/>
    <m/>
    <m/>
    <m/>
    <m/>
    <s v="COSTA RICA"/>
    <s v="SAN JOSE"/>
    <s v="DESAMPARADOS"/>
    <s v="DESAMPARADO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114800359"/>
    <s v="MASCULINO"/>
    <s v="COSTA RICA"/>
    <s v="AFINIDAD"/>
    <s v="CONYUGE"/>
    <n v="0"/>
    <n v="490"/>
    <n v="16.098562628336754"/>
    <n v="1.3415468856947297"/>
  </r>
  <r>
    <x v="2"/>
    <s v="UP2306 - HOSPITAL DR. MAX PERALTA"/>
    <s v="DF.10.2024"/>
    <s v="RIÑÓN"/>
    <x v="0"/>
    <s v="SI"/>
    <m/>
    <m/>
    <n v="124.22176591375771"/>
    <s v="NO APLICA"/>
    <m/>
    <m/>
    <m/>
    <n v="105700354"/>
    <x v="439"/>
    <s v="FEMENINO"/>
    <d v="1961-03-20T06:00:00"/>
    <n v="63.002737850787135"/>
    <s v="O+"/>
    <m/>
    <s v="Nefropatía hipertensiva"/>
    <s v="HEMODIÁLISIS"/>
    <s v="COSTA RICA"/>
    <s v="SAN JOSE"/>
    <s v="LEON CORTES"/>
    <s v="SAN PABLO"/>
    <m/>
    <m/>
    <m/>
    <n v="0"/>
    <m/>
    <s v="VIVO"/>
    <s v="VIVO"/>
    <s v="VIVO"/>
    <s v="VIVO"/>
    <m/>
    <m/>
    <m/>
    <s v="NO"/>
    <s v="NA"/>
    <s v="NA"/>
    <m/>
    <s v="FUNCIONAL"/>
    <s v="FUNCIONAL"/>
    <m/>
    <m/>
    <m/>
    <s v="NA"/>
    <m/>
    <m/>
    <s v="NO"/>
    <m/>
    <s v="TIMO"/>
    <m/>
    <m/>
    <s v="NO"/>
    <m/>
    <m/>
    <m/>
    <m/>
    <s v="NO"/>
    <m/>
    <m/>
    <s v="NO"/>
    <m/>
    <m/>
    <m/>
    <m/>
    <m/>
    <m/>
    <m/>
    <n v="0"/>
    <n v="489"/>
    <n v="16.06570841889117"/>
    <n v="1.3388090349075976"/>
  </r>
  <r>
    <x v="1"/>
    <s v="UP2101 - HOSPITAL DR. RAFAEL A. CALDERÓN GUARDIA"/>
    <s v="DF.22.2024"/>
    <s v="RIÑON"/>
    <x v="0"/>
    <m/>
    <m/>
    <d v="1956-05-02T00:00:00"/>
    <n v="68"/>
    <m/>
    <s v="MARGARITA ROSA DEL CARMEN"/>
    <s v="SOTO"/>
    <s v="JOHNSON"/>
    <n v="105420110"/>
    <x v="440"/>
    <s v="FEMENINA"/>
    <d v="1956-04-10T00:00:00"/>
    <n v="68.279260780287473"/>
    <s v="O+"/>
    <m/>
    <s v="ERC ESTADIO 5"/>
    <s v="HEMODIALISIS"/>
    <s v="COSTA RICA"/>
    <s v="SAN JOSE"/>
    <s v="MORAVIA"/>
    <s v="LA TRINIDAD"/>
    <m/>
    <m/>
    <m/>
    <n v="2"/>
    <m/>
    <s v="SHOCK DISTRIBUTIVO ETIOLOGIA NO CLARA. SOSPECHA DE ISQUEMIA MESENTERICA"/>
    <m/>
    <m/>
    <m/>
    <m/>
    <m/>
    <m/>
    <s v="SI"/>
    <d v="2024-07-24T00:00:00"/>
    <s v="SHOCK DISTRIBUTIVO ETIOLOGIA NO CLARA, PROBABLE ISQUEMIA MESENTERICA EN EL POSTQUIRURGICO"/>
    <s v="NO"/>
    <s v="FUNCIONAL"/>
    <m/>
    <m/>
    <m/>
    <m/>
    <m/>
    <m/>
    <m/>
    <s v="NO"/>
    <m/>
    <m/>
    <m/>
    <m/>
    <m/>
    <m/>
    <m/>
    <m/>
    <m/>
    <m/>
    <m/>
    <m/>
    <m/>
    <m/>
    <m/>
    <n v="104720138"/>
    <s v="FEMENINA"/>
    <s v="COSTA RICA"/>
    <m/>
    <m/>
    <n v="1"/>
    <n v="3"/>
    <n v="9.856262833675565E-2"/>
    <n v="8.2135523613963042E-3"/>
  </r>
  <r>
    <x v="0"/>
    <m/>
    <m/>
    <s v="RIÑON"/>
    <x v="0"/>
    <m/>
    <m/>
    <m/>
    <m/>
    <s v="Cadaverico"/>
    <s v="BALLARDO JESUS"/>
    <s v="HERNANDEZ"/>
    <s v="HERNANDEZ"/>
    <n v="801080875"/>
    <x v="441"/>
    <s v="MASCULINO"/>
    <d v="1980-12-23T00:00:00"/>
    <n v="43.252566735112936"/>
    <m/>
    <m/>
    <m/>
    <m/>
    <s v="COSTA RICA"/>
    <s v="ALAJUELA"/>
    <s v="SAN CARLOS"/>
    <s v="QUESAD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485"/>
    <n v="15.93429158110883"/>
    <n v="1.3278576317590691"/>
  </r>
  <r>
    <x v="1"/>
    <s v="UP2101 - HOSPITAL DR. RAFAEL A. CALDERÓN GUARDIA"/>
    <s v="DF.13.2024 HCG"/>
    <s v="RIÑON"/>
    <x v="0"/>
    <m/>
    <m/>
    <d v="1994-05-05T00:00:00"/>
    <n v="30"/>
    <m/>
    <s v="LUIS FERNANDO DE LA TRINIDAD"/>
    <s v="VARGAS"/>
    <s v="ALVARADO"/>
    <n v="105540318"/>
    <x v="442"/>
    <s v="MASCULINO"/>
    <d v="1961-03-02T00:00:00"/>
    <n v="63.230663928815879"/>
    <s v="A+"/>
    <m/>
    <s v="ERC ESTADIO V"/>
    <s v="HEMODIALISIS"/>
    <s v="COSTA RICA"/>
    <s v="SAN JOSE"/>
    <s v="GOICOECHEA"/>
    <s v="GUADALUPE"/>
    <m/>
    <m/>
    <m/>
    <n v="9"/>
    <m/>
    <s v="EXCELENTE EVOLUCION CLINICA"/>
    <s v="EXCELENTE EVOLUCION CLINICA"/>
    <m/>
    <m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115690348"/>
    <s v="MASCULINO"/>
    <s v="COSTA RICA"/>
    <m/>
    <m/>
    <n v="0"/>
    <n v="424"/>
    <n v="13.930184804928132"/>
    <n v="1.160848733744011"/>
  </r>
  <r>
    <x v="2"/>
    <s v="UP2306 - HOSPITAL DR. MAX PERALTA"/>
    <s v="DF.12.2024"/>
    <s v="RIÑÓN"/>
    <x v="0"/>
    <s v="SI"/>
    <m/>
    <m/>
    <n v="124.23613963039014"/>
    <s v="NO APLICA"/>
    <m/>
    <m/>
    <m/>
    <n v="303450110"/>
    <x v="443"/>
    <s v="FEMENINO"/>
    <d v="1977-01-13T06:00:00"/>
    <n v="47.197809719370291"/>
    <s v="A+"/>
    <m/>
    <s v="Nefropatía hipertensiva"/>
    <s v="HEMODIÁLISIS"/>
    <s v="COSTA RICA"/>
    <s v="CARTAGO"/>
    <s v="EL GUARCO"/>
    <s v="TEJAR"/>
    <m/>
    <m/>
    <m/>
    <n v="0"/>
    <m/>
    <s v="VIVO"/>
    <s v="VIVO"/>
    <s v="VIVO"/>
    <s v="VIVO"/>
    <m/>
    <m/>
    <m/>
    <s v="NO"/>
    <s v="NA"/>
    <s v="NA"/>
    <m/>
    <s v="FUNCIONAL"/>
    <s v="FUNCIONAL"/>
    <m/>
    <m/>
    <m/>
    <s v="NA"/>
    <m/>
    <m/>
    <s v="NO"/>
    <m/>
    <s v="TIMO"/>
    <n v="0.76"/>
    <n v="97"/>
    <s v="NO"/>
    <m/>
    <m/>
    <m/>
    <m/>
    <s v="NO"/>
    <m/>
    <m/>
    <s v="NO"/>
    <m/>
    <m/>
    <m/>
    <m/>
    <m/>
    <m/>
    <m/>
    <n v="0"/>
    <n v="483.75"/>
    <n v="15.893223819301848"/>
    <n v="1.324435318275154"/>
  </r>
  <r>
    <x v="0"/>
    <m/>
    <m/>
    <s v="RIÑON"/>
    <x v="1"/>
    <m/>
    <s v="O+"/>
    <d v="1978-12-15T00:00:00"/>
    <n v="45.338809034907598"/>
    <s v="RELACIONADO NO CONSANGUINEO"/>
    <s v="EFRAIN"/>
    <s v="RODRIGUEZ"/>
    <s v="SEVILLA"/>
    <n v="502650292"/>
    <x v="444"/>
    <s v="MASCULINO"/>
    <d v="1971-01-22T00:00:00"/>
    <n v="53.234770704996578"/>
    <s v="AB+"/>
    <m/>
    <m/>
    <m/>
    <s v="COSTA RICA"/>
    <s v="GUANACASTE"/>
    <s v="LIBERIA"/>
    <s v="CURUBANDE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503110546"/>
    <s v="MASCULINO"/>
    <s v="COSTA RICA"/>
    <s v="AFINIDAD"/>
    <s v="CONYUGE"/>
    <n v="0"/>
    <n v="462"/>
    <n v="15.178644763860369"/>
    <n v="1.2648870636550309"/>
  </r>
  <r>
    <x v="0"/>
    <m/>
    <m/>
    <s v="RIÑON"/>
    <x v="1"/>
    <m/>
    <s v="O-"/>
    <d v="2003-07-05T00:00:00"/>
    <n v="20.804928131416837"/>
    <s v="RELACIONADO CONSANGUINEO"/>
    <s v="HELLEN MARIA"/>
    <s v="SOLERA"/>
    <s v="HERRERA"/>
    <n v="205920793"/>
    <x v="445"/>
    <s v="FEMENINA"/>
    <d v="1984-03-30T00:00:00"/>
    <n v="40.068446269678304"/>
    <m/>
    <m/>
    <m/>
    <m/>
    <s v="COSTA RICA"/>
    <s v="ALAJUELA"/>
    <s v="CENTRAL"/>
    <s v="ALAJUEL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208430134"/>
    <s v="FEMENINA"/>
    <s v="COSTA RICA"/>
    <s v="1° GRADO"/>
    <s v="HIJA/HIJO"/>
    <n v="0"/>
    <n v="455"/>
    <n v="14.948665297741274"/>
    <n v="1.2457221081451062"/>
  </r>
  <r>
    <x v="1"/>
    <s v="UP2101 - HOSPITAL DR. RAFAEL A. CALDERÓN GUARDIA"/>
    <m/>
    <s v="RIÑON"/>
    <x v="1"/>
    <m/>
    <s v="O+"/>
    <d v="1980-12-26T06:00:00"/>
    <n v="43.397672826830934"/>
    <s v="RELACIONADO CONSANGUINEO"/>
    <s v="JOSE MANUEL"/>
    <s v="OBANDO"/>
    <s v="VARGAS"/>
    <n v="108720995"/>
    <x v="446"/>
    <s v="MASCULINO"/>
    <d v="1974-03-05T00:00:00"/>
    <n v="50.210130047912386"/>
    <s v="O+"/>
    <m/>
    <s v=" ERC ESTADIO V"/>
    <s v="DIALISIS PERITONEAL"/>
    <s v="COSTA RICA"/>
    <s v="SAN JOSE"/>
    <s v="MONTES DE OCA"/>
    <s v="SABANILLA"/>
    <m/>
    <m/>
    <m/>
    <n v="5"/>
    <m/>
    <s v="VIVO"/>
    <s v="VIVO"/>
    <s v="VIVO"/>
    <m/>
    <m/>
    <m/>
    <m/>
    <s v="NO"/>
    <m/>
    <m/>
    <m/>
    <s v="FUNCIONAL"/>
    <m/>
    <m/>
    <m/>
    <m/>
    <m/>
    <m/>
    <m/>
    <s v="NO"/>
    <s v="BASILIXIMAB"/>
    <m/>
    <m/>
    <m/>
    <s v="NO"/>
    <m/>
    <m/>
    <m/>
    <m/>
    <s v="NO"/>
    <m/>
    <m/>
    <m/>
    <m/>
    <m/>
    <n v="110910535"/>
    <s v="FEMENINA"/>
    <s v="COSTA RICA"/>
    <s v="2° GRADO"/>
    <s v="HERMANA (O)"/>
    <n v="0"/>
    <n v="428.75"/>
    <n v="14.086242299794661"/>
    <n v="1.1738535249828885"/>
  </r>
  <r>
    <x v="1"/>
    <s v="UP2101 - HOSPITAL DR. RAFAEL A. CALDERÓN GUARDIA"/>
    <s v="DF.06.2024"/>
    <s v="RIÑON"/>
    <x v="0"/>
    <m/>
    <m/>
    <d v="1972-02-22T00:00:00"/>
    <n v="52"/>
    <m/>
    <s v="JOSE EDUARDO"/>
    <s v="HERNANDEZ"/>
    <s v="FERNANDEZ"/>
    <n v="106770721"/>
    <x v="447"/>
    <s v="MASCULINO"/>
    <d v="1966-07-17T00:00:00"/>
    <n v="57.542094455852158"/>
    <s v="O+"/>
    <m/>
    <s v="IRC ESTADIO V "/>
    <s v="DIALISIS PERITONEAL"/>
    <s v="COSTA RICA"/>
    <s v="SAN JOSE"/>
    <s v="CORONADO"/>
    <s v="DULCE NOMBRE DE JESUS"/>
    <m/>
    <m/>
    <m/>
    <n v="0"/>
    <m/>
    <s v="TORPIDA EVOLUCION"/>
    <m/>
    <m/>
    <m/>
    <m/>
    <m/>
    <m/>
    <s v="SI"/>
    <d v="2024-01-31T00:00:00"/>
    <s v="CHOQUE SÉPTICO REFRACTARIO"/>
    <s v="NO"/>
    <s v="FUNCIONAL"/>
    <m/>
    <m/>
    <m/>
    <m/>
    <m/>
    <m/>
    <m/>
    <s v="NO"/>
    <m/>
    <m/>
    <m/>
    <m/>
    <m/>
    <m/>
    <m/>
    <m/>
    <m/>
    <m/>
    <m/>
    <m/>
    <m/>
    <m/>
    <m/>
    <n v="2720098249"/>
    <s v="FEMENINA"/>
    <s v="NICARAGUA"/>
    <m/>
    <m/>
    <n v="1"/>
    <n v="-0.25"/>
    <n v="-8.2135523613963042E-3"/>
    <n v="-6.8446269678302531E-4"/>
  </r>
  <r>
    <x v="4"/>
    <s v="UP2102 - HOSPITAL SAN JUAN DE DIOS"/>
    <s v="DF.28.2024 HM 08/10/2024"/>
    <s v="RIÑON"/>
    <x v="0"/>
    <s v="NO"/>
    <m/>
    <m/>
    <m/>
    <m/>
    <s v="JORGE"/>
    <s v="LOAIZA"/>
    <s v="MESEN"/>
    <n v="104790798"/>
    <x v="448"/>
    <s v="MASCULINO"/>
    <d v="1957-08-08T00:00:00"/>
    <n v="67.156741957563312"/>
    <s v="A+"/>
    <m/>
    <s v="ERC ESTADÍO V"/>
    <m/>
    <s v="COSTA RICA"/>
    <s v="SAN JOSE"/>
    <s v="DESAMPARADOS"/>
    <s v="SAN ANTONI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2"/>
    <n v="9.593429158110883"/>
    <n v="0.79945242984257359"/>
  </r>
  <r>
    <x v="0"/>
    <m/>
    <m/>
    <s v="RIÑON"/>
    <x v="1"/>
    <m/>
    <s v="O+"/>
    <d v="1984-02-15T00:00:00"/>
    <n v="40.284736481861735"/>
    <s v="RELACIONADO NO CONSANGUINEO"/>
    <s v="WILLIAM EDUARDO"/>
    <s v="RODRIGUEZ"/>
    <s v="MEJIA"/>
    <n v="109860591"/>
    <x v="449"/>
    <s v="MASCULINO"/>
    <d v="1977-11-23T00:00:00"/>
    <n v="46.513347022587268"/>
    <s v="AB+"/>
    <m/>
    <m/>
    <m/>
    <s v="COSTA RICA"/>
    <s v="HEREDIA"/>
    <s v="SANTA BARBARA"/>
    <s v="SANTA BARBAR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401830027"/>
    <s v="FEMENINA"/>
    <s v="COSTA RICA"/>
    <s v="AFINIDAD"/>
    <s v="CONYUGE"/>
    <n v="0"/>
    <n v="420"/>
    <n v="13.798767967145791"/>
    <n v="1.1498973305954825"/>
  </r>
  <r>
    <x v="0"/>
    <m/>
    <m/>
    <s v="RIÑON"/>
    <x v="0"/>
    <m/>
    <m/>
    <m/>
    <m/>
    <s v="cadaverico"/>
    <s v="ORLANDO JOSE"/>
    <s v="REYES"/>
    <s v="GAZO"/>
    <n v="1830101913"/>
    <x v="450"/>
    <s v="MASCULINO"/>
    <d v="1983-01-31T00:00:00"/>
    <n v="41.355236139630392"/>
    <m/>
    <m/>
    <m/>
    <m/>
    <s v="NICARAGUA"/>
    <s v="HEREDIA"/>
    <s v="SAN PABLO"/>
    <s v="SAN PABL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409"/>
    <n v="13.437371663244353"/>
    <n v="1.1197809719370295"/>
  </r>
  <r>
    <x v="4"/>
    <s v="UP2102 - HOSPITAL SAN JUAN DE DIOS"/>
    <s v="DF.27.2024"/>
    <s v="RIÑON"/>
    <x v="0"/>
    <s v="NO"/>
    <s v="O+"/>
    <d v="2005-09-10T00:00:00"/>
    <n v="19.030800821355236"/>
    <s v="NINGUNA"/>
    <s v="ILEANA MARIA"/>
    <s v="MORALES"/>
    <s v="MONGE"/>
    <n v="107740261"/>
    <x v="451"/>
    <s v="FEMENINO"/>
    <d v="1944-07-25T00:00:00"/>
    <n v="80.158795345653658"/>
    <s v="B+"/>
    <n v="44280"/>
    <s v="ERC ESTADÍO V"/>
    <s v="DIALISIS PERITONEAL"/>
    <s v="COSTA RICA"/>
    <s v="SAN JOSE"/>
    <s v="DESAMPARADOS"/>
    <s v="DESAMPARADOS"/>
    <n v="6.46"/>
    <m/>
    <m/>
    <n v="1"/>
    <m/>
    <s v="FALLECIDO"/>
    <s v="FALLECIDO"/>
    <s v="FALLECIDO"/>
    <s v="FALLECIDO"/>
    <s v="FALLECIDO"/>
    <s v="FALLECIDO"/>
    <s v="FALLECIDO"/>
    <s v="SI"/>
    <d v="2024-09-22T00:00:00"/>
    <s v="SHOCK CARDIOGÉNICO – FALLA CARDIACA"/>
    <s v="NO"/>
    <s v="N/A"/>
    <s v="N/A"/>
    <s v="N/A"/>
    <s v="N/A"/>
    <s v="N/A"/>
    <s v="N/A"/>
    <s v="N/A"/>
    <m/>
    <s v="NO"/>
    <m/>
    <s v="TIMOGLOBULINA"/>
    <s v="N/A"/>
    <s v="N/A"/>
    <s v="NO"/>
    <m/>
    <m/>
    <m/>
    <s v="NO"/>
    <s v="NO"/>
    <s v="N/A"/>
    <m/>
    <s v="NO"/>
    <s v="N/A"/>
    <s v="N/A"/>
    <n v="119450385"/>
    <s v="MASCULINO"/>
    <s v="COSTARRICENSE"/>
    <m/>
    <s v="DONANTE CADAVÉRICO – AUTOPSIA N.º 39112"/>
    <n v="1"/>
    <n v="1"/>
    <n v="3.2854209445585217E-2"/>
    <n v="2.7378507871321013E-3"/>
  </r>
  <r>
    <x v="1"/>
    <s v="UP2101 - HOSPITAL DR. RAFAEL A. CALDERÓN GUARDIA"/>
    <m/>
    <s v="RIÑON"/>
    <x v="1"/>
    <m/>
    <s v="O+"/>
    <d v="1996-05-07T06:00:00"/>
    <n v="28.093086926762492"/>
    <s v="RELACIONADO CONSANGUINEO"/>
    <s v="LESTER JAVIER"/>
    <s v="CUBERO"/>
    <s v="ESTRADA"/>
    <n v="702290018"/>
    <x v="452"/>
    <s v="MASCULINO"/>
    <d v="1994-07-23T00:00:00"/>
    <n v="29.884325804243669"/>
    <s v="O+"/>
    <m/>
    <s v="ERC ESTADIO V"/>
    <s v="DIALISIS PERITONEAL"/>
    <s v="COSTA RICA"/>
    <s v="LIMON"/>
    <s v="POCOSI"/>
    <s v="RITA"/>
    <m/>
    <m/>
    <n v="1.2"/>
    <n v="4"/>
    <m/>
    <s v="VIVO"/>
    <s v="VIVO"/>
    <s v="VIVO"/>
    <m/>
    <m/>
    <m/>
    <m/>
    <s v="NO"/>
    <m/>
    <m/>
    <m/>
    <s v="FUNCIONAL"/>
    <m/>
    <m/>
    <m/>
    <m/>
    <m/>
    <m/>
    <m/>
    <s v="NO"/>
    <s v="BASILIXIMAB"/>
    <m/>
    <m/>
    <m/>
    <s v="NO"/>
    <m/>
    <m/>
    <m/>
    <m/>
    <s v="NO"/>
    <m/>
    <m/>
    <m/>
    <m/>
    <m/>
    <n v="702440217"/>
    <s v="FEMENINA"/>
    <s v="COSTA RICA"/>
    <s v="2° GRADO"/>
    <s v="HERMANA (O)"/>
    <n v="0"/>
    <n v="407.75"/>
    <n v="13.396303901437372"/>
    <n v="1.1163586584531142"/>
  </r>
  <r>
    <x v="0"/>
    <m/>
    <m/>
    <s v="RIÑON"/>
    <x v="0"/>
    <m/>
    <m/>
    <m/>
    <m/>
    <s v="Cadaverico"/>
    <s v="ROXANA MARCELA"/>
    <s v="TOBAL"/>
    <s v="ALEGRIA"/>
    <n v="504050732"/>
    <x v="453"/>
    <s v="FEMENINA"/>
    <d v="1984-12-13T00:00:00"/>
    <n v="39.493497604380565"/>
    <s v="O+"/>
    <m/>
    <m/>
    <m/>
    <s v="COSTA RICA"/>
    <s v="Guanacaste, La cruz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407"/>
    <n v="13.371663244353183"/>
    <n v="1.1143052703627652"/>
  </r>
  <r>
    <x v="0"/>
    <m/>
    <m/>
    <s v="RIÑON"/>
    <x v="1"/>
    <m/>
    <s v="O+"/>
    <d v="1986-08-24T00:00:00"/>
    <n v="37.80150581793292"/>
    <s v="RELACIONADO NO CONSANGUINEO"/>
    <s v="GIOVANNY DEL SOCORRO"/>
    <s v="TALAVERA"/>
    <s v="PEDROZA"/>
    <n v="801340226"/>
    <x v="454"/>
    <s v="FEMENINA"/>
    <d v="1985-11-23T00:00:00"/>
    <n v="38.551676933607119"/>
    <m/>
    <m/>
    <m/>
    <m/>
    <s v="COSTA RICA"/>
    <s v="Guacaste, Nandayur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206250246"/>
    <s v="MASCULINO"/>
    <s v="COSTA RICA"/>
    <s v="AFINIDAD"/>
    <s v="CONYUGE"/>
    <n v="0"/>
    <n v="406"/>
    <n v="13.338809034907598"/>
    <n v="1.1115674195756331"/>
  </r>
  <r>
    <x v="4"/>
    <s v="UP2102 - HOSPITAL SAN JUAN DE DIOS"/>
    <s v="N/A"/>
    <s v="RIÑON"/>
    <x v="1"/>
    <s v="NO"/>
    <s v="B+"/>
    <d v="1968-12-05T00:00:00"/>
    <n v="55.518822724161531"/>
    <s v="RELACIONADO CONSANGUINEO"/>
    <s v="GLEN AQUILES"/>
    <s v="VARGAS"/>
    <s v="CASTILLO"/>
    <n v="204590310"/>
    <x v="455"/>
    <s v="MASCULINO"/>
    <d v="1970-05-14T06:00:00"/>
    <n v="54.0807665982204"/>
    <s v="O+"/>
    <d v="2019-10-10T00:00:00"/>
    <s v="ERC ESTADÍO V"/>
    <s v="HEMODIALISIS"/>
    <s v="COSTA RICA"/>
    <s v="ALAJUELA"/>
    <s v="PALMARES"/>
    <s v="PALMARES"/>
    <n v="1.06"/>
    <m/>
    <m/>
    <n v="2"/>
    <m/>
    <s v="VIVO"/>
    <s v="VIVO"/>
    <m/>
    <m/>
    <m/>
    <m/>
    <m/>
    <s v="NO"/>
    <m/>
    <s v="N/A"/>
    <m/>
    <s v="FUNCIONAL"/>
    <m/>
    <m/>
    <m/>
    <m/>
    <m/>
    <m/>
    <m/>
    <s v="SI"/>
    <d v="2024-06-25T00:00:00"/>
    <s v="BASILIXIMAB"/>
    <m/>
    <m/>
    <s v="NO"/>
    <m/>
    <m/>
    <m/>
    <s v="NO"/>
    <s v="NO"/>
    <s v="N/A"/>
    <m/>
    <s v="NO"/>
    <s v="N/A"/>
    <s v="N/A"/>
    <n v="107340620"/>
    <s v="MASCULINO"/>
    <s v="COSTA RICA"/>
    <s v="2° GRADO"/>
    <s v="HERMANA (O)"/>
    <n v="0"/>
    <n v="405.75"/>
    <n v="13.330595482546201"/>
    <n v="1.1108829568788501"/>
  </r>
  <r>
    <x v="2"/>
    <s v="UP2306 - HOSPITAL DR. MAX PERALTA"/>
    <m/>
    <s v="RIÑÓN"/>
    <x v="1"/>
    <s v="NO"/>
    <s v="O+"/>
    <d v="1990-05-25T00:00:00"/>
    <n v="34.064339493497606"/>
    <s v="RELACIONADO CONSANGUINEO"/>
    <s v="RICK JAVIER"/>
    <s v="MONTERO"/>
    <s v="CORDERO"/>
    <n v="117310811"/>
    <x v="456"/>
    <s v="MASCULINO"/>
    <d v="1999-01-11T00:00:00"/>
    <n v="25.43189596167009"/>
    <s v="O+"/>
    <m/>
    <s v="Glomerulopatía primaria"/>
    <s v="DIÁLISIS PERITONEAL"/>
    <s v="COSTA RICA"/>
    <s v="SAN JOSE"/>
    <s v="LEON CORTES"/>
    <s v="SAN PABLO"/>
    <m/>
    <m/>
    <m/>
    <n v="0"/>
    <m/>
    <s v="VIVO"/>
    <s v="VIVO"/>
    <s v="VIVO"/>
    <m/>
    <m/>
    <m/>
    <m/>
    <s v="NO"/>
    <s v="NA"/>
    <s v="NA"/>
    <m/>
    <s v="FUNCIONAL"/>
    <m/>
    <m/>
    <m/>
    <m/>
    <s v="NA"/>
    <m/>
    <m/>
    <s v="NO"/>
    <m/>
    <s v="BASI"/>
    <m/>
    <m/>
    <s v="NO"/>
    <m/>
    <m/>
    <m/>
    <m/>
    <s v="SI"/>
    <n v="45552"/>
    <s v="BK"/>
    <s v="NO"/>
    <m/>
    <m/>
    <n v="304500465"/>
    <s v="FEMENINA"/>
    <s v="COSTA RICA"/>
    <s v="2° GRADO"/>
    <s v="HERMANA (O)"/>
    <n v="0"/>
    <n v="401"/>
    <n v="13.174537987679672"/>
    <n v="1.0978781656399725"/>
  </r>
  <r>
    <x v="1"/>
    <s v="UP2101 - HOSPITAL DR. RAFAEL A. CALDERÓN GUARDIA"/>
    <m/>
    <s v="RIÑON"/>
    <x v="1"/>
    <m/>
    <s v="A+"/>
    <d v="1974-11-24T00:00:00"/>
    <n v="49.582477754962355"/>
    <s v="RELACIONADO CONSANGUINEO"/>
    <s v="LUIS GERARDO"/>
    <s v="CHACON"/>
    <s v="BALLESTERO"/>
    <n v="109320936"/>
    <x v="457"/>
    <s v="MASCULINO"/>
    <d v="1976-03-17T00:00:00"/>
    <n v="48.271047227926076"/>
    <s v="A+"/>
    <m/>
    <s v="ERC ESTADIO 5"/>
    <s v="HEMODIALISIS"/>
    <s v="COSTA RICA"/>
    <s v="SAN JOSE"/>
    <s v="GOICOECHEA"/>
    <s v="GUADALUPE"/>
    <m/>
    <m/>
    <n v="1.3"/>
    <n v="9"/>
    <m/>
    <s v="VIVO"/>
    <s v="VIVO"/>
    <s v="VIVO"/>
    <m/>
    <m/>
    <m/>
    <m/>
    <s v="NO"/>
    <m/>
    <m/>
    <m/>
    <s v="FUNCIONAL"/>
    <m/>
    <m/>
    <m/>
    <m/>
    <m/>
    <m/>
    <m/>
    <s v="NO"/>
    <s v="BASILIXIMAB"/>
    <m/>
    <m/>
    <m/>
    <s v="NO"/>
    <m/>
    <m/>
    <m/>
    <m/>
    <s v="SI"/>
    <d v="2024-07-01T00:00:00"/>
    <m/>
    <m/>
    <m/>
    <m/>
    <n v="108940867"/>
    <s v="FEMENINA"/>
    <s v="COSTA RICA"/>
    <s v="2° GRADO"/>
    <s v="HERMANA (O)"/>
    <n v="0"/>
    <n v="394"/>
    <n v="12.944558521560575"/>
    <n v="1.0787132101300478"/>
  </r>
  <r>
    <x v="0"/>
    <m/>
    <m/>
    <s v="RIÑON"/>
    <x v="0"/>
    <m/>
    <m/>
    <m/>
    <m/>
    <s v="Cadaverico"/>
    <s v="JOSE DE LA CRUZ"/>
    <s v="LAZO"/>
    <s v="VALLE"/>
    <n v="18959092"/>
    <x v="458"/>
    <s v="MASCULINO"/>
    <d v="1989-07-19T00:00:00"/>
    <n v="34.965092402464066"/>
    <m/>
    <m/>
    <m/>
    <m/>
    <s v="NICARAGUA"/>
    <s v="Heredia, Santo Domingo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82"/>
    <n v="12.550308008213552"/>
    <n v="1.0458590006844628"/>
  </r>
  <r>
    <x v="4"/>
    <s v="UP2102 - HOSPITAL SAN JUAN DE DIOS"/>
    <s v="DF.30-2024 HCG"/>
    <s v="RIÑON"/>
    <x v="0"/>
    <s v="NO"/>
    <m/>
    <m/>
    <m/>
    <m/>
    <s v="MANUEL ENRIQUE"/>
    <s v="SANDI"/>
    <s v="CASTRO"/>
    <n v="109910002"/>
    <x v="459"/>
    <s v="MASCULINO"/>
    <d v="1978-01-08T00:00:00"/>
    <n v="46.951403148528406"/>
    <s v="A+"/>
    <m/>
    <s v="ERC ESTADIO 5 "/>
    <m/>
    <s v="COSTA RICA"/>
    <s v="SAN JOSE"/>
    <s v="MORA"/>
    <s v="GUAYAV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4"/>
    <n v="7.0308008213552364"/>
    <n v="0.58590006844626963"/>
  </r>
  <r>
    <x v="4"/>
    <s v="UP2102 - HOSPITAL SAN JUAN DE DIOS"/>
    <s v="DF.13.2024 HCG 24-05-2024"/>
    <s v="RIÑON"/>
    <x v="0"/>
    <s v="NO"/>
    <s v="A+"/>
    <d v="1994-05-05T00:00:00"/>
    <n v="30.056810403832991"/>
    <s v="NINGUNA"/>
    <s v="MARLON ALBERTO"/>
    <s v="SEQUEIRA"/>
    <s v="USEDA"/>
    <n v="113610572"/>
    <x v="460"/>
    <s v="MASCULINO"/>
    <d v="1988-08-18T06:00:00"/>
    <n v="35.767282683093768"/>
    <s v="A+"/>
    <d v="2017-08-10T00:00:00"/>
    <s v="ERC ESTADÍO V"/>
    <s v="DIALISIS PERITONEAL"/>
    <s v="COSTA RICA"/>
    <s v="SAN JOSE"/>
    <s v="ESCAZU"/>
    <s v="SAN ANTONIO"/>
    <n v="5.48"/>
    <m/>
    <m/>
    <n v="5"/>
    <m/>
    <s v="VIVO"/>
    <s v="VIVO"/>
    <m/>
    <m/>
    <m/>
    <m/>
    <m/>
    <s v="NO"/>
    <m/>
    <s v="N/A"/>
    <m/>
    <s v="FUNCIONAL"/>
    <m/>
    <m/>
    <m/>
    <m/>
    <s v="N/A"/>
    <m/>
    <m/>
    <s v="NO"/>
    <m/>
    <s v="TIMOGLOBULINA"/>
    <m/>
    <m/>
    <s v="NO"/>
    <m/>
    <m/>
    <m/>
    <s v="NO"/>
    <s v="NO"/>
    <s v="N/A"/>
    <m/>
    <s v="NO"/>
    <s v="N/A"/>
    <s v="N/A"/>
    <n v="115690348"/>
    <s v="MASCULINO"/>
    <s v="COSTARRICENSE"/>
    <m/>
    <s v="DONANTE CADAVÉRICO"/>
    <n v="0"/>
    <n v="423.75"/>
    <n v="13.921971252566735"/>
    <n v="1.160164271047228"/>
  </r>
  <r>
    <x v="0"/>
    <m/>
    <m/>
    <s v="RIÑON"/>
    <x v="1"/>
    <m/>
    <s v="O+"/>
    <d v="1983-04-27T00:00:00"/>
    <n v="41.204654346338124"/>
    <s v="RELACIONADO CONSANGUINEO"/>
    <s v="ANETH PATRCIA"/>
    <s v="REYES"/>
    <s v="CARMONA"/>
    <n v="2060081619"/>
    <x v="461"/>
    <s v="FEMENINA"/>
    <d v="2006-12-24T00:00:00"/>
    <n v="17.544147843942504"/>
    <s v="O+"/>
    <m/>
    <m/>
    <m/>
    <s v="NICARAGUA"/>
    <s v="Alajuela, Alajuela, San Rafael 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2830101559"/>
    <s v="FEMENINA"/>
    <s v="NICARAGUA"/>
    <s v="1° GRADO"/>
    <s v="MADRE/PADRE"/>
    <n v="0"/>
    <n v="378"/>
    <n v="12.418891170431211"/>
    <n v="1.0349075975359343"/>
  </r>
  <r>
    <x v="2"/>
    <s v="UP2306 - HOSPITAL DR. MAX PERALTA"/>
    <m/>
    <s v="RIÑÓN"/>
    <x v="1"/>
    <s v="NO"/>
    <s v="A+"/>
    <d v="1984-10-16T00:00:00"/>
    <n v="39.745379876796711"/>
    <s v="RELACIONADO CONSANGUINEO"/>
    <s v="KARINA"/>
    <s v="VALVERDE"/>
    <s v="CHAVES"/>
    <n v="304120754"/>
    <x v="462"/>
    <s v="FEMENINO"/>
    <d v="1986-07-27T00:00:00"/>
    <n v="37.968514715947983"/>
    <s v="A+"/>
    <m/>
    <s v="Glomerulopatía primaria"/>
    <s v="DIÁLISIS PERITONEAL"/>
    <s v="COSTA RICA"/>
    <s v="CARTAGO"/>
    <s v="CARTAGO"/>
    <s v="SAN NICOLAS"/>
    <m/>
    <m/>
    <m/>
    <n v="0"/>
    <m/>
    <s v="VIVO"/>
    <s v="VIVO"/>
    <s v="VIVO"/>
    <s v="NA"/>
    <m/>
    <m/>
    <m/>
    <s v="NO"/>
    <s v="NA"/>
    <s v="NA"/>
    <m/>
    <s v="FUNCIONAL"/>
    <m/>
    <m/>
    <m/>
    <m/>
    <s v="NA"/>
    <m/>
    <m/>
    <s v="NO"/>
    <m/>
    <s v="BASI"/>
    <m/>
    <m/>
    <s v="NO"/>
    <m/>
    <m/>
    <m/>
    <m/>
    <s v="NO"/>
    <m/>
    <m/>
    <s v="NO"/>
    <m/>
    <m/>
    <n v="303980037"/>
    <s v="MASCULINO"/>
    <s v="COSTA RICA"/>
    <s v="2° GRADO"/>
    <s v="HERMANA (O)"/>
    <n v="0"/>
    <n v="373"/>
    <n v="12.254620123203285"/>
    <n v="1.0212183436002737"/>
  </r>
  <r>
    <x v="0"/>
    <m/>
    <m/>
    <s v="RIÑON"/>
    <x v="1"/>
    <m/>
    <s v="O+"/>
    <d v="1994-07-20T00:00:00"/>
    <n v="29.99315537303217"/>
    <s v="RELACIONADO NO CONSANGUINEO"/>
    <s v="LUIS ARIEL"/>
    <s v="VARGAS"/>
    <s v="CONEJO"/>
    <n v="205930161"/>
    <x v="463"/>
    <s v="MASCULINO"/>
    <d v="1984-02-01T00:00:00"/>
    <n v="40.45722108145106"/>
    <m/>
    <m/>
    <m/>
    <m/>
    <s v="COSTA RICA"/>
    <s v="Heredia, Santa Barvar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402230750"/>
    <s v="FEMENINA"/>
    <s v="COSTA RICA"/>
    <s v="AFINIDAD"/>
    <s v="CONYUGE"/>
    <n v="0"/>
    <n v="371"/>
    <n v="12.188911704312115"/>
    <n v="1.0157426420260096"/>
  </r>
  <r>
    <x v="3"/>
    <s v="UP2103 - HOSPITAL NACIONAL DE NIÑOS"/>
    <s v="DF.27.2024"/>
    <s v="RIÑON"/>
    <x v="0"/>
    <m/>
    <m/>
    <m/>
    <m/>
    <m/>
    <s v="MIDELYNE"/>
    <s v="ARROYO"/>
    <s v="ABARCA"/>
    <n v="209530851"/>
    <x v="451"/>
    <s v="FEMENINA"/>
    <d v="2011-12-07T00:00:00"/>
    <n v="12.791238877481177"/>
    <s v="O+"/>
    <n v="45540"/>
    <s v="INSUFICIENCIA RENAL CRÓNICA"/>
    <s v="DIALISIS PERITONEAL"/>
    <s v="COSTA RICA"/>
    <s v="ALAJUELA"/>
    <s v="SAN RAMON"/>
    <s v="PEÑAS BLANCAS"/>
    <m/>
    <m/>
    <m/>
    <m/>
    <m/>
    <m/>
    <m/>
    <m/>
    <m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m/>
    <m/>
    <m/>
    <m/>
    <m/>
    <n v="0"/>
    <n v="305"/>
    <n v="10.020533880903491"/>
    <n v="0.83504449007529091"/>
  </r>
  <r>
    <x v="4"/>
    <s v="UP2102 - HOSPITAL SAN JUAN DE DIOS"/>
    <s v="DF.31.2024 HCG"/>
    <s v="RIÑON"/>
    <x v="0"/>
    <s v="NO"/>
    <m/>
    <m/>
    <m/>
    <m/>
    <s v="ANDRES FRANCISCO "/>
    <s v="JIMENEZ"/>
    <s v="GUTIERREZ"/>
    <n v="113680415"/>
    <x v="464"/>
    <s v="MASCULINO"/>
    <d v="1988-10-07T00:00:00"/>
    <n v="36.224503764544835"/>
    <s v="B-"/>
    <m/>
    <s v="ERC V"/>
    <m/>
    <s v="COSTA RICA"/>
    <s v="SAN JOSE"/>
    <s v="SANTA ANA"/>
    <s v="POZOS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7"/>
    <n v="6.8008213552361401"/>
    <n v="0.56673511293634493"/>
  </r>
  <r>
    <x v="1"/>
    <s v="UP2101 - HOSPITAL DR. RAFAEL A. CALDERÓN GUARDIA"/>
    <s v="DF.30.2024 HCG"/>
    <s v="RIÑON"/>
    <x v="0"/>
    <m/>
    <m/>
    <m/>
    <m/>
    <m/>
    <s v="CRISTIAN"/>
    <s v="MADRIGAL"/>
    <s v="ESQUIVEL"/>
    <n v="108200358"/>
    <x v="459"/>
    <s v="MASCULINO"/>
    <d v="1972-03-17T00:00:00"/>
    <n v="52.763860369609858"/>
    <s v="A+"/>
    <m/>
    <s v="ERC ESTADIO 5"/>
    <s v="DIALISIS PERITONEAL"/>
    <s v="COSTA RICA"/>
    <s v="HEREDIA"/>
    <s v="SANTO DOMINGO"/>
    <s v="PARACIT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4"/>
    <n v="7.0308008213552364"/>
    <n v="0.58590006844626963"/>
  </r>
  <r>
    <x v="2"/>
    <s v="UP2306 - HOSPITAL DR. MAX PERALTA"/>
    <m/>
    <s v="RIÑÓN"/>
    <x v="0"/>
    <s v="SI"/>
    <s v=" "/>
    <m/>
    <n v="124.55578370978782"/>
    <s v="NO APLICA"/>
    <m/>
    <m/>
    <m/>
    <n v="302680200"/>
    <x v="440"/>
    <s v="FEMENINO"/>
    <d v="1964-03-24T00:00:00"/>
    <n v="60.325804243668721"/>
    <s v="O+"/>
    <m/>
    <s v="ERPQ"/>
    <s v="DIÁLISIS PERITONEAL"/>
    <s v="COSTA RICA"/>
    <s v="CARTAGO"/>
    <s v="EL GUARCO"/>
    <s v="TEJAR"/>
    <m/>
    <m/>
    <m/>
    <n v="0"/>
    <m/>
    <s v="VIVO"/>
    <s v="VIVO"/>
    <s v="VIVO"/>
    <s v="NA"/>
    <m/>
    <m/>
    <m/>
    <s v="NO"/>
    <s v="NA"/>
    <s v="NA"/>
    <m/>
    <s v="FUNCIONAL"/>
    <m/>
    <m/>
    <m/>
    <m/>
    <s v="NA"/>
    <m/>
    <m/>
    <s v="NO"/>
    <m/>
    <s v="BASI"/>
    <m/>
    <m/>
    <s v="NO"/>
    <m/>
    <m/>
    <m/>
    <m/>
    <s v="NO"/>
    <m/>
    <m/>
    <s v="NO"/>
    <m/>
    <m/>
    <m/>
    <m/>
    <m/>
    <m/>
    <m/>
    <n v="0"/>
    <n v="367"/>
    <n v="12.057494866529774"/>
    <n v="1.0047912388774811"/>
  </r>
  <r>
    <x v="1"/>
    <s v="UP2101 - HOSPITAL DR. RAFAEL A. CALDERÓN GUARDIA"/>
    <s v="DF.23.2024"/>
    <s v="RIÑON"/>
    <x v="0"/>
    <m/>
    <m/>
    <d v="1992-08-11T00:00:00"/>
    <n v="31"/>
    <m/>
    <s v="JAIMIE MARIELA"/>
    <s v="SEGURA"/>
    <s v="JIMENEZ"/>
    <n v="109960865"/>
    <x v="465"/>
    <s v="FEMENINA"/>
    <d v="1978-03-25T00:00:00"/>
    <n v="46.327173169062284"/>
    <s v="O+"/>
    <m/>
    <s v="ERC ESTADIO 5"/>
    <s v="DIALISIS PERITONEAL"/>
    <s v="COSTA RICA"/>
    <s v="SAN JOSE"/>
    <s v="CURRIDABAT"/>
    <s v="TIRRASES"/>
    <m/>
    <m/>
    <m/>
    <n v="1"/>
    <m/>
    <s v="SHOCK HIPOVOLEMICO"/>
    <m/>
    <m/>
    <m/>
    <m/>
    <m/>
    <m/>
    <s v="SI"/>
    <d v="2024-07-23T00:00:00"/>
    <s v="SHOCK HIPOVOLEMICO"/>
    <s v="NO"/>
    <s v="FUNCIONAL"/>
    <m/>
    <m/>
    <m/>
    <m/>
    <m/>
    <m/>
    <m/>
    <s v="NO"/>
    <m/>
    <m/>
    <m/>
    <m/>
    <m/>
    <m/>
    <m/>
    <m/>
    <m/>
    <m/>
    <m/>
    <m/>
    <m/>
    <m/>
    <m/>
    <n v="115270580"/>
    <s v="FEMENINA"/>
    <s v="COSTA RICA"/>
    <m/>
    <m/>
    <n v="1"/>
    <n v="1"/>
    <n v="3.2854209445585217E-2"/>
    <n v="2.7378507871321013E-3"/>
  </r>
  <r>
    <x v="0"/>
    <m/>
    <m/>
    <s v="RIÑON"/>
    <x v="0"/>
    <m/>
    <m/>
    <m/>
    <m/>
    <s v="cadaverico"/>
    <s v="JORGE LUIS"/>
    <s v="JUAREZ"/>
    <s v="TENORIO"/>
    <n v="504190967"/>
    <x v="465"/>
    <s v="MASCULINO"/>
    <d v="1998-01-06T00:00:00"/>
    <n v="26.540725530458591"/>
    <m/>
    <m/>
    <m/>
    <m/>
    <s v="COSTA RICA"/>
    <s v="Guanacaste, Carrillo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66"/>
    <n v="12.024640657084189"/>
    <n v="1.0020533880903491"/>
  </r>
  <r>
    <x v="0"/>
    <m/>
    <m/>
    <s v="RIÑON"/>
    <x v="0"/>
    <m/>
    <m/>
    <m/>
    <m/>
    <s v="Cadaverico"/>
    <s v="DINIA MARIA"/>
    <s v="SOTO"/>
    <s v="ARANA"/>
    <n v="503560948"/>
    <x v="426"/>
    <s v="FEMENINA"/>
    <d v="1987-01-28T00:00:00"/>
    <n v="37.492128678986994"/>
    <m/>
    <m/>
    <m/>
    <m/>
    <s v="COSTA RICA"/>
    <s v="Alajuela, Upa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62"/>
    <n v="11.893223819301848"/>
    <n v="0.99110198494182067"/>
  </r>
  <r>
    <x v="0"/>
    <m/>
    <m/>
    <s v="RIÑON"/>
    <x v="1"/>
    <m/>
    <s v="O+"/>
    <d v="1995-12-04T00:00:00"/>
    <n v="28.657084188911703"/>
    <s v="RELACIONADO CONSANGUINEO"/>
    <s v="ROLANDO JESUS"/>
    <s v="PEREZ"/>
    <s v="MARIN"/>
    <n v="114040979"/>
    <x v="466"/>
    <s v="MASCULINO"/>
    <d v="1989-09-25T00:00:00"/>
    <n v="34.847364818617386"/>
    <m/>
    <m/>
    <m/>
    <m/>
    <s v="COSTA RICA"/>
    <s v="SAN JOSE"/>
    <s v="TIBAS"/>
    <s v="SAN JUA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116260336"/>
    <s v="FEMENINA"/>
    <s v="COSTA RICA"/>
    <s v="2° GRADO"/>
    <s v="HERMANA (O)"/>
    <n v="0"/>
    <n v="357"/>
    <n v="11.728952772073923"/>
    <n v="0.97741273100616022"/>
  </r>
  <r>
    <x v="0"/>
    <m/>
    <m/>
    <s v="RIÑON"/>
    <x v="1"/>
    <m/>
    <s v="A+"/>
    <d v="1986-12-11T00:00:00"/>
    <n v="37.675564681724843"/>
    <s v="RELACIONADO NO CONSANGUINEO"/>
    <s v="JOSE LEONEL"/>
    <s v="CHAN"/>
    <s v="GONZALEZ"/>
    <n v="205480205"/>
    <x v="467"/>
    <s v="MASCULINO"/>
    <d v="1980-03-26T00:00:00"/>
    <n v="44.386036960985628"/>
    <s v="A+"/>
    <m/>
    <m/>
    <m/>
    <s v="COSTA RICA"/>
    <s v="ALAJUELA"/>
    <s v="SAN RAMON"/>
    <s v="SAN RAFAEL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206270872"/>
    <s v="FEMENINA"/>
    <s v="COSTA RICA"/>
    <s v="AFINIDAD"/>
    <s v="CONYUGE"/>
    <n v="0"/>
    <n v="343"/>
    <n v="11.268993839835728"/>
    <n v="0.93908281998631071"/>
  </r>
  <r>
    <x v="1"/>
    <s v="UP2101 - HOSPITAL DR. RAFAEL A. CALDERÓN GUARDIA"/>
    <m/>
    <s v="RIÑON"/>
    <x v="1"/>
    <m/>
    <s v="A-"/>
    <d v="2003-05-28T00:00:00"/>
    <n v="21.229295003422312"/>
    <s v="RELACIONADO CONSANGUINEO"/>
    <s v="LUIS ANTHONY"/>
    <s v="ALVARADO"/>
    <s v="DURAN"/>
    <n v="111590576"/>
    <x v="468"/>
    <s v="MASCULINO"/>
    <d v="1982-12-10T00:00:00"/>
    <n v="41.691991786447637"/>
    <m/>
    <m/>
    <s v="ERC ESTADIO 5"/>
    <m/>
    <s v="COSTA RICA"/>
    <s v="SAN JOSE"/>
    <s v="CURRIDABAT"/>
    <s v="GRANADILLA"/>
    <m/>
    <m/>
    <m/>
    <m/>
    <m/>
    <m/>
    <m/>
    <m/>
    <m/>
    <m/>
    <m/>
    <m/>
    <s v="SI"/>
    <d v="2024-11-23T00:00:00"/>
    <s v="SHOCK SEPTICO"/>
    <s v="NO"/>
    <s v="FUNCIONAL"/>
    <m/>
    <m/>
    <m/>
    <m/>
    <m/>
    <m/>
    <m/>
    <m/>
    <m/>
    <m/>
    <m/>
    <m/>
    <m/>
    <m/>
    <m/>
    <m/>
    <m/>
    <m/>
    <m/>
    <m/>
    <m/>
    <m/>
    <m/>
    <n v="118750624"/>
    <s v="MASCULINO"/>
    <s v="COSTA RICA"/>
    <s v="2° GRADO"/>
    <s v="HERMANA (O)"/>
    <n v="1"/>
    <n v="96"/>
    <n v="3.1540041067761808"/>
    <n v="0.26283367556468173"/>
  </r>
  <r>
    <x v="2"/>
    <s v="UP2306 - HOSPITAL DR. MAX PERALTA"/>
    <m/>
    <s v="RIÑÓN"/>
    <x v="1"/>
    <s v="NO"/>
    <s v="O+"/>
    <d v="1974-05-23T00:00:00"/>
    <n v="50.261464750171115"/>
    <s v="RELACIONADO NO CONSANGUINEO"/>
    <s v="JOSE ALEJANDRO"/>
    <s v="CEDEÑO"/>
    <s v="NAVARRO"/>
    <n v="302860909"/>
    <x v="469"/>
    <s v="MASCULINO "/>
    <d v="1966-10-28T00:00:00"/>
    <n v="57.828884325804246"/>
    <s v="A+"/>
    <m/>
    <s v="Nefropatía hipertensiva"/>
    <s v="DIÁLISIS PERITONEAL"/>
    <s v="COSTA RICA"/>
    <s v="CARTAGO"/>
    <s v="CARTAGO"/>
    <s v="AGUACALIENTE (SAN FRANCISCO)"/>
    <m/>
    <m/>
    <m/>
    <n v="0"/>
    <m/>
    <s v="VIVO"/>
    <s v="VIVO"/>
    <m/>
    <m/>
    <m/>
    <m/>
    <m/>
    <s v="NO"/>
    <s v="NA"/>
    <s v="NA"/>
    <m/>
    <s v="FUNCIONAL"/>
    <m/>
    <m/>
    <m/>
    <m/>
    <s v="NA"/>
    <m/>
    <m/>
    <s v="NO"/>
    <m/>
    <s v="BASI"/>
    <m/>
    <m/>
    <s v="SI"/>
    <d v="2024-10-11T00:00:00"/>
    <s v="UROLÓGICA"/>
    <s v="REIMPLANTE URETERAL"/>
    <s v="SI"/>
    <s v="NO"/>
    <m/>
    <m/>
    <s v="NO"/>
    <m/>
    <m/>
    <n v="108810378"/>
    <s v="FEMENINA"/>
    <s v="COSTA RICA"/>
    <s v="AFINIDAD"/>
    <s v="CONYUGE"/>
    <n v="0"/>
    <n v="331"/>
    <n v="10.874743326488707"/>
    <n v="0.90622861054072557"/>
  </r>
  <r>
    <x v="0"/>
    <s v="UP2502 - HOSPITAL ENRIQUE BALTODANO"/>
    <s v="N/A"/>
    <s v="RIÑON"/>
    <x v="1"/>
    <m/>
    <s v="A+"/>
    <d v="1981-10-30T00:00:00"/>
    <n v="42.866529774127308"/>
    <s v="RELACIONADO CONSANGUINEO"/>
    <s v="RANDALL"/>
    <s v="ACOSTA"/>
    <s v="JUAREZ"/>
    <n v="602920991"/>
    <x v="470"/>
    <s v="MASCULINO"/>
    <d v="1978-10-10T00:00:00"/>
    <n v="45.921971252566735"/>
    <m/>
    <n v="45063"/>
    <m/>
    <m/>
    <s v="COSTA RICA"/>
    <s v="GUANACASTE"/>
    <s v="CARRILLO"/>
    <s v="BELEN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503240875"/>
    <s v="MASCULINO"/>
    <s v="COSTA RICA"/>
    <s v="2° GRADO"/>
    <s v="HERMANA (O)"/>
    <n v="0"/>
    <n v="315"/>
    <n v="10.349075975359343"/>
    <n v="0.86242299794661192"/>
  </r>
  <r>
    <x v="4"/>
    <s v="UP2102 - HOSPITAL SAN JUAN DE DIOS"/>
    <s v="N/A"/>
    <s v="RIÑON"/>
    <x v="1"/>
    <s v="NO"/>
    <s v="B+"/>
    <d v="1994-01-08T00:00:00"/>
    <n v="30.694045174537987"/>
    <s v="RELACIONADO CONSANGUINEO"/>
    <s v="MARIANGEL"/>
    <s v="BALDI"/>
    <s v="MATA"/>
    <n v="118130717"/>
    <x v="471"/>
    <s v="FEMENINO"/>
    <d v="2001-06-10T00:00:00"/>
    <n v="23.274469541409992"/>
    <s v="B+"/>
    <d v="2021-09-07T00:00:00"/>
    <s v="ERC ESTADÍO V"/>
    <s v="DIALISIS PERITONEAL"/>
    <s v="COSTA RICA"/>
    <s v="SAN JOSÉ"/>
    <s v="PÉREZ ZELEDÓN"/>
    <s v="SAN ISIDRO DEL GENERAL"/>
    <n v="0.45"/>
    <m/>
    <m/>
    <n v="2"/>
    <m/>
    <s v="VIVO"/>
    <s v="VIVO"/>
    <m/>
    <m/>
    <m/>
    <m/>
    <m/>
    <s v="NO"/>
    <m/>
    <s v="N/A"/>
    <m/>
    <s v="FUNCIONAL"/>
    <m/>
    <m/>
    <m/>
    <m/>
    <m/>
    <m/>
    <m/>
    <s v="NO"/>
    <m/>
    <s v="TIMOGLOBULINA"/>
    <m/>
    <m/>
    <s v="NO"/>
    <m/>
    <m/>
    <m/>
    <s v="NO"/>
    <s v="NO"/>
    <s v="N/A"/>
    <m/>
    <s v="NO"/>
    <s v="N/A"/>
    <s v="N/A"/>
    <n v="115600087"/>
    <s v="FEMENINA"/>
    <s v="COSTA RICA"/>
    <s v="2° GRADO"/>
    <s v="HERMANA (O)"/>
    <n v="0"/>
    <n v="308"/>
    <n v="10.119096509240247"/>
    <n v="0.84325804243668723"/>
  </r>
  <r>
    <x v="4"/>
    <s v="UP2701 - HOSPITAL FERNANDO ESCALANTE PRADILLA"/>
    <s v="DF.21.2024 HSJD 18/07/2024"/>
    <s v="RIÑON"/>
    <x v="0"/>
    <s v="NO"/>
    <s v="O+"/>
    <d v="1999-01-19T00:00:00"/>
    <n v="25.498288843258042"/>
    <s v="NINGUNA"/>
    <s v="PABLO EMMANUEL"/>
    <s v="VARGAS"/>
    <s v="QUESADA"/>
    <n v="114280852"/>
    <x v="472"/>
    <s v="MASCULINO "/>
    <d v="1990-05-22T06:00:00"/>
    <n v="34.160164271047229"/>
    <s v="O+"/>
    <n v="42076"/>
    <s v="ERC ESTADÍO V"/>
    <s v="DIALISIS PERITONEAL"/>
    <s v="COSTA RICA"/>
    <s v="SAN JOSÉ"/>
    <s v="PÉREZ ZELEDÓN"/>
    <s v="DANIEL FLORES"/>
    <n v="9.0399999999999991"/>
    <m/>
    <m/>
    <n v="7"/>
    <m/>
    <s v="VIVO"/>
    <s v="VIVO"/>
    <s v="FALLECIDO"/>
    <s v="FALLECIDO"/>
    <s v="FALLECIDO"/>
    <s v="FALLECIDO"/>
    <s v="FALLECIDO"/>
    <s v="SI"/>
    <d v="2024-09-21T00:00:00"/>
    <s v="CHOQUE MIXTO SÉPTICO/HIPOVOLÉMICO REFRACTARIO FOCO ABDOMINAL "/>
    <s v="SI"/>
    <s v="RETRASO EN LA FUNCIÓN DEL INJERTO"/>
    <s v="N/A"/>
    <s v="N/A"/>
    <s v="N/A"/>
    <s v="N/A"/>
    <s v="N/A"/>
    <m/>
    <m/>
    <s v="NO"/>
    <m/>
    <s v="TIMOGLOBULINA"/>
    <s v="N/A"/>
    <s v="N/A"/>
    <s v="NO"/>
    <m/>
    <m/>
    <m/>
    <s v="NO"/>
    <s v="NO"/>
    <s v="N/A"/>
    <m/>
    <s v="NO"/>
    <s v="N/A"/>
    <s v="N/A"/>
    <n v="117320791"/>
    <s v="MASCULINO"/>
    <s v="COSTARRICENSE"/>
    <m/>
    <s v="DONANTE CADAVÉRICO. FALLECE EN UCI DEL HEP"/>
    <n v="1"/>
    <n v="63.75"/>
    <n v="2.0944558521560577"/>
    <n v="0.17453798767967146"/>
  </r>
  <r>
    <x v="3"/>
    <s v="UP2103 - HOSPITAL NACIONAL DE NIÑOS"/>
    <s v="DF.21.2024"/>
    <s v="RIÑON"/>
    <x v="0"/>
    <m/>
    <m/>
    <m/>
    <m/>
    <m/>
    <s v="LIAM FELIPE"/>
    <s v="BONILLA"/>
    <s v="MEZA"/>
    <n v="306390281"/>
    <x v="473"/>
    <s v="MASCULINO"/>
    <d v="2017-05-24T00:00:00"/>
    <n v="7.1540041067761804"/>
    <s v="O+"/>
    <n v="45240"/>
    <s v="INSUFICIENCIA RENAL CRÓNICA"/>
    <s v="HEMODIALISIS"/>
    <s v="COSTA RICA"/>
    <s v="CARTAGO"/>
    <s v="CARTAGO"/>
    <s v="PARAISO"/>
    <m/>
    <m/>
    <m/>
    <m/>
    <m/>
    <m/>
    <m/>
    <m/>
    <m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m/>
    <m/>
    <m/>
    <m/>
    <m/>
    <n v="0"/>
    <n v="369"/>
    <n v="12.123203285420944"/>
    <n v="1.0102669404517455"/>
  </r>
  <r>
    <x v="0"/>
    <m/>
    <m/>
    <s v="RIÑON"/>
    <x v="1"/>
    <m/>
    <s v="A+"/>
    <d v="1982-08-16T00:00:00"/>
    <n v="42.110882956878854"/>
    <s v="RELACIONADO NO CONSANGUINEO"/>
    <s v="Cesar Alberto"/>
    <s v="Barreto"/>
    <s v="Cerrato"/>
    <n v="112140235"/>
    <x v="474"/>
    <s v="MASCULINO"/>
    <d v="1984-08-07T00:00:00"/>
    <n v="40.134154688569474"/>
    <m/>
    <m/>
    <m/>
    <m/>
    <s v="COSTA RICA"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801430607"/>
    <s v="FEMENINA"/>
    <s v="COSTA RICA"/>
    <s v="AFINIDAD"/>
    <s v="CONYUGE"/>
    <n v="0"/>
    <n v="301"/>
    <n v="9.8891170431211499"/>
    <n v="0.82409308692676253"/>
  </r>
  <r>
    <x v="0"/>
    <m/>
    <m/>
    <s v="RIÑON"/>
    <x v="1"/>
    <m/>
    <s v="O+"/>
    <d v="2000-04-22T00:00:00"/>
    <n v="24.446269678302532"/>
    <s v="RELACIONADO NO CONSANGUINEO"/>
    <s v="Ivan"/>
    <s v="Rodriguez"/>
    <s v="Viquez"/>
    <n v="205870256"/>
    <x v="475"/>
    <s v="MASCULINO"/>
    <d v="1983-09-10T00:00:00"/>
    <n v="41.062286105407253"/>
    <m/>
    <m/>
    <m/>
    <m/>
    <s v="COSTA RICA"/>
    <s v="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208030623"/>
    <s v="FEMENINA"/>
    <s v="COSTA RICA"/>
    <s v="AFINIDAD"/>
    <s v="CONYUGE"/>
    <n v="0"/>
    <n v="294"/>
    <n v="9.6591375770020527"/>
    <n v="0.80492813141683783"/>
  </r>
  <r>
    <x v="0"/>
    <m/>
    <m/>
    <s v="RIÑON"/>
    <x v="0"/>
    <m/>
    <m/>
    <m/>
    <m/>
    <s v="Cadaverico"/>
    <s v="FELIX ANTONIA"/>
    <s v="OBREGON"/>
    <s v="PAISANO"/>
    <n v="25754788"/>
    <x v="476"/>
    <s v="FEMENINA"/>
    <m/>
    <n v="124.75838466803559"/>
    <m/>
    <m/>
    <m/>
    <m/>
    <s v="NICARAGUA"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93"/>
    <n v="9.6262833675564679"/>
    <n v="0.80219028062970565"/>
  </r>
  <r>
    <x v="2"/>
    <s v="UP2306 - HOSPITAL DR. MAX PERALTA"/>
    <m/>
    <s v="RIÑÓN"/>
    <x v="1"/>
    <s v="NO"/>
    <s v="A+"/>
    <d v="1991-11-18T00:00:00"/>
    <n v="32.887063655030801"/>
    <s v="RELACIONADO CONSANGUINEO"/>
    <s v="SARAY"/>
    <s v="JIMENA"/>
    <s v="AGUILAR"/>
    <n v="305580872"/>
    <x v="477"/>
    <s v="FEMENINO"/>
    <d v="2005-05-02T00:00:00"/>
    <n v="19.433264887063654"/>
    <s v="A+"/>
    <m/>
    <s v="Nefropatía congenita"/>
    <s v="DIÁLISIS PERITONEAL"/>
    <s v="COSTA RICA"/>
    <s v="CARTAGO"/>
    <s v="TURRIALBA"/>
    <s v="SANTA CRUZ"/>
    <m/>
    <m/>
    <m/>
    <n v="0"/>
    <m/>
    <s v="VIVO"/>
    <s v="VIVO"/>
    <m/>
    <m/>
    <m/>
    <m/>
    <m/>
    <s v="NO"/>
    <s v="NA"/>
    <s v="NA"/>
    <m/>
    <s v="FUNCIONAL"/>
    <m/>
    <m/>
    <m/>
    <m/>
    <s v="NA"/>
    <m/>
    <m/>
    <s v="NO"/>
    <m/>
    <s v="BASI"/>
    <m/>
    <m/>
    <s v="NO"/>
    <m/>
    <m/>
    <m/>
    <m/>
    <s v="NO"/>
    <m/>
    <m/>
    <s v="NO"/>
    <m/>
    <m/>
    <n v="304580918"/>
    <s v="FEMENINA"/>
    <s v="COSTA RICA"/>
    <s v="2° GRADO"/>
    <s v="HERMANA (O)"/>
    <n v="0"/>
    <n v="289"/>
    <n v="9.4948665297741268"/>
    <n v="0.79123887748117727"/>
  </r>
  <r>
    <x v="4"/>
    <s v="UP2102 - HOSPITAL SAN JUAN DE DIOS"/>
    <s v="N/A"/>
    <s v="RIÑON"/>
    <x v="1"/>
    <s v="NO"/>
    <s v="A+"/>
    <d v="1993-02-11T00:00:00"/>
    <n v="31.657768651608489"/>
    <s v="RELACIONADO CONSANGUINEO"/>
    <s v="JUSTIN JOEL "/>
    <s v="GUZMAN"/>
    <s v="HERRERA"/>
    <n v="118890126"/>
    <x v="478"/>
    <s v="MASCULINO"/>
    <d v="2003-10-30T00:00:00"/>
    <n v="20.944558521560573"/>
    <s v="A+"/>
    <m/>
    <s v="ERC ESTADÍO IV  / SD. NEFRÓTICO ETIOLOGÍA NO CLARA"/>
    <m/>
    <s v="COSTA RICA"/>
    <s v="SAN JOSE"/>
    <s v="ALAJUELITA"/>
    <s v="ALAJUELITA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115270479"/>
    <s v="MASCULINO"/>
    <s v="COSTA RICA"/>
    <s v="2° GRADO"/>
    <s v="HERMANA (O)"/>
    <n v="0"/>
    <n v="287"/>
    <n v="9.4291581108829572"/>
    <n v="0.78576317590691303"/>
  </r>
  <r>
    <x v="0"/>
    <m/>
    <m/>
    <s v="RIÑON"/>
    <x v="1"/>
    <m/>
    <s v="B+"/>
    <d v="1991-07-01T00:00:00"/>
    <n v="33.314168377823407"/>
    <s v="RELACIONADO CONSANGUINEO"/>
    <s v="Erick"/>
    <s v="Guzman"/>
    <s v="Valdelomar"/>
    <n v="504380082"/>
    <x v="479"/>
    <s v="MASCULINO"/>
    <d v="2001-04-06T00:00:00"/>
    <n v="23.548254620123203"/>
    <m/>
    <m/>
    <m/>
    <m/>
    <s v="COSTA RICA"/>
    <s v="HEREDI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114690784"/>
    <s v="FEMENINA"/>
    <s v="COSTA RICA"/>
    <s v="2° GRADO"/>
    <s v="HERMANA (O)"/>
    <n v="0"/>
    <n v="273"/>
    <n v="8.9691991786447645"/>
    <n v="0.74743326488706363"/>
  </r>
  <r>
    <x v="2"/>
    <s v="UP2306 - HOSPITAL DR. MAX PERALTA"/>
    <m/>
    <s v="RIÑÓN"/>
    <x v="1"/>
    <s v="NO"/>
    <s v="O+"/>
    <d v="1996-01-04T00:00:00"/>
    <n v="28.815879534565365"/>
    <s v="RELACIONADO NO CONSANGUINEO"/>
    <s v="GUSTAVO ADOLFO"/>
    <s v="VALVERDE"/>
    <s v="MEZA"/>
    <n v="106770352"/>
    <x v="480"/>
    <s v="MASCULINO "/>
    <d v="1966-05-29T00:00:00"/>
    <n v="58.417522245037645"/>
    <s v="B+"/>
    <m/>
    <s v="Nefropatía diabética"/>
    <s v="HEMODIÁLISIS"/>
    <s v="COSTA RICA"/>
    <s v="SAN JOSE"/>
    <s v="LEON CORTES"/>
    <s v="SAN PABLO"/>
    <m/>
    <m/>
    <m/>
    <n v="0"/>
    <m/>
    <s v="VIVO"/>
    <s v="VIVO"/>
    <m/>
    <m/>
    <m/>
    <m/>
    <m/>
    <s v="NO"/>
    <s v="NA"/>
    <s v="NA"/>
    <m/>
    <s v="FUNCIONAL"/>
    <m/>
    <m/>
    <m/>
    <m/>
    <s v="NA"/>
    <m/>
    <m/>
    <s v="NO"/>
    <m/>
    <s v="BASI"/>
    <m/>
    <m/>
    <s v="SI"/>
    <d v="2024-11-21T00:00:00"/>
    <s v="UROLÓGICA"/>
    <s v="ABSCESO PERIINJERTO/FUGA DE ANASTOMOSIS"/>
    <s v="SI"/>
    <s v="NO"/>
    <m/>
    <m/>
    <s v="NO"/>
    <m/>
    <m/>
    <n v="304920311"/>
    <s v="FEMENINA"/>
    <s v="COSTA RICA"/>
    <s v="AFINIDAD"/>
    <s v="PAREJA"/>
    <n v="0"/>
    <n v="268"/>
    <n v="8.8049281314168386"/>
    <n v="0.73374401095140318"/>
  </r>
  <r>
    <x v="0"/>
    <m/>
    <m/>
    <s v="RIÑON"/>
    <x v="1"/>
    <m/>
    <s v="A+"/>
    <d v="1998-07-29T00:00:00"/>
    <n v="26.275154004106778"/>
    <s v="RELACIONADO CONSANGUINEO"/>
    <s v="Sindy"/>
    <s v="Vargas"/>
    <s v="Alvarado"/>
    <n v="205090659"/>
    <x v="481"/>
    <s v="FEMENINA"/>
    <d v="1976-03-18T00:00:00"/>
    <n v="48.637919233401782"/>
    <m/>
    <m/>
    <m/>
    <m/>
    <s v="COSTA RICA"/>
    <s v="GUANACASTE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207820232"/>
    <s v="FEMENINA"/>
    <s v="COSTA RICA"/>
    <s v="1° GRADO"/>
    <s v="HIJA/HIJO"/>
    <n v="0"/>
    <n v="259"/>
    <n v="8.5092402464065717"/>
    <n v="0.70910335386721424"/>
  </r>
  <r>
    <x v="0"/>
    <m/>
    <m/>
    <s v="RIÑON"/>
    <x v="1"/>
    <m/>
    <s v="O+"/>
    <d v="1989-11-27T00:00:00"/>
    <n v="34.962354551676931"/>
    <s v="RELACIONADO CONSANGUINEO"/>
    <s v="Norvin"/>
    <s v="Chacón"/>
    <s v="Escobar"/>
    <n v="19485647"/>
    <x v="482"/>
    <s v="MASCULINO"/>
    <d v="1994-07-18T00:00:00"/>
    <n v="30.324435318275153"/>
    <m/>
    <m/>
    <m/>
    <m/>
    <s v="NICARAGUA"/>
    <s v="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801370635"/>
    <s v="FEMENINA"/>
    <s v="COSTA RICA"/>
    <s v="2° GRADO"/>
    <s v="HERMANA (O)"/>
    <n v="0"/>
    <n v="252"/>
    <n v="8.2792607802874745"/>
    <n v="0.68993839835728954"/>
  </r>
  <r>
    <x v="0"/>
    <m/>
    <m/>
    <s v="RIÑON"/>
    <x v="1"/>
    <m/>
    <s v="A+"/>
    <d v="1992-01-21T00:00:00"/>
    <n v="32.832306639288156"/>
    <s v="RELACIONADO CONSANGUINEO"/>
    <s v="Lucrecia"/>
    <s v="Cedeño"/>
    <s v="Madrigal"/>
    <n v="204610378"/>
    <x v="483"/>
    <s v="FEMENINA"/>
    <d v="1970-09-07T00:00:00"/>
    <n v="54.203969883641342"/>
    <m/>
    <m/>
    <m/>
    <m/>
    <s v="COSTA RICA"/>
    <s v="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206950810"/>
    <s v="MASCULINO"/>
    <s v="COSTA RICA"/>
    <s v="1° GRADO"/>
    <s v="HIJA/HIJO"/>
    <n v="0"/>
    <n v="245"/>
    <n v="8.0492813141683772"/>
    <n v="0.67077344284736484"/>
  </r>
  <r>
    <x v="4"/>
    <s v="UP2102 - HOSPITAL SAN JUAN DE DIOS"/>
    <s v="N/A"/>
    <s v="RIÑON"/>
    <x v="1"/>
    <s v="NO"/>
    <s v="B+"/>
    <d v="1994-04-24T00:00:00"/>
    <n v="30.617385352498289"/>
    <s v="RELACIONADO CONSANGUINEO"/>
    <s v="_x0009_INGRID VANESSA"/>
    <s v="MIURILLO"/>
    <s v="CARRANZA"/>
    <n v="111490564"/>
    <x v="484"/>
    <s v="FEMENINA"/>
    <d v="1982-09-20T00:00:00"/>
    <n v="42.209445585215605"/>
    <s v="B+"/>
    <m/>
    <s v="ERC ESTADIO V - GLOMERULONEFRITIS RÁPIDAMENTE PROGRESIVA POR DEPÓSITO DE COMPLEJOS INMUNES, DX EN 2020"/>
    <m/>
    <s v="COSTA RICA"/>
    <s v="SAN JOSE"/>
    <s v="PURISCAL"/>
    <s v="SANTIAG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115680110"/>
    <s v="FEMENINA"/>
    <s v="COSTA RICA"/>
    <s v="2° GRADO"/>
    <s v="HERMANA (O)"/>
    <n v="0"/>
    <n v="230"/>
    <n v="7.5564681724845997"/>
    <n v="0.62970568104038327"/>
  </r>
  <r>
    <x v="0"/>
    <m/>
    <m/>
    <s v="RIÑON"/>
    <x v="1"/>
    <m/>
    <s v="O+"/>
    <d v="1992-12-07T00:00:00"/>
    <n v="32.010951403148532"/>
    <s v="RELACIONADO CONSANGUINEO"/>
    <s v="Antony José"/>
    <s v="Castellon"/>
    <s v="Toscano"/>
    <n v="116660912"/>
    <x v="485"/>
    <s v="MASCULINO"/>
    <d v="1997-02-05T00:00:00"/>
    <n v="27.846680355920601"/>
    <m/>
    <m/>
    <m/>
    <m/>
    <s v="COSTA RICA"/>
    <s v="ALAJUELA"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503890922"/>
    <s v="FEMENINA"/>
    <s v="COSTA RICA"/>
    <s v="2° GRADO"/>
    <s v="HERMANA (O)"/>
    <n v="0"/>
    <n v="224"/>
    <n v="7.3593429158110881"/>
    <n v="0.61327857631759064"/>
  </r>
  <r>
    <x v="4"/>
    <s v="UP2102 - HOSPITAL SAN JUAN DE DIOS"/>
    <s v="DF.20.2024 8 julio 2024 HCG"/>
    <s v="RIÑON"/>
    <x v="0"/>
    <s v="NO"/>
    <s v="A+"/>
    <d v="1973-11-20T00:00:00"/>
    <n v="50.634496919917865"/>
    <s v="NINGUNA"/>
    <s v="JOSEP FRANCISCO"/>
    <s v="LOPEZ"/>
    <s v="SALAZAR"/>
    <n v="114480828"/>
    <x v="486"/>
    <s v="MASCULINO "/>
    <d v="1990-12-07T06:00:00"/>
    <n v="33.587953456536617"/>
    <s v="A+"/>
    <d v="2019-07-05T00:00:00"/>
    <s v="ERC ESTADÍO V"/>
    <s v="HEMODIALISIS"/>
    <s v="COSTA RICA"/>
    <s v="SAN JOSE"/>
    <s v="CENTRAL"/>
    <s v="CARMEN"/>
    <n v="8.4499999999999993"/>
    <m/>
    <m/>
    <n v="2"/>
    <m/>
    <s v="VIVO"/>
    <s v="VIVO"/>
    <m/>
    <m/>
    <m/>
    <m/>
    <m/>
    <s v="NO"/>
    <m/>
    <s v="N/A"/>
    <m/>
    <s v="FUNCIONAL"/>
    <m/>
    <m/>
    <m/>
    <m/>
    <s v="N/A"/>
    <m/>
    <m/>
    <s v="NO"/>
    <m/>
    <s v="TIMOGLOBULINA"/>
    <m/>
    <m/>
    <m/>
    <m/>
    <m/>
    <m/>
    <s v="NO"/>
    <s v="NO"/>
    <s v="N/A"/>
    <m/>
    <s v="NO"/>
    <s v="N/A"/>
    <s v="N/A"/>
    <n v="401590240"/>
    <s v="FEMENINA"/>
    <s v="COSTARRICENSE"/>
    <m/>
    <s v="DONANTE CADAVÉRICO"/>
    <n v="0"/>
    <n v="378.75"/>
    <n v="12.4435318275154"/>
    <n v="1.0369609856262834"/>
  </r>
  <r>
    <x v="1"/>
    <s v="UP2101 - HOSPITAL DR. RAFAEL A. CALDERÓN GUARDIA"/>
    <s v="DF.09.17/02/2024 HMP"/>
    <s v="RIÑON"/>
    <x v="0"/>
    <m/>
    <m/>
    <d v="2000-02-29T00:00:00"/>
    <n v="23"/>
    <m/>
    <s v="ADONAY ELADIO"/>
    <s v="CHAVARRIA"/>
    <s v="PRADO"/>
    <n v="110870846"/>
    <x v="487"/>
    <s v="MASCULINO"/>
    <d v="1980-11-30T00:00:00"/>
    <n v="43.217659137577002"/>
    <s v="O+"/>
    <m/>
    <s v=" ERC ESTADIO V"/>
    <s v="DIALISIS PERITONEAL"/>
    <s v="COSTA RICA"/>
    <s v="SAN JOSE"/>
    <s v="ESCAZU"/>
    <s v="SAN ANTONIO"/>
    <m/>
    <m/>
    <m/>
    <n v="5"/>
    <m/>
    <s v="EXCELENTE EVOLUCION CLINICA"/>
    <s v="EXCELENTE EVOLUCION CLINICA"/>
    <m/>
    <m/>
    <m/>
    <m/>
    <m/>
    <s v="NO"/>
    <m/>
    <m/>
    <m/>
    <s v="NO FUNCIONAL"/>
    <s v="N/A"/>
    <m/>
    <m/>
    <m/>
    <m/>
    <m/>
    <s v="TRASPLANTECTOMÍA"/>
    <s v="NO"/>
    <m/>
    <m/>
    <m/>
    <m/>
    <m/>
    <s v="TROMBOSIS"/>
    <m/>
    <m/>
    <m/>
    <m/>
    <m/>
    <m/>
    <m/>
    <m/>
    <m/>
    <n v="117700723"/>
    <s v="FEMENINA"/>
    <s v="COSTA RICA"/>
    <m/>
    <m/>
    <n v="0"/>
    <n v="520.75"/>
    <n v="17.108829568788501"/>
    <n v="1.4257357973990417"/>
  </r>
  <r>
    <x v="4"/>
    <s v="UP2102 - HOSPITAL SAN JUAN DE DIOS"/>
    <s v="DF.19.2024 HM 5 de julio 2024"/>
    <s v="RIÑON"/>
    <x v="0"/>
    <s v="NO"/>
    <s v="O+"/>
    <d v="1989-12-11T00:00:00"/>
    <n v="34.568788501026695"/>
    <s v="NINGUNA"/>
    <s v="SIMON JAVIER"/>
    <s v="TERCERO"/>
    <s v="RIOS"/>
    <n v="1910102285"/>
    <x v="488"/>
    <s v="MASCULINO "/>
    <d v="1991-09-28T06:00:00"/>
    <n v="32.772073921971256"/>
    <s v="O+"/>
    <n v="43308"/>
    <s v="ERC  ESTADÍO V"/>
    <s v="DIALISIS PERITONEAL"/>
    <s v="NICARAGUA"/>
    <s v="SAN JOSÉ"/>
    <s v="SAN JOSÉ"/>
    <s v="PAVAS"/>
    <n v="8.26"/>
    <m/>
    <m/>
    <n v="2"/>
    <m/>
    <s v="VIVO"/>
    <s v="FALLECIDO"/>
    <s v="FALLECIDO"/>
    <s v="FALLECIDO"/>
    <s v="FALLECIDO"/>
    <s v="FALLECIDO"/>
    <s v="FALLECIDO"/>
    <s v="SI"/>
    <d v="2024-07-08T00:00:00"/>
    <s v="SHOCK DISTRIBUTIVO REFRACTARIO MULTIFACTORIAL"/>
    <s v="SI"/>
    <s v="NO FUNCIONAL"/>
    <s v="NO FUNCIONAL"/>
    <s v="NO FUNCIONAL"/>
    <s v="NO FUNCIONAL"/>
    <s v="NO FUNCIONAL"/>
    <d v="2024-07-06T00:00:00"/>
    <s v="PERMANECIÓ ANÚRICO"/>
    <s v="PALIATIVO"/>
    <s v="NO"/>
    <m/>
    <s v="TIMOGLOBULINA"/>
    <m/>
    <m/>
    <s v="SI"/>
    <n v="45479"/>
    <m/>
    <s v="SHOCK DISTRIBUTIVO"/>
    <s v="NO"/>
    <s v="NO"/>
    <s v="N/A"/>
    <m/>
    <s v="NO"/>
    <s v="N/A"/>
    <s v="N/A"/>
    <n v="114140049"/>
    <s v="MASCULINO"/>
    <s v="COSTARRICENSE"/>
    <m/>
    <s v="DONANTE CADAVÉRICO – AUTOPSIA N°39084"/>
    <n v="1"/>
    <n v="1.75"/>
    <n v="5.7494866529774126E-2"/>
    <n v="4.7912388774811769E-3"/>
  </r>
  <r>
    <x v="0"/>
    <m/>
    <m/>
    <m/>
    <x v="0"/>
    <m/>
    <m/>
    <m/>
    <m/>
    <s v="Cadaverico"/>
    <s v="Jose Feliciano Muñoz Romero "/>
    <m/>
    <m/>
    <n v="17875335"/>
    <x v="489"/>
    <s v="MASCULINO"/>
    <d v="1978-02-02T00:00:00"/>
    <n v="46.948665297741272"/>
    <s v="A+"/>
    <m/>
    <s v="ENFERMEDAD RENAL CRONICA, ETAPA "/>
    <m/>
    <s v="NICARAGUA"/>
    <s v="GUANACASTE"/>
    <s v="CAÑAS"/>
    <s v="PALMIRA"/>
    <m/>
    <m/>
    <m/>
    <m/>
    <s v="NO"/>
    <s v="VIVO"/>
    <s v="VIVO"/>
    <m/>
    <m/>
    <m/>
    <m/>
    <m/>
    <s v="NO"/>
    <m/>
    <m/>
    <m/>
    <s v="FUNCIONAL"/>
    <m/>
    <m/>
    <m/>
    <m/>
    <s v="NO"/>
    <m/>
    <m/>
    <s v="NO"/>
    <m/>
    <m/>
    <m/>
    <m/>
    <s v="NO"/>
    <m/>
    <m/>
    <m/>
    <s v="NO"/>
    <s v="NO"/>
    <m/>
    <m/>
    <m/>
    <m/>
    <m/>
    <m/>
    <m/>
    <m/>
    <m/>
    <m/>
    <n v="0"/>
    <n v="190"/>
    <n v="6.2422997946611911"/>
    <n v="0.52019164955509922"/>
  </r>
  <r>
    <x v="1"/>
    <s v="UP2101 - HOSPITAL DR. RAFAEL A. CALDERÓN GUARDIA"/>
    <s v="DF.01.2025"/>
    <s v="RIÑON"/>
    <x v="0"/>
    <m/>
    <m/>
    <m/>
    <n v="19"/>
    <m/>
    <m/>
    <m/>
    <m/>
    <n v="208820155"/>
    <x v="489"/>
    <s v="MASCULINO"/>
    <d v="2006-05-21T00:00:00"/>
    <n v="18.652977412731005"/>
    <s v="A+"/>
    <m/>
    <s v="ERC5 GN cronica"/>
    <s v="DP"/>
    <s v="COSTA RICA"/>
    <s v="LIMON"/>
    <s v="LIMON"/>
    <s v="LIMON"/>
    <d v="1899-12-30T08:45:00"/>
    <s v="no datos"/>
    <d v="1899-12-30T07:15:00"/>
    <s v="si"/>
    <s v="NO"/>
    <s v="VIVO"/>
    <s v="VIVO"/>
    <m/>
    <m/>
    <m/>
    <m/>
    <m/>
    <s v="NO"/>
    <m/>
    <m/>
    <m/>
    <s v="FUNCIONAL"/>
    <m/>
    <m/>
    <m/>
    <m/>
    <s v="NO"/>
    <m/>
    <m/>
    <s v="NO"/>
    <m/>
    <s v="TIMO"/>
    <m/>
    <m/>
    <s v="NO"/>
    <m/>
    <m/>
    <m/>
    <s v="NO"/>
    <s v="NO"/>
    <m/>
    <m/>
    <s v="no "/>
    <m/>
    <m/>
    <m/>
    <m/>
    <m/>
    <m/>
    <m/>
    <n v="0"/>
    <n v="190"/>
    <n v="6.2422997946611911"/>
    <n v="0.52019164955509922"/>
  </r>
  <r>
    <x v="4"/>
    <s v="UP2102 - HOSPITAL SAN JUAN DE DIOS"/>
    <m/>
    <s v="RIÑON"/>
    <x v="0"/>
    <m/>
    <m/>
    <m/>
    <m/>
    <m/>
    <m/>
    <m/>
    <m/>
    <n v="501461287"/>
    <x v="490"/>
    <s v="MASCULINO"/>
    <d v="1953-09-30T00:00:00"/>
    <n v="71.32101300479124"/>
    <s v="O+"/>
    <m/>
    <s v="ENFERMEDAD RENAL CRÓNICA ESTADÍO V"/>
    <s v="DIALISIS PERITONEAL"/>
    <s v="COSTA RICA"/>
    <s v="SAN JOSE"/>
    <s v="ESCAZU"/>
    <s v="SAN ANTONIO"/>
    <d v="1899-12-30T06:00:00"/>
    <m/>
    <m/>
    <m/>
    <s v="NO"/>
    <s v="VIVO"/>
    <s v="VIVO"/>
    <m/>
    <m/>
    <m/>
    <m/>
    <m/>
    <s v="NO"/>
    <m/>
    <m/>
    <m/>
    <s v="FUNCIONAL"/>
    <m/>
    <m/>
    <m/>
    <m/>
    <s v="NO"/>
    <m/>
    <m/>
    <s v="NO"/>
    <m/>
    <m/>
    <m/>
    <m/>
    <s v="NO"/>
    <m/>
    <m/>
    <m/>
    <s v="NO"/>
    <s v="NO"/>
    <m/>
    <m/>
    <m/>
    <m/>
    <m/>
    <m/>
    <m/>
    <m/>
    <m/>
    <m/>
    <n v="0"/>
    <n v="179"/>
    <n v="5.8809034907597537"/>
    <n v="0.49007529089664614"/>
  </r>
  <r>
    <x v="4"/>
    <s v="UP2102 - HOSPITAL SAN JUAN DE DIOS"/>
    <m/>
    <s v="RIÑON"/>
    <x v="0"/>
    <m/>
    <m/>
    <m/>
    <m/>
    <m/>
    <m/>
    <m/>
    <m/>
    <n v="502290973"/>
    <x v="491"/>
    <s v="MASCULINO"/>
    <d v="2025-02-02T00:00:00"/>
    <n v="0"/>
    <s v="A+"/>
    <m/>
    <s v="INSUFICIENCIA RENAL CRONICA ESTADIO V"/>
    <s v="HEMODIALISIS"/>
    <s v="COSTA RICA"/>
    <s v="SAN JOSE"/>
    <s v="SAN JOSE"/>
    <s v="PAVAS"/>
    <d v="1899-12-30T05:06:00"/>
    <m/>
    <m/>
    <m/>
    <s v="SI"/>
    <s v="VIVO"/>
    <s v="VIVO"/>
    <m/>
    <m/>
    <m/>
    <m/>
    <m/>
    <s v="NO"/>
    <m/>
    <m/>
    <m/>
    <s v="FUNCIONAL"/>
    <m/>
    <m/>
    <m/>
    <m/>
    <s v="NO"/>
    <m/>
    <m/>
    <s v="NO"/>
    <m/>
    <m/>
    <m/>
    <m/>
    <s v="NO"/>
    <m/>
    <m/>
    <m/>
    <s v="NO"/>
    <s v="NO"/>
    <m/>
    <m/>
    <m/>
    <m/>
    <m/>
    <m/>
    <m/>
    <m/>
    <m/>
    <m/>
    <n v="0"/>
    <n v="171"/>
    <n v="5.6180698151950716"/>
    <n v="0.46817248459958932"/>
  </r>
  <r>
    <x v="0"/>
    <m/>
    <m/>
    <m/>
    <x v="0"/>
    <m/>
    <m/>
    <m/>
    <m/>
    <s v="Cadaverico"/>
    <s v="Laura Alfaro Cordero "/>
    <m/>
    <m/>
    <n v="204330074"/>
    <x v="491"/>
    <s v="FEMENINA"/>
    <d v="1967-10-30T00:00:00"/>
    <n v="57.262149212867897"/>
    <s v="A+"/>
    <m/>
    <m/>
    <m/>
    <s v="COSTA RICA"/>
    <s v="ALAJUELA"/>
    <s v="ALAJUELA"/>
    <s v="RIO SEGUNDO"/>
    <m/>
    <m/>
    <m/>
    <m/>
    <s v="NO"/>
    <s v="VIVO"/>
    <s v="VIVO"/>
    <m/>
    <m/>
    <m/>
    <m/>
    <m/>
    <s v="NO"/>
    <m/>
    <m/>
    <m/>
    <s v="FUNCIONAL"/>
    <m/>
    <m/>
    <m/>
    <m/>
    <s v="NO"/>
    <m/>
    <m/>
    <s v="NO"/>
    <m/>
    <m/>
    <m/>
    <m/>
    <s v="NO"/>
    <m/>
    <m/>
    <m/>
    <s v="NO"/>
    <s v="NO"/>
    <m/>
    <m/>
    <m/>
    <m/>
    <m/>
    <m/>
    <m/>
    <m/>
    <m/>
    <m/>
    <n v="0"/>
    <n v="171"/>
    <n v="5.6180698151950716"/>
    <n v="0.46817248459958932"/>
  </r>
  <r>
    <x v="4"/>
    <s v="UP2102 - HOSPITAL SAN JUAN DE DIOS"/>
    <m/>
    <s v="RIÑÓN"/>
    <x v="1"/>
    <m/>
    <m/>
    <d v="1981-10-04T00:00:00"/>
    <n v="43"/>
    <s v="RELACIONADO CONSANGUINEO"/>
    <s v="LUZ NERY"/>
    <s v="TORRES"/>
    <s v="VARELA"/>
    <n v="206350370"/>
    <x v="492"/>
    <s v="FEMENINA"/>
    <d v="1987-07-09T00:00:00"/>
    <n v="37.57973990417522"/>
    <s v="O+"/>
    <m/>
    <s v="NEFRITIS LÚPICA CLASE IV - ERC ESTADÍO V"/>
    <s v="DIALISIS PERITONEAL"/>
    <s v="COSTA RICA"/>
    <s v="SAN JOSE"/>
    <s v="SANTA ANA"/>
    <s v="POZOS"/>
    <m/>
    <m/>
    <m/>
    <m/>
    <s v="NO"/>
    <s v="VIVO"/>
    <s v="VIVO"/>
    <m/>
    <m/>
    <m/>
    <m/>
    <m/>
    <s v="NO"/>
    <m/>
    <m/>
    <m/>
    <s v="FUNCIONAL"/>
    <m/>
    <m/>
    <m/>
    <m/>
    <s v="NO"/>
    <m/>
    <m/>
    <s v="NO"/>
    <m/>
    <m/>
    <m/>
    <m/>
    <s v="NO"/>
    <m/>
    <m/>
    <m/>
    <s v="NO"/>
    <s v="NO"/>
    <m/>
    <m/>
    <m/>
    <m/>
    <m/>
    <n v="205650349"/>
    <s v="MASCULINO"/>
    <s v="COSTA RICA"/>
    <s v="2° GRADO"/>
    <s v="HERMANA (O)"/>
    <n v="0"/>
    <n v="168"/>
    <n v="5.5195071868583163"/>
    <n v="0.45995893223819301"/>
  </r>
  <r>
    <x v="0"/>
    <m/>
    <m/>
    <s v="RIÑÓN"/>
    <x v="1"/>
    <m/>
    <m/>
    <d v="1991-07-15T00:00:00"/>
    <n v="33"/>
    <s v="RELACIONADO CONSANGUINEO"/>
    <s v="JANET DEL SOCORRO"/>
    <s v="SOTELO"/>
    <s v="OBANDO"/>
    <n v="800760200"/>
    <x v="492"/>
    <s v="FEMENINA"/>
    <d v="1967-03-30T00:00:00"/>
    <n v="57.856262833675565"/>
    <s v="O+"/>
    <m/>
    <m/>
    <m/>
    <s v="COSTA RICA"/>
    <s v="HEREDIA"/>
    <s v="HEREDIA"/>
    <s v="SAN FRANCISCO"/>
    <m/>
    <m/>
    <m/>
    <m/>
    <s v="NO"/>
    <s v="VIVO"/>
    <s v="VIVO"/>
    <m/>
    <m/>
    <m/>
    <m/>
    <m/>
    <s v="NO"/>
    <m/>
    <m/>
    <m/>
    <s v="FUNCIONAL"/>
    <m/>
    <m/>
    <m/>
    <m/>
    <s v="NO"/>
    <m/>
    <m/>
    <s v="NO"/>
    <m/>
    <m/>
    <m/>
    <m/>
    <s v="NO"/>
    <m/>
    <m/>
    <m/>
    <s v="NO"/>
    <s v="NO"/>
    <m/>
    <m/>
    <m/>
    <m/>
    <m/>
    <n v="114710194"/>
    <s v="FEMENINA"/>
    <s v="COSTA RICA"/>
    <s v="1° GRADO"/>
    <s v="HIJA/HIJO"/>
    <n v="0"/>
    <n v="168"/>
    <n v="5.5195071868583163"/>
    <n v="0.45995893223819301"/>
  </r>
  <r>
    <x v="1"/>
    <s v="UP2101 - HOSPITAL DR. RAFAEL A. CALDERÓN GUARDIA"/>
    <m/>
    <s v="RIÑON"/>
    <x v="1"/>
    <m/>
    <s v="O+"/>
    <d v="2020-11-11T00:00:00"/>
    <n v="24"/>
    <s v="RELACIONADO CONSANGUINEO"/>
    <s v="ANA CAROLINA"/>
    <s v="DUARTE"/>
    <s v="MIRANDA"/>
    <n v="207010275"/>
    <x v="493"/>
    <s v="FEMENINA"/>
    <d v="1992-06-30T00:00:00"/>
    <n v="32.616016427104725"/>
    <s v="O+"/>
    <m/>
    <s v="ERC5 LES"/>
    <s v="HD"/>
    <s v="COSTA RICA"/>
    <s v="HEREDIA"/>
    <s v="SARAPIQUI"/>
    <s v="PUERTO VIEJO"/>
    <d v="1899-12-30T01:45:00"/>
    <s v="no datos"/>
    <s v="no datos"/>
    <s v="si"/>
    <s v="NO"/>
    <s v="VIVO"/>
    <s v="VIVO"/>
    <m/>
    <m/>
    <m/>
    <m/>
    <m/>
    <s v="NO"/>
    <m/>
    <m/>
    <m/>
    <s v="FUNCIONAL"/>
    <m/>
    <m/>
    <m/>
    <m/>
    <s v="NO"/>
    <m/>
    <m/>
    <s v="NO"/>
    <m/>
    <s v="TIMO"/>
    <m/>
    <m/>
    <s v="NO"/>
    <m/>
    <m/>
    <m/>
    <s v="NO"/>
    <s v="NO"/>
    <m/>
    <m/>
    <s v="no "/>
    <m/>
    <m/>
    <n v="702810919"/>
    <s v="FEMENINA"/>
    <s v="COSTA RICA"/>
    <s v="2° GRADO"/>
    <s v="HERMANA (O)"/>
    <n v="0"/>
    <n v="163"/>
    <n v="5.3552361396303905"/>
    <n v="0.4462696783025325"/>
  </r>
  <r>
    <x v="0"/>
    <m/>
    <m/>
    <s v="RIÑÓN"/>
    <x v="1"/>
    <m/>
    <m/>
    <d v="1972-01-17T00:00:00"/>
    <n v="53"/>
    <s v="RELACIONADO NO CONSANGUINEO"/>
    <s v="ZAIRA MARÍA"/>
    <s v="RAMIÍREZ"/>
    <s v="GONZALEZ"/>
    <n v="203750678"/>
    <x v="494"/>
    <s v="FEMENINA"/>
    <d v="1962-10-09T00:00:00"/>
    <n v="62.346338124572213"/>
    <s v="O+"/>
    <m/>
    <m/>
    <m/>
    <s v="COSTA RICA"/>
    <s v="HEREDIA"/>
    <s v="BELEN"/>
    <m/>
    <m/>
    <m/>
    <m/>
    <m/>
    <s v="NO"/>
    <s v="VIVO"/>
    <s v="VIVO"/>
    <m/>
    <m/>
    <m/>
    <m/>
    <m/>
    <s v="NO"/>
    <m/>
    <m/>
    <m/>
    <s v="FUNCIONAL"/>
    <m/>
    <m/>
    <m/>
    <m/>
    <s v="NO"/>
    <m/>
    <m/>
    <s v="NO"/>
    <m/>
    <m/>
    <m/>
    <m/>
    <s v="NO"/>
    <m/>
    <m/>
    <m/>
    <s v="NO"/>
    <s v="NO"/>
    <m/>
    <m/>
    <m/>
    <m/>
    <m/>
    <n v="204740656"/>
    <s v="FEMENINA"/>
    <s v="COSTA RICA"/>
    <s v="AFINIDAD"/>
    <s v="AMIGA (O)"/>
    <n v="0"/>
    <n v="161"/>
    <n v="5.28952772073922"/>
    <n v="0.44079397672826831"/>
  </r>
  <r>
    <x v="4"/>
    <s v="UP2102 - HOSPITAL SAN JUAN DE DIOS"/>
    <m/>
    <s v="RIÑÓN"/>
    <x v="1"/>
    <m/>
    <m/>
    <d v="2000-10-11T00:00:00"/>
    <n v="24"/>
    <s v="RELACIONADO CONSANGUINEO"/>
    <s v="VALEY NICOLE"/>
    <s v="GARCÍA"/>
    <s v="QUESADA"/>
    <n v="117910642"/>
    <x v="495"/>
    <s v="FEMENINA"/>
    <d v="2000-10-11T00:00:00"/>
    <n v="24.358658453114305"/>
    <s v="A-"/>
    <m/>
    <s v="ERC ESTADÍO V"/>
    <s v="DIALISIS PERITONEAL"/>
    <s v="COSTA RICA"/>
    <s v="SAN JOSE"/>
    <s v="SAN JOSE"/>
    <s v="PAVAS"/>
    <d v="1899-12-30T01:20:00"/>
    <m/>
    <d v="1899-12-30T01:20:00"/>
    <m/>
    <s v="NO"/>
    <s v="VIVO"/>
    <s v="VIVO"/>
    <m/>
    <m/>
    <m/>
    <m/>
    <m/>
    <s v="NO"/>
    <m/>
    <m/>
    <m/>
    <s v="FUNCIONAL"/>
    <m/>
    <m/>
    <m/>
    <m/>
    <s v="NO"/>
    <m/>
    <m/>
    <s v="NO"/>
    <m/>
    <m/>
    <m/>
    <m/>
    <s v="NO"/>
    <m/>
    <m/>
    <m/>
    <s v="NO"/>
    <s v="NO"/>
    <m/>
    <m/>
    <m/>
    <m/>
    <m/>
    <n v="117910641"/>
    <s v="MASCULINO"/>
    <s v="COSTA RICA"/>
    <s v="2° GRADO"/>
    <s v="HERMANA (O)"/>
    <n v="0"/>
    <n v="154"/>
    <n v="5.0595482546201236"/>
    <n v="0.42162902121834361"/>
  </r>
  <r>
    <x v="0"/>
    <m/>
    <m/>
    <s v="RIÑÓN"/>
    <x v="1"/>
    <m/>
    <s v="O+"/>
    <d v="1973-11-14T00:00:00"/>
    <n v="51"/>
    <s v="RELACIONADO CONSANGUINEO"/>
    <s v="JEFFRI DANIEL"/>
    <s v="ROJAS"/>
    <s v="HERRA"/>
    <n v="503030762"/>
    <x v="495"/>
    <s v="MASCULINO"/>
    <d v="1978-04-09T00:00:00"/>
    <n v="46.866529774127308"/>
    <s v="A+"/>
    <m/>
    <m/>
    <m/>
    <s v="COSTA RICA"/>
    <s v="Guanacaste, bagaces"/>
    <m/>
    <m/>
    <m/>
    <m/>
    <m/>
    <m/>
    <s v="NO"/>
    <s v="VIVO"/>
    <s v="VIVO"/>
    <m/>
    <m/>
    <m/>
    <m/>
    <m/>
    <s v="NO"/>
    <m/>
    <m/>
    <m/>
    <s v="FUNCIONAL"/>
    <m/>
    <m/>
    <m/>
    <m/>
    <s v="NO"/>
    <m/>
    <m/>
    <s v="NO"/>
    <m/>
    <m/>
    <m/>
    <m/>
    <s v="NO"/>
    <m/>
    <m/>
    <m/>
    <s v="NO"/>
    <s v="NO"/>
    <m/>
    <m/>
    <m/>
    <m/>
    <m/>
    <n v="502810139"/>
    <s v="FEMENINA"/>
    <s v="COSTA RICA"/>
    <s v="2° GRADO"/>
    <s v="HERMANA (O)"/>
    <n v="0"/>
    <n v="154"/>
    <n v="5.0595482546201236"/>
    <n v="0.42162902121834361"/>
  </r>
  <r>
    <x v="2"/>
    <s v="UP2306 - HOSPITAL DR. MAX PERALTA"/>
    <m/>
    <s v="RIÑÓN"/>
    <x v="1"/>
    <s v="NO"/>
    <s v="O+"/>
    <d v="1998-03-18T00:00:00"/>
    <n v="26.940451745379878"/>
    <s v="RELACIONADO CONSANGUINEO"/>
    <s v="WILBERTH ALONSO"/>
    <s v="ROMERO"/>
    <s v="ROBLES"/>
    <n v="305290944"/>
    <x v="496"/>
    <s v="MASCULINO "/>
    <d v="2001-01-21T00:00:00"/>
    <n v="24.093086926762492"/>
    <s v="O+"/>
    <m/>
    <s v="Vasculitis ANCA"/>
    <s v="HEMODIÁLISIS"/>
    <s v="COSTA RICA"/>
    <s v="SAN JOSE"/>
    <s v="DESAMPARADOS"/>
    <s v="SAN CRISTOBAL"/>
    <d v="1899-12-30T01:43:00"/>
    <d v="1899-12-30T00:40:00"/>
    <d v="1899-12-30T04:25:00"/>
    <n v="0"/>
    <s v="NO"/>
    <s v="VIVO"/>
    <s v="VIVO"/>
    <m/>
    <m/>
    <m/>
    <m/>
    <m/>
    <s v="NO"/>
    <m/>
    <m/>
    <m/>
    <s v="FUNCIONAL"/>
    <m/>
    <m/>
    <m/>
    <m/>
    <s v="NO"/>
    <m/>
    <m/>
    <s v="NO"/>
    <m/>
    <s v="BASI"/>
    <m/>
    <m/>
    <s v="NO"/>
    <m/>
    <m/>
    <m/>
    <s v="NO"/>
    <s v="NO"/>
    <m/>
    <m/>
    <s v="NO"/>
    <m/>
    <m/>
    <n v="305080929"/>
    <s v="FEMENINA"/>
    <s v="COSTA RICA"/>
    <s v="2° GRADO"/>
    <s v="HERMANA (O)"/>
    <n v="0"/>
    <n v="149"/>
    <n v="4.8952772073921968"/>
    <n v="0.40793976728268311"/>
  </r>
  <r>
    <x v="0"/>
    <m/>
    <m/>
    <s v="RIÑÓN"/>
    <x v="1"/>
    <m/>
    <m/>
    <d v="1984-02-24T00:00:00"/>
    <n v="41"/>
    <s v="RELACIONADO CONSANGUINEO"/>
    <s v="LUIS ENRIQUE"/>
    <s v="HERRERA"/>
    <s v="MONTERO"/>
    <n v="114420462"/>
    <x v="497"/>
    <s v="MASCULINO"/>
    <d v="1990-10-12T00:00:00"/>
    <n v="34.376454483230667"/>
    <s v="O-"/>
    <m/>
    <m/>
    <m/>
    <s v="COSTA RICA"/>
    <s v="Moravia "/>
    <m/>
    <m/>
    <m/>
    <m/>
    <m/>
    <m/>
    <s v="NO"/>
    <s v="VIVO"/>
    <s v="VIVO"/>
    <m/>
    <m/>
    <m/>
    <m/>
    <m/>
    <s v="NO"/>
    <m/>
    <m/>
    <m/>
    <s v="FUNCIONAL"/>
    <m/>
    <m/>
    <m/>
    <m/>
    <s v="NO"/>
    <m/>
    <m/>
    <s v="NO"/>
    <m/>
    <m/>
    <m/>
    <m/>
    <s v="NO"/>
    <m/>
    <m/>
    <m/>
    <s v="NO"/>
    <s v="NO"/>
    <m/>
    <m/>
    <m/>
    <m/>
    <m/>
    <n v="111980457"/>
    <s v="FEMENINA"/>
    <s v="COSTA RICA"/>
    <s v="4° GRADO"/>
    <s v="PRIMA (O)"/>
    <n v="0"/>
    <n v="147"/>
    <n v="4.8295687885010263"/>
    <n v="0.40246406570841892"/>
  </r>
  <r>
    <x v="0"/>
    <m/>
    <m/>
    <m/>
    <x v="0"/>
    <m/>
    <m/>
    <m/>
    <m/>
    <s v="cadaverico"/>
    <s v="Jose Miguel Salas Diaz"/>
    <m/>
    <m/>
    <n v="110260522"/>
    <x v="498"/>
    <s v="MASCULINO"/>
    <d v="1979-02-15T00:00:00"/>
    <n v="46.045174537987677"/>
    <s v="A+"/>
    <m/>
    <m/>
    <m/>
    <s v="COSTA RICA"/>
    <s v="San Jose"/>
    <m/>
    <m/>
    <m/>
    <m/>
    <m/>
    <m/>
    <s v="NO"/>
    <s v="VIVO"/>
    <s v="VIVO"/>
    <m/>
    <m/>
    <m/>
    <m/>
    <m/>
    <s v="NO"/>
    <m/>
    <m/>
    <m/>
    <s v="FUNCIONAL"/>
    <m/>
    <m/>
    <m/>
    <m/>
    <s v="NO"/>
    <m/>
    <m/>
    <s v="NO"/>
    <m/>
    <m/>
    <m/>
    <m/>
    <s v="NO"/>
    <m/>
    <m/>
    <m/>
    <s v="NO"/>
    <s v="NO"/>
    <m/>
    <m/>
    <m/>
    <m/>
    <m/>
    <m/>
    <m/>
    <m/>
    <m/>
    <m/>
    <n v="0"/>
    <n v="142"/>
    <n v="4.6652977412731005"/>
    <n v="0.38877481177275841"/>
  </r>
  <r>
    <x v="1"/>
    <s v="UP2101 - HOSPITAL DR. RAFAEL A. CALDERÓN GUARDIA"/>
    <m/>
    <s v="RIÑON"/>
    <x v="0"/>
    <m/>
    <s v="A+"/>
    <m/>
    <n v="44"/>
    <m/>
    <m/>
    <m/>
    <m/>
    <n v="402420700"/>
    <x v="498"/>
    <s v="MASCULINO"/>
    <d v="1999-04-25T00:00:00"/>
    <n v="25.856262833675565"/>
    <s v="A+"/>
    <m/>
    <s v="ERC5 PROB GN CRONICA"/>
    <s v="DP"/>
    <s v="COSTA RICA"/>
    <s v="LIMON"/>
    <s v="LIMON"/>
    <s v="LIMON"/>
    <n v="7"/>
    <s v="no datos"/>
    <n v="6.45"/>
    <s v="si"/>
    <s v="NO"/>
    <s v="VIVO"/>
    <s v="VIVO"/>
    <m/>
    <m/>
    <m/>
    <m/>
    <m/>
    <s v="NO"/>
    <m/>
    <m/>
    <m/>
    <s v="FUNCIONAL"/>
    <m/>
    <m/>
    <m/>
    <m/>
    <s v="NO"/>
    <m/>
    <m/>
    <s v="NO"/>
    <m/>
    <s v="BASILIXIMAB"/>
    <m/>
    <m/>
    <s v="NO"/>
    <m/>
    <m/>
    <m/>
    <s v="NO"/>
    <s v="SI"/>
    <d v="2025-03-09T00:00:00"/>
    <m/>
    <s v="no "/>
    <m/>
    <m/>
    <m/>
    <m/>
    <m/>
    <m/>
    <m/>
    <n v="0"/>
    <n v="142"/>
    <n v="4.6652977412731005"/>
    <n v="0.38877481177275841"/>
  </r>
  <r>
    <x v="1"/>
    <s v="UP2101 - HOSPITAL DR. RAFAEL A. CALDERÓN GUARDIA"/>
    <m/>
    <s v="RIÑON"/>
    <x v="1"/>
    <m/>
    <s v="O+"/>
    <d v="1988-08-22T00:00:00"/>
    <n v="36"/>
    <s v="RELACIONADO CONSANGUINEO"/>
    <s v="JOHNANNATAN JOSE"/>
    <s v="BARBOZA"/>
    <s v="VALLEJO"/>
    <n v="108490378"/>
    <x v="498"/>
    <s v="MASCULINO"/>
    <d v="1973-03-10T00:00:00"/>
    <n v="51.980835044490078"/>
    <s v="O-"/>
    <m/>
    <s v="ERC5 HTA"/>
    <s v="DP"/>
    <s v="COSTA RICA"/>
    <s v="SAN JOSE"/>
    <s v="CORONADO"/>
    <s v="SAN RAFAEL"/>
    <d v="1899-12-30T00:38:00"/>
    <m/>
    <m/>
    <s v="si"/>
    <s v="NO"/>
    <s v="VIVO"/>
    <s v="VIVO"/>
    <m/>
    <m/>
    <m/>
    <m/>
    <m/>
    <s v="NO"/>
    <m/>
    <m/>
    <m/>
    <s v="FUNCIONAL"/>
    <m/>
    <m/>
    <m/>
    <m/>
    <m/>
    <m/>
    <s v="TRASPLANTECTOMIA"/>
    <s v="NO"/>
    <m/>
    <s v="BASILIXIMAB"/>
    <m/>
    <m/>
    <s v="SI"/>
    <d v="2025-03-12T00:00:00"/>
    <s v="UROLÓGICA"/>
    <s v="NECROSIS URETER DISTAL + URINOMA PERIRRENAL 12/3/25"/>
    <s v="SI"/>
    <s v="NO"/>
    <m/>
    <m/>
    <s v="no "/>
    <m/>
    <m/>
    <n v="113640241"/>
    <s v="MASCULINO"/>
    <s v="COSTA RICA"/>
    <s v="2° GRADO"/>
    <s v="HERMANA (O)"/>
    <n v="0"/>
    <n v="142"/>
    <n v="4.6652977412731005"/>
    <n v="0.38877481177275841"/>
  </r>
  <r>
    <x v="4"/>
    <s v="UP2102 - HOSPITAL SAN JUAN DE DIOS"/>
    <m/>
    <s v="RIÑÓN"/>
    <x v="1"/>
    <m/>
    <m/>
    <d v="1983-10-14T00:00:00"/>
    <n v="31"/>
    <s v="RELACIONADO CONSANGUINEO"/>
    <s v="KAROLIN VIVIANA"/>
    <s v="MARCHENA"/>
    <s v="SERRU"/>
    <n v="604510079"/>
    <x v="499"/>
    <s v="FEMENINA"/>
    <d v="1999-02-05T00:00:00"/>
    <n v="26.078028747433265"/>
    <s v="A+"/>
    <m/>
    <s v="ERC ESTADÍO V - NEFRITIS LÚPICA"/>
    <s v="DIALISIS PERITONEAL"/>
    <s v="COSTA RICA"/>
    <s v="PUNTARENAS"/>
    <s v="CORREDORES"/>
    <s v="LAUREL"/>
    <d v="1899-12-30T01:03:00"/>
    <m/>
    <m/>
    <m/>
    <s v="NO"/>
    <s v="VIVO"/>
    <s v="VIVO"/>
    <m/>
    <m/>
    <m/>
    <m/>
    <m/>
    <s v="NO"/>
    <m/>
    <m/>
    <m/>
    <s v="FUNCIONAL"/>
    <m/>
    <m/>
    <m/>
    <m/>
    <m/>
    <m/>
    <m/>
    <s v="NO"/>
    <m/>
    <m/>
    <m/>
    <m/>
    <s v="NO"/>
    <m/>
    <m/>
    <m/>
    <s v="NO"/>
    <s v="NO"/>
    <m/>
    <m/>
    <s v="NO"/>
    <m/>
    <m/>
    <n v="604120324"/>
    <s v="FEMENINA"/>
    <s v="COSTA RICA"/>
    <s v="2° GRADO"/>
    <s v="HERMANA (O)"/>
    <n v="0"/>
    <n v="140"/>
    <n v="4.59958932238193"/>
    <n v="0.38329911019849416"/>
  </r>
  <r>
    <x v="1"/>
    <s v="UP2101 - HOSPITAL DR. RAFAEL A. CALDERÓN GUARDIA"/>
    <s v="DF.10.2025"/>
    <s v="RIÑON"/>
    <x v="0"/>
    <s v="SI"/>
    <s v="B+"/>
    <m/>
    <n v="65"/>
    <m/>
    <m/>
    <m/>
    <m/>
    <n v="105680204"/>
    <x v="500"/>
    <s v="MASCULINO"/>
    <d v="1961-11-03T00:00:00"/>
    <n v="63.337440109514034"/>
    <s v="B+"/>
    <m/>
    <s v="ERC5"/>
    <s v="DP"/>
    <s v="COSTA RICA"/>
    <s v="SAN JOSE"/>
    <s v="MORAVIA"/>
    <s v="SAN VICENTE"/>
    <d v="1899-12-30T08:02:00"/>
    <s v="no datos"/>
    <s v="no datos"/>
    <s v="si"/>
    <s v="NO"/>
    <s v="VIVO"/>
    <s v="VIVO"/>
    <m/>
    <m/>
    <m/>
    <m/>
    <m/>
    <s v="NO"/>
    <m/>
    <m/>
    <m/>
    <s v="FUNCIONAL"/>
    <m/>
    <m/>
    <m/>
    <m/>
    <m/>
    <m/>
    <m/>
    <s v="NO"/>
    <m/>
    <s v="BASILIXIMAB"/>
    <m/>
    <m/>
    <s v="NO"/>
    <m/>
    <m/>
    <m/>
    <s v="NO"/>
    <s v="SI"/>
    <d v="2025-05-17T00:00:00"/>
    <s v="BACTERIEMIA POR K PNEUMONIAE DERIVADA DE PIELONEFRITIS RIÑON DERECHO"/>
    <s v="no "/>
    <m/>
    <m/>
    <m/>
    <m/>
    <m/>
    <m/>
    <m/>
    <n v="0"/>
    <n v="139"/>
    <n v="4.5667351129363452"/>
    <n v="0.3805612594113621"/>
  </r>
  <r>
    <x v="2"/>
    <s v="UP2306 - HOSPITAL DR. MAX PERALTA"/>
    <m/>
    <s v="RIÑÓN"/>
    <x v="1"/>
    <s v="NO"/>
    <s v="O+"/>
    <d v="1982-07-11T00:00:00"/>
    <n v="42.663928815879537"/>
    <s v="RELACIONADO CONSANGUINEO"/>
    <s v="KEVIN ALEXANDER"/>
    <s v="VARGAS"/>
    <s v="MORA"/>
    <n v="305450612"/>
    <x v="501"/>
    <s v="MASCULINO"/>
    <d v="2003-04-25T00:00:00"/>
    <n v="21.87542778918549"/>
    <s v="O+"/>
    <m/>
    <s v="GLOMERULOPATIA PRIMARIA"/>
    <s v="HEMODIÁLISIS"/>
    <s v="COSTA RICA"/>
    <s v="CARTAGO"/>
    <s v="Jiménez"/>
    <s v="TUCURRIQUE"/>
    <d v="1899-12-30T01:10:00"/>
    <s v="3 minutos"/>
    <s v="3 horas 30mins"/>
    <n v="3"/>
    <s v="NO"/>
    <s v="VIVO"/>
    <s v="VIVO"/>
    <m/>
    <m/>
    <m/>
    <m/>
    <m/>
    <s v="NO"/>
    <m/>
    <m/>
    <m/>
    <s v="FUNCIONAL"/>
    <m/>
    <m/>
    <m/>
    <m/>
    <s v="NA"/>
    <m/>
    <m/>
    <s v="NO"/>
    <m/>
    <s v="BASI"/>
    <m/>
    <m/>
    <s v="NO"/>
    <m/>
    <m/>
    <m/>
    <s v="NO"/>
    <s v="NO"/>
    <m/>
    <m/>
    <s v="NO"/>
    <m/>
    <m/>
    <n v="303820216"/>
    <s v="FEMENINA"/>
    <s v="COSTA RICA"/>
    <s v="1° GRADO"/>
    <s v="MADRE/PADRE"/>
    <n v="0"/>
    <n v="135"/>
    <n v="4.4353182751540041"/>
    <n v="0.36960985626283366"/>
  </r>
  <r>
    <x v="0"/>
    <m/>
    <m/>
    <s v="RIÑÓN"/>
    <x v="1"/>
    <m/>
    <m/>
    <d v="1989-05-27T00:00:00"/>
    <n v="36"/>
    <s v="RELACIONADO CONSANGUINEO"/>
    <s v="GERARDO ANTONIO"/>
    <s v="QUIROS"/>
    <s v="QUIROS"/>
    <n v="503480794"/>
    <x v="502"/>
    <s v="MASCULINO"/>
    <d v="1985-11-01T00:00:00"/>
    <n v="39.359342915811091"/>
    <s v="O+"/>
    <m/>
    <m/>
    <m/>
    <s v="COSTA RICA"/>
    <s v="GUANACASTE"/>
    <s v="BAGACES"/>
    <s v="BAGACES"/>
    <m/>
    <m/>
    <m/>
    <m/>
    <s v="NO"/>
    <s v="VIVO"/>
    <s v="VIVO"/>
    <m/>
    <m/>
    <m/>
    <m/>
    <m/>
    <s v="NO"/>
    <m/>
    <m/>
    <m/>
    <s v="FUNCIONAL"/>
    <m/>
    <m/>
    <m/>
    <m/>
    <m/>
    <m/>
    <m/>
    <s v="NO"/>
    <m/>
    <m/>
    <m/>
    <m/>
    <s v="NO"/>
    <m/>
    <m/>
    <m/>
    <s v="NO"/>
    <s v="NO"/>
    <m/>
    <m/>
    <m/>
    <m/>
    <m/>
    <n v="503710614"/>
    <s v="FEMENINA"/>
    <s v="COSTA RICA"/>
    <s v="3° GRADO"/>
    <s v="SOBRINA (O)"/>
    <n v="0"/>
    <n v="133"/>
    <n v="4.3696098562628336"/>
    <n v="0.36413415468856947"/>
  </r>
  <r>
    <x v="1"/>
    <s v="UP2101 - HOSPITAL DR. RAFAEL A. CALDERÓN GUARDIA"/>
    <s v="DF.13.2025"/>
    <s v="RIÑON"/>
    <x v="0"/>
    <m/>
    <s v="O+"/>
    <m/>
    <n v="16"/>
    <m/>
    <m/>
    <m/>
    <m/>
    <n v="702650642"/>
    <x v="502"/>
    <s v="FEMENINA"/>
    <d v="1998-12-31T00:00:00"/>
    <n v="26.195756331279945"/>
    <s v="O+"/>
    <m/>
    <s v="ERC5"/>
    <s v="HD"/>
    <s v="COSTA RICA"/>
    <s v="LIMON"/>
    <s v="POCOSI"/>
    <s v="ROXANA"/>
    <d v="1899-12-30T06:10:00"/>
    <s v="no datos"/>
    <n v="1.5"/>
    <s v="si"/>
    <s v="SI"/>
    <s v="VIVO"/>
    <s v="VIVO"/>
    <m/>
    <m/>
    <m/>
    <m/>
    <m/>
    <s v="NO"/>
    <m/>
    <m/>
    <m/>
    <s v="FUNCIONAL"/>
    <m/>
    <m/>
    <m/>
    <m/>
    <m/>
    <m/>
    <m/>
    <s v="NO"/>
    <m/>
    <s v="BASILIXIMAB"/>
    <m/>
    <m/>
    <s v="NO"/>
    <m/>
    <m/>
    <m/>
    <s v="NO"/>
    <s v="SI"/>
    <d v="2025-04-28T00:00:00"/>
    <s v="CMV"/>
    <s v="no "/>
    <m/>
    <m/>
    <m/>
    <m/>
    <m/>
    <m/>
    <m/>
    <n v="0"/>
    <n v="133"/>
    <n v="4.3696098562628336"/>
    <n v="0.36413415468856947"/>
  </r>
  <r>
    <x v="3"/>
    <s v="UP2103 - HOSPITAL NACIONAL DE NIÑOS"/>
    <m/>
    <s v="RIÑON"/>
    <x v="0"/>
    <m/>
    <m/>
    <m/>
    <m/>
    <m/>
    <s v="HEISEL"/>
    <s v="GODINEZ"/>
    <s v="BARBOZA"/>
    <n v="121110752"/>
    <x v="503"/>
    <s v="FEMENINA"/>
    <d v="2011-03-22T00:00:00"/>
    <n v="13.976728268309378"/>
    <s v="O+"/>
    <m/>
    <m/>
    <m/>
    <s v="COSTA RICA"/>
    <s v="SAN JOSE"/>
    <s v="PEREZ ZELEDON"/>
    <s v="SAN ISIDRO DEL GENERAL"/>
    <m/>
    <m/>
    <m/>
    <m/>
    <s v="NO"/>
    <s v="VIVO"/>
    <s v="VIVO"/>
    <m/>
    <m/>
    <m/>
    <m/>
    <m/>
    <s v="NO"/>
    <m/>
    <m/>
    <m/>
    <s v="SIN INJERTO"/>
    <m/>
    <m/>
    <m/>
    <m/>
    <d v="2025-03-11T00:00:00"/>
    <s v="NECROSIS"/>
    <s v="TRASPLANTECTOMIA"/>
    <s v="NO"/>
    <m/>
    <m/>
    <m/>
    <m/>
    <s v="SI"/>
    <d v="2025-03-11T00:00:00"/>
    <s v="NECROSIS URETERO PROXIMAL. RETIRO DE INJERTO."/>
    <m/>
    <s v="NO"/>
    <s v="NO"/>
    <m/>
    <m/>
    <m/>
    <m/>
    <m/>
    <m/>
    <m/>
    <m/>
    <m/>
    <m/>
    <n v="0"/>
    <n v="132"/>
    <n v="4.3367556468172488"/>
    <n v="0.3613963039014374"/>
  </r>
  <r>
    <x v="0"/>
    <m/>
    <m/>
    <s v="RIÑÓN"/>
    <x v="1"/>
    <m/>
    <m/>
    <d v="2002-01-04T00:00:00"/>
    <n v="23"/>
    <s v="RELACIONADO CONSANGUINEO"/>
    <s v="ANA PATRICIA"/>
    <s v="CORDOBA"/>
    <s v="VALVERDE"/>
    <n v="204970178"/>
    <x v="504"/>
    <s v="FEMENINA"/>
    <d v="1974-09-21T00:00:00"/>
    <n v="50.491444216290212"/>
    <s v="O+"/>
    <m/>
    <m/>
    <m/>
    <s v="COSTA RICA"/>
    <s v="Alajuela, Palmares"/>
    <m/>
    <m/>
    <d v="1899-12-30T01:20:00"/>
    <m/>
    <m/>
    <m/>
    <s v="NO"/>
    <s v="VIVO"/>
    <s v="VIVO"/>
    <m/>
    <m/>
    <m/>
    <m/>
    <m/>
    <s v="NO"/>
    <m/>
    <m/>
    <m/>
    <s v="FUNCIONAL"/>
    <m/>
    <m/>
    <m/>
    <m/>
    <m/>
    <m/>
    <m/>
    <s v="NO"/>
    <m/>
    <m/>
    <m/>
    <m/>
    <s v="NO"/>
    <m/>
    <m/>
    <m/>
    <s v="NO"/>
    <s v="SI"/>
    <d v="2025-03-30T00:00:00"/>
    <s v="E.COLI"/>
    <m/>
    <m/>
    <m/>
    <n v="118320641"/>
    <s v="FEMENINA"/>
    <s v="COSTA RICA"/>
    <s v="1° GRADO"/>
    <s v="HIJA/HIJO"/>
    <n v="0"/>
    <n v="126"/>
    <n v="4.1396303901437372"/>
    <n v="0.34496919917864477"/>
  </r>
  <r>
    <x v="2"/>
    <s v="UP2306 - HOSPITAL DR. MAX PERALTA"/>
    <m/>
    <s v="RIÑÓN"/>
    <x v="0"/>
    <s v="SI"/>
    <m/>
    <m/>
    <n v="125.23203285420945"/>
    <s v="NO APLICA"/>
    <m/>
    <m/>
    <m/>
    <n v="303010948"/>
    <x v="505"/>
    <s v="MASCULINO "/>
    <d v="1969-04-30T00:00:00"/>
    <n v="55.901437371663242"/>
    <s v="A+"/>
    <m/>
    <s v="Nefropatía diabética"/>
    <s v="DIÁLISIS PERITONEAL"/>
    <s v="COSTA RICA"/>
    <s v="CARTAGO"/>
    <s v="TURRIALBA"/>
    <s v="TURRIALBA"/>
    <d v="1899-12-30T00:50:00"/>
    <d v="1899-12-30T00:25:00"/>
    <m/>
    <n v="0"/>
    <s v="NO"/>
    <s v="VIVO"/>
    <s v="VIVO"/>
    <m/>
    <m/>
    <m/>
    <m/>
    <m/>
    <s v="NO"/>
    <m/>
    <m/>
    <m/>
    <s v="FUNCIONAL"/>
    <m/>
    <m/>
    <m/>
    <m/>
    <m/>
    <m/>
    <m/>
    <s v="NO"/>
    <m/>
    <s v="TIMO"/>
    <m/>
    <m/>
    <s v="SI"/>
    <d v="2025-03-26T00:00:00"/>
    <s v="UROLÓGICA"/>
    <s v="FUGA DE URETERO"/>
    <s v="SI"/>
    <s v="SI"/>
    <d v="2025-05-13T00:00:00"/>
    <s v="CMV"/>
    <s v="NO"/>
    <m/>
    <m/>
    <m/>
    <m/>
    <m/>
    <m/>
    <m/>
    <n v="0"/>
    <n v="120"/>
    <n v="3.9425051334702257"/>
    <n v="0.32854209445585214"/>
  </r>
  <r>
    <x v="0"/>
    <m/>
    <m/>
    <m/>
    <x v="0"/>
    <m/>
    <m/>
    <m/>
    <m/>
    <s v="Cadaverico"/>
    <s v="Minor Solano Melendez"/>
    <m/>
    <m/>
    <n v="401310866"/>
    <x v="505"/>
    <s v="MASCULINO"/>
    <d v="1963-01-14T00:00:00"/>
    <n v="62.19301848049281"/>
    <s v="A+"/>
    <m/>
    <m/>
    <m/>
    <s v="COSTA RICA"/>
    <s v="Heredia, Barva"/>
    <m/>
    <m/>
    <m/>
    <m/>
    <m/>
    <m/>
    <s v="NO"/>
    <s v="VIVO"/>
    <s v="VIVO"/>
    <m/>
    <m/>
    <m/>
    <m/>
    <m/>
    <s v="NO"/>
    <m/>
    <m/>
    <m/>
    <s v="FUNCIONAL"/>
    <m/>
    <m/>
    <m/>
    <m/>
    <m/>
    <m/>
    <m/>
    <s v="NO"/>
    <m/>
    <m/>
    <m/>
    <m/>
    <s v="NO"/>
    <m/>
    <m/>
    <m/>
    <s v="NO"/>
    <s v="NO"/>
    <m/>
    <m/>
    <m/>
    <m/>
    <m/>
    <m/>
    <m/>
    <m/>
    <m/>
    <m/>
    <n v="0"/>
    <n v="120"/>
    <n v="3.9425051334702257"/>
    <n v="0.32854209445585214"/>
  </r>
  <r>
    <x v="4"/>
    <s v="UP2102 - HOSPITAL SAN JUAN DE DIOS"/>
    <m/>
    <s v="RIÑON"/>
    <x v="0"/>
    <m/>
    <m/>
    <m/>
    <m/>
    <m/>
    <m/>
    <m/>
    <m/>
    <n v="112890128"/>
    <x v="506"/>
    <s v="FEMENINA"/>
    <d v="1986-08-25T00:00:00"/>
    <n v="38.587268993839835"/>
    <s v="AB+"/>
    <m/>
    <s v="ERC 5"/>
    <s v="DIALISIS PERITONEAL"/>
    <s v="COSTA RICA"/>
    <s v="SAN JOSE"/>
    <s v="ESCAZU"/>
    <s v="SAN RAFAEL"/>
    <d v="1899-12-30T07:57:00"/>
    <m/>
    <m/>
    <m/>
    <s v="NO"/>
    <s v="VIVO"/>
    <s v="VIVO"/>
    <m/>
    <m/>
    <m/>
    <m/>
    <m/>
    <s v="NO"/>
    <m/>
    <m/>
    <m/>
    <s v="FUNCIONAL"/>
    <m/>
    <m/>
    <m/>
    <m/>
    <m/>
    <m/>
    <m/>
    <s v="NO"/>
    <m/>
    <m/>
    <m/>
    <m/>
    <s v="NO"/>
    <m/>
    <m/>
    <m/>
    <s v="NO"/>
    <s v="NO"/>
    <m/>
    <m/>
    <m/>
    <m/>
    <m/>
    <m/>
    <m/>
    <m/>
    <m/>
    <m/>
    <n v="0"/>
    <n v="118"/>
    <n v="3.8767967145790556"/>
    <n v="0.32306639288158795"/>
  </r>
  <r>
    <x v="3"/>
    <s v="UP2103 - HOSPITAL NACIONAL DE NIÑOS"/>
    <m/>
    <s v="RIÑÓN"/>
    <x v="1"/>
    <m/>
    <s v="O+"/>
    <d v="1992-09-06T00:00:00"/>
    <n v="32"/>
    <s v="RELACIONADO CONSANGUINEO"/>
    <s v="DARLING SIONI"/>
    <s v="ARAYA"/>
    <s v="VASQUEZ"/>
    <n v="305980621"/>
    <x v="506"/>
    <s v="FEMENINA"/>
    <d v="2011-03-28T00:00:00"/>
    <n v="13.998631074606434"/>
    <s v="O+"/>
    <d v="2025-01-01T00:00:00"/>
    <m/>
    <m/>
    <s v="COSTA RICA"/>
    <s v="CARTAGO"/>
    <s v="CARTAGO"/>
    <s v="AGUACALIENTE (SAN FRANCISCO)"/>
    <d v="1899-12-30T02:05:00"/>
    <m/>
    <m/>
    <m/>
    <s v="NO"/>
    <s v="VIVO"/>
    <s v="VIVO"/>
    <m/>
    <m/>
    <m/>
    <m/>
    <m/>
    <s v="NO"/>
    <m/>
    <m/>
    <m/>
    <s v="FUNCIONAL"/>
    <m/>
    <m/>
    <m/>
    <m/>
    <m/>
    <m/>
    <m/>
    <s v="NO"/>
    <m/>
    <m/>
    <m/>
    <m/>
    <s v="SI"/>
    <m/>
    <s v="VASCULAR"/>
    <s v=" HEMATOMA + RAFIA DE ANASTOMOSIS ARTERIAL + COLOCACION DE DRENO DE JACKSON "/>
    <s v="NO"/>
    <s v="SI"/>
    <d v="2025-05-19T00:00:00"/>
    <s v="E.COLI"/>
    <m/>
    <m/>
    <m/>
    <n v="304640699"/>
    <s v="FEMENINA"/>
    <s v="COSTA RICA"/>
    <s v="1° GRADO"/>
    <s v="MADRE/PADRE"/>
    <n v="0"/>
    <n v="118"/>
    <n v="3.8767967145790556"/>
    <n v="0.32306639288158795"/>
  </r>
  <r>
    <x v="0"/>
    <s v="UP2502 - HOSPITAL ENRIQUE BALTODANO"/>
    <m/>
    <m/>
    <x v="0"/>
    <m/>
    <m/>
    <m/>
    <m/>
    <s v="Cadavérico"/>
    <s v="Juliet Alvarado Cantillo"/>
    <m/>
    <m/>
    <n v="504210478"/>
    <x v="506"/>
    <s v="FEMENINA"/>
    <d v="1998-04-15T00:00:00"/>
    <n v="26.948665297741272"/>
    <s v="B+"/>
    <m/>
    <m/>
    <m/>
    <s v="COSTA RICA"/>
    <s v="Guanacaste, bagaces"/>
    <m/>
    <m/>
    <d v="1899-12-30T08:00:00"/>
    <m/>
    <m/>
    <m/>
    <s v="NO"/>
    <s v="VIVO"/>
    <s v="VIVO"/>
    <m/>
    <m/>
    <m/>
    <m/>
    <m/>
    <s v="NO"/>
    <m/>
    <m/>
    <m/>
    <s v="FUNCIONAL"/>
    <m/>
    <m/>
    <m/>
    <m/>
    <m/>
    <m/>
    <m/>
    <s v="NO"/>
    <m/>
    <m/>
    <m/>
    <m/>
    <s v="NO"/>
    <m/>
    <m/>
    <m/>
    <s v="NO"/>
    <s v="NO"/>
    <m/>
    <m/>
    <m/>
    <m/>
    <m/>
    <m/>
    <m/>
    <m/>
    <m/>
    <m/>
    <n v="0"/>
    <n v="118"/>
    <n v="3.8767967145790556"/>
    <n v="0.32306639288158795"/>
  </r>
  <r>
    <x v="4"/>
    <s v="UP2102 - HOSPITAL SAN JUAN DE DIOS"/>
    <m/>
    <s v="RIÑON"/>
    <x v="0"/>
    <m/>
    <m/>
    <m/>
    <m/>
    <m/>
    <m/>
    <m/>
    <m/>
    <n v="105230740"/>
    <x v="507"/>
    <s v="MASCULINO"/>
    <d v="1960-01-07T00:00:00"/>
    <n v="65.223819301848053"/>
    <s v="A+"/>
    <m/>
    <s v="ERC ESTADIO V"/>
    <s v="HEMODIALISIS"/>
    <s v="COSTA RICA"/>
    <s v="SAN JOSE"/>
    <s v="PURISCAL"/>
    <s v="BARBACOAS"/>
    <d v="1899-12-30T06:19:00"/>
    <m/>
    <m/>
    <m/>
    <s v="SI"/>
    <s v="VIVO"/>
    <s v="VIVO"/>
    <m/>
    <m/>
    <m/>
    <m/>
    <m/>
    <s v="NO"/>
    <m/>
    <m/>
    <m/>
    <s v="FUNCIONAL"/>
    <m/>
    <m/>
    <m/>
    <m/>
    <m/>
    <m/>
    <m/>
    <s v="NO"/>
    <m/>
    <m/>
    <m/>
    <m/>
    <s v="NO"/>
    <m/>
    <m/>
    <m/>
    <s v="NO"/>
    <s v="NO"/>
    <m/>
    <m/>
    <m/>
    <m/>
    <m/>
    <m/>
    <m/>
    <m/>
    <m/>
    <m/>
    <n v="0"/>
    <n v="116"/>
    <n v="3.8110882956878851"/>
    <n v="0.31759069130732376"/>
  </r>
  <r>
    <x v="0"/>
    <m/>
    <m/>
    <m/>
    <x v="0"/>
    <m/>
    <m/>
    <m/>
    <m/>
    <s v="Cadaverico"/>
    <s v="Susan Avila Vasquez"/>
    <m/>
    <m/>
    <n v="206540260"/>
    <x v="507"/>
    <s v="FEMENINA"/>
    <d v="1988-12-10T00:00:00"/>
    <n v="36.298425735797402"/>
    <m/>
    <m/>
    <m/>
    <m/>
    <s v="COSTA RICA"/>
    <s v="Alajuela, San Ramón"/>
    <m/>
    <m/>
    <m/>
    <m/>
    <m/>
    <m/>
    <s v="NO"/>
    <s v="VIVO"/>
    <s v="VIVO"/>
    <m/>
    <m/>
    <m/>
    <m/>
    <m/>
    <s v="NO"/>
    <m/>
    <m/>
    <m/>
    <s v="FUNCIONAL"/>
    <m/>
    <m/>
    <m/>
    <m/>
    <m/>
    <m/>
    <m/>
    <s v="NO"/>
    <m/>
    <m/>
    <m/>
    <m/>
    <s v="NO"/>
    <m/>
    <m/>
    <m/>
    <s v="NO"/>
    <s v="NO"/>
    <m/>
    <m/>
    <m/>
    <m/>
    <m/>
    <m/>
    <m/>
    <m/>
    <m/>
    <m/>
    <n v="0"/>
    <n v="116"/>
    <n v="3.8110882956878851"/>
    <n v="0.31759069130732376"/>
  </r>
  <r>
    <x v="0"/>
    <m/>
    <m/>
    <m/>
    <x v="0"/>
    <m/>
    <m/>
    <m/>
    <m/>
    <s v="Cadavérico"/>
    <s v="Julissa Rodriguez Araya"/>
    <m/>
    <m/>
    <n v="207810393"/>
    <x v="508"/>
    <s v="FEMENINA"/>
    <d v="1998-06-19T00:00:00"/>
    <n v="26.781656399726216"/>
    <m/>
    <m/>
    <m/>
    <m/>
    <s v="COSTA RICA"/>
    <s v="Alajuela, Alajuela"/>
    <m/>
    <m/>
    <m/>
    <m/>
    <m/>
    <m/>
    <s v="SI"/>
    <s v="VIVO"/>
    <s v="VIVO"/>
    <m/>
    <m/>
    <m/>
    <m/>
    <m/>
    <s v="NO"/>
    <m/>
    <m/>
    <m/>
    <s v="FUNCIONAL"/>
    <m/>
    <m/>
    <m/>
    <m/>
    <m/>
    <m/>
    <m/>
    <s v="NO"/>
    <m/>
    <m/>
    <m/>
    <m/>
    <s v="SI"/>
    <d v="2025-04-03T00:00:00"/>
    <s v="UROLÓGICA"/>
    <s v="DRENAJE DE HEMATOMA + HEMOSTASIA DE SENO RENAL DEL INJERTO, INTERVENCION REIMPLANTE DERECHO + MODELAJE URETERAL IZQ + Y REPARACION DE PISO VESICAL"/>
    <s v="SI"/>
    <s v="NO"/>
    <m/>
    <m/>
    <m/>
    <m/>
    <m/>
    <m/>
    <m/>
    <m/>
    <m/>
    <m/>
    <n v="0"/>
    <n v="114"/>
    <n v="3.7453798767967146"/>
    <n v="0.31211498973305957"/>
  </r>
  <r>
    <x v="1"/>
    <s v="UP2101 - HOSPITAL DR. RAFAEL A. CALDERÓN GUARDIA"/>
    <s v="DF.17.2025"/>
    <s v="RIÑON"/>
    <x v="0"/>
    <m/>
    <s v="O+"/>
    <m/>
    <n v="35"/>
    <m/>
    <m/>
    <m/>
    <m/>
    <n v="106890743"/>
    <x v="508"/>
    <s v="MASCULINO"/>
    <d v="1967-01-11T00:00:00"/>
    <n v="58.217659137577002"/>
    <s v="O+"/>
    <m/>
    <s v="ERC5 Glomerulonefritis cronica"/>
    <s v="DP"/>
    <s v="COSTA RICA"/>
    <s v="SAN JOSE"/>
    <s v="GOICOECHEA"/>
    <s v="PURRAL"/>
    <s v="no datos"/>
    <s v="no datos"/>
    <n v="7.2"/>
    <s v="si"/>
    <s v="NO"/>
    <s v="VIVO"/>
    <s v="VIVO"/>
    <m/>
    <m/>
    <m/>
    <m/>
    <m/>
    <s v="NO"/>
    <m/>
    <m/>
    <m/>
    <s v="FUNCIONAL"/>
    <m/>
    <m/>
    <m/>
    <m/>
    <m/>
    <m/>
    <m/>
    <s v="NO"/>
    <m/>
    <s v="TIMO"/>
    <m/>
    <m/>
    <s v="NO"/>
    <m/>
    <m/>
    <m/>
    <s v="NO"/>
    <s v="NO"/>
    <m/>
    <m/>
    <s v="no "/>
    <m/>
    <m/>
    <m/>
    <m/>
    <m/>
    <m/>
    <m/>
    <n v="0"/>
    <n v="114"/>
    <n v="3.7453798767967146"/>
    <n v="0.31211498973305957"/>
  </r>
  <r>
    <x v="4"/>
    <s v="UP2102 - HOSPITAL SAN JUAN DE DIOS"/>
    <m/>
    <s v="RIÑON"/>
    <x v="0"/>
    <m/>
    <m/>
    <m/>
    <m/>
    <m/>
    <m/>
    <m/>
    <m/>
    <n v="18512035"/>
    <x v="509"/>
    <s v="MASCULINO"/>
    <d v="1985-05-08T00:00:00"/>
    <n v="39.898699520876114"/>
    <s v="O+"/>
    <m/>
    <s v="ENFERMEDAD RENAL CRONICA ESTADIO V"/>
    <s v="HEMODIALISIS"/>
    <s v="NICARAGUA"/>
    <s v="SAN JOSE"/>
    <s v="ESCAZU"/>
    <s v="ESCAZU"/>
    <d v="1899-12-30T07:20:00"/>
    <m/>
    <m/>
    <m/>
    <s v="SI"/>
    <s v="VIVO"/>
    <s v="VIVO"/>
    <m/>
    <m/>
    <m/>
    <m/>
    <m/>
    <s v="NO"/>
    <m/>
    <m/>
    <m/>
    <s v="FUNCIONAL"/>
    <m/>
    <m/>
    <m/>
    <m/>
    <m/>
    <m/>
    <m/>
    <s v="NO"/>
    <m/>
    <m/>
    <m/>
    <m/>
    <s v="NO"/>
    <m/>
    <m/>
    <m/>
    <s v="NO"/>
    <s v="NO"/>
    <m/>
    <m/>
    <m/>
    <m/>
    <m/>
    <m/>
    <m/>
    <m/>
    <m/>
    <m/>
    <n v="0"/>
    <n v="113"/>
    <n v="3.7125256673511293"/>
    <n v="0.30937713894592744"/>
  </r>
  <r>
    <x v="2"/>
    <s v="UP2306 - HOSPITAL DR. MAX PERALTA"/>
    <m/>
    <s v="RIÑÓN"/>
    <x v="0"/>
    <s v="SI"/>
    <m/>
    <m/>
    <n v="125.25119780971937"/>
    <s v="NO APLICA"/>
    <m/>
    <m/>
    <m/>
    <n v="304650482"/>
    <x v="509"/>
    <s v="FEMENINO"/>
    <d v="1992-10-07T00:00:00"/>
    <n v="32.481861738535251"/>
    <s v="A+"/>
    <m/>
    <s v="DESCONOCIDO"/>
    <s v="HEMODIÁLISIS"/>
    <s v="COSTA RICA"/>
    <s v="CARTAGO"/>
    <s v="EL GUARCO"/>
    <s v="SAN ISIDRO"/>
    <m/>
    <d v="1899-12-30T00:35:00"/>
    <d v="1899-12-30T05:30:00"/>
    <n v="0"/>
    <s v="SI"/>
    <s v="VIVO"/>
    <s v="VIVO"/>
    <m/>
    <m/>
    <m/>
    <m/>
    <m/>
    <s v="NO"/>
    <m/>
    <m/>
    <m/>
    <s v="DISFUNCIONAL"/>
    <m/>
    <m/>
    <m/>
    <m/>
    <d v="2025-04-01T00:00:00"/>
    <s v="AUSENCIA DE FLUJO VASCULAR"/>
    <s v="TRASPLANTECTOMIA"/>
    <s v="NO"/>
    <m/>
    <s v="TIMO"/>
    <m/>
    <m/>
    <s v="SI"/>
    <d v="2025-04-02T00:00:00"/>
    <s v="VASCULAR"/>
    <m/>
    <s v="SI"/>
    <s v="NO"/>
    <m/>
    <m/>
    <s v="NO"/>
    <m/>
    <m/>
    <m/>
    <m/>
    <m/>
    <m/>
    <m/>
    <n v="0"/>
    <n v="113"/>
    <n v="3.7125256673511293"/>
    <n v="0.30937713894592744"/>
  </r>
  <r>
    <x v="4"/>
    <s v="UP2102 - HOSPITAL SAN JUAN DE DIOS"/>
    <m/>
    <s v="RIÑÓN"/>
    <x v="1"/>
    <m/>
    <m/>
    <m/>
    <m/>
    <s v="RELACIONADO CONSANGUINEO"/>
    <s v="MARLIN BENITA"/>
    <s v="SANCHEZ"/>
    <s v="PICHARDO"/>
    <n v="2840102343"/>
    <x v="510"/>
    <s v="FEMENINA"/>
    <d v="1984-03-21T00:00:00"/>
    <n v="41.032169746748799"/>
    <s v="O+"/>
    <m/>
    <s v="ENFERMEDAD RENAL CRONICA ESTADIO "/>
    <s v="DIALISIS PERITONEAL"/>
    <s v="NICARAGUA"/>
    <s v="SAN JOSE"/>
    <s v="SAN JOSE"/>
    <s v="HOSPITAL"/>
    <d v="1899-12-30T01:25:00"/>
    <m/>
    <m/>
    <m/>
    <s v="NO"/>
    <m/>
    <m/>
    <m/>
    <m/>
    <m/>
    <m/>
    <m/>
    <s v="NO"/>
    <m/>
    <m/>
    <m/>
    <m/>
    <m/>
    <m/>
    <m/>
    <m/>
    <m/>
    <m/>
    <m/>
    <s v="NO"/>
    <m/>
    <m/>
    <m/>
    <m/>
    <s v="NO"/>
    <m/>
    <m/>
    <m/>
    <s v="NO"/>
    <s v="NO"/>
    <m/>
    <m/>
    <m/>
    <m/>
    <m/>
    <n v="2040101751"/>
    <s v="FEMENINA"/>
    <s v="NICARAGUA"/>
    <s v="1° GRADO"/>
    <s v="HIJA/HIJO"/>
    <n v="0"/>
    <n v="112"/>
    <n v="3.6796714579055441"/>
    <n v="0.30663928815879532"/>
  </r>
  <r>
    <x v="0"/>
    <m/>
    <m/>
    <m/>
    <x v="0"/>
    <m/>
    <m/>
    <m/>
    <m/>
    <s v="cadaverico"/>
    <s v="Henry Delgado Rojas"/>
    <m/>
    <m/>
    <n v="602660010"/>
    <x v="511"/>
    <s v="MASCULINO"/>
    <d v="1975-01-20T00:00:00"/>
    <n v="50.217659137577002"/>
    <m/>
    <m/>
    <m/>
    <m/>
    <s v="COSTA RICA"/>
    <s v="Puntarenas, esparza"/>
    <m/>
    <m/>
    <m/>
    <m/>
    <m/>
    <m/>
    <s v="NO"/>
    <s v="VIVO"/>
    <s v="VIVO"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05"/>
    <n v="3.4496919917864477"/>
    <n v="0.28747433264887062"/>
  </r>
  <r>
    <x v="1"/>
    <s v="UP2101 - HOSPITAL DR. RAFAEL A. CALDERÓN GUARDIA"/>
    <s v="DF.19.2025"/>
    <s v="RIÑON"/>
    <x v="0"/>
    <m/>
    <s v="B+"/>
    <m/>
    <n v="17"/>
    <m/>
    <m/>
    <m/>
    <m/>
    <n v="109920958"/>
    <x v="511"/>
    <s v="MASCULINO"/>
    <d v="1978-02-23T00:00:00"/>
    <n v="47.123887748117724"/>
    <s v="B+"/>
    <m/>
    <s v="ERC5 DM"/>
    <s v="DP"/>
    <s v="COSTA RICA"/>
    <s v="SAN JOSE"/>
    <s v="MONTES DE OCA"/>
    <s v="SAN RAFAEL"/>
    <n v="11"/>
    <s v="no datos"/>
    <n v="8.4499999999999993"/>
    <s v="si"/>
    <s v="NO"/>
    <s v="VIVO"/>
    <m/>
    <m/>
    <m/>
    <m/>
    <m/>
    <m/>
    <s v="NO"/>
    <m/>
    <m/>
    <m/>
    <m/>
    <m/>
    <m/>
    <m/>
    <m/>
    <m/>
    <m/>
    <m/>
    <s v="NO"/>
    <m/>
    <s v="TIMO"/>
    <m/>
    <m/>
    <s v="NO"/>
    <m/>
    <m/>
    <m/>
    <m/>
    <s v="NO"/>
    <m/>
    <m/>
    <s v="no "/>
    <m/>
    <m/>
    <m/>
    <m/>
    <m/>
    <m/>
    <m/>
    <n v="0"/>
    <n v="105"/>
    <n v="3.4496919917864477"/>
    <n v="0.28747433264887062"/>
  </r>
  <r>
    <x v="0"/>
    <s v="UP2502 - HOSPITAL ENRIQUE BALTODANO"/>
    <m/>
    <m/>
    <x v="0"/>
    <m/>
    <m/>
    <m/>
    <m/>
    <s v="cadaverico"/>
    <s v="Vicente Hurtado Bustos"/>
    <m/>
    <m/>
    <n v="1720102675"/>
    <x v="512"/>
    <s v="MASCULINO"/>
    <d v="1972-08-14T00:00:00"/>
    <n v="52.6652977412731"/>
    <m/>
    <m/>
    <m/>
    <m/>
    <s v="NICARAGUA"/>
    <s v="Guanacaste, cañas"/>
    <m/>
    <m/>
    <m/>
    <m/>
    <m/>
    <m/>
    <s v="SI"/>
    <m/>
    <m/>
    <m/>
    <m/>
    <m/>
    <m/>
    <m/>
    <s v="NO"/>
    <m/>
    <m/>
    <m/>
    <m/>
    <m/>
    <m/>
    <m/>
    <m/>
    <m/>
    <m/>
    <m/>
    <m/>
    <m/>
    <m/>
    <m/>
    <m/>
    <s v="SI"/>
    <m/>
    <s v="SEPSIS HERIDA"/>
    <m/>
    <m/>
    <m/>
    <m/>
    <m/>
    <m/>
    <m/>
    <m/>
    <m/>
    <m/>
    <m/>
    <m/>
    <m/>
    <n v="0"/>
    <n v="100"/>
    <n v="3.2854209445585214"/>
    <n v="0.27378507871321012"/>
  </r>
  <r>
    <x v="3"/>
    <s v="UP2103 - HOSPITAL NACIONAL DE NIÑOS"/>
    <m/>
    <s v="RIÑON"/>
    <x v="0"/>
    <m/>
    <m/>
    <m/>
    <m/>
    <m/>
    <m/>
    <m/>
    <m/>
    <n v="120750081"/>
    <x v="513"/>
    <s v="MASCULINO"/>
    <d v="2009-12-16T00:00:00"/>
    <n v="15.329226557152635"/>
    <s v="O+"/>
    <d v="2025-01-01T00:00:00"/>
    <m/>
    <m/>
    <s v="COSTA RICA"/>
    <s v="SAN JOSE"/>
    <s v="GOICOECHEA"/>
    <s v="GUADALUPE"/>
    <m/>
    <m/>
    <m/>
    <m/>
    <s v="NO"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99"/>
    <n v="3.2525667351129361"/>
    <n v="0.27104722792607805"/>
  </r>
  <r>
    <x v="1"/>
    <s v="UP2101 - HOSPITAL DR. RAFAEL A. CALDERÓN GUARDIA"/>
    <s v="DF.22.2025"/>
    <s v="RIÑON"/>
    <x v="0"/>
    <s v="SI"/>
    <s v="O+"/>
    <m/>
    <n v="54"/>
    <m/>
    <m/>
    <m/>
    <m/>
    <n v="107450114"/>
    <x v="514"/>
    <s v="MASCULINO"/>
    <d v="1969-04-07T00:00:00"/>
    <n v="56.030116358658454"/>
    <s v="O+"/>
    <m/>
    <s v="ERC5"/>
    <s v="DP"/>
    <s v="COSTA RICA"/>
    <s v="SAN JOSE"/>
    <s v="CURRIDABAT"/>
    <s v="CURRIDABAT"/>
    <n v="5.03"/>
    <s v="no datos"/>
    <n v="2.1"/>
    <s v="si"/>
    <s v="NO"/>
    <s v="VIVO"/>
    <m/>
    <m/>
    <m/>
    <m/>
    <m/>
    <m/>
    <s v="NO"/>
    <m/>
    <m/>
    <m/>
    <m/>
    <m/>
    <m/>
    <m/>
    <m/>
    <m/>
    <m/>
    <m/>
    <s v="NO"/>
    <m/>
    <s v="TIMO"/>
    <m/>
    <m/>
    <s v="NO"/>
    <m/>
    <m/>
    <m/>
    <m/>
    <s v="NO"/>
    <m/>
    <m/>
    <s v="no "/>
    <m/>
    <m/>
    <m/>
    <m/>
    <m/>
    <m/>
    <m/>
    <n v="0"/>
    <n v="96"/>
    <n v="3.1540041067761808"/>
    <n v="0.26283367556468173"/>
  </r>
  <r>
    <x v="0"/>
    <m/>
    <m/>
    <s v="RIÑÓN"/>
    <x v="1"/>
    <m/>
    <m/>
    <d v="1995-11-20T00:00:00"/>
    <n v="29"/>
    <s v="RELACIONADO NO CONSANGUINEO"/>
    <s v="ERIC"/>
    <s v="RAMÍREZ"/>
    <s v="PEREZ"/>
    <n v="401910001"/>
    <x v="515"/>
    <s v="MASCULINO"/>
    <d v="1986-04-28T00:00:00"/>
    <n v="38.989733059548257"/>
    <m/>
    <m/>
    <m/>
    <m/>
    <s v="COSTA RICA"/>
    <s v="Heredia, San Isidro"/>
    <m/>
    <m/>
    <m/>
    <m/>
    <m/>
    <m/>
    <s v="NO"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702400640"/>
    <s v="MASCULINO"/>
    <s v="COSTA RICA"/>
    <s v="AFINIDAD"/>
    <s v="AMIGA (O)"/>
    <n v="0"/>
    <n v="90"/>
    <n v="2.9568788501026693"/>
    <n v="0.24640657084188911"/>
  </r>
  <r>
    <x v="4"/>
    <s v="UP2102 - HOSPITAL SAN JUAN DE DIOS"/>
    <m/>
    <s v="RIÑÓN"/>
    <x v="1"/>
    <m/>
    <m/>
    <d v="1986-03-16T00:00:00"/>
    <n v="39"/>
    <s v="RELACIONADO CONSANGUINEO"/>
    <s v="STACY MICHELLE"/>
    <s v="ARIAS"/>
    <s v="CECILIANO"/>
    <n v="119470404"/>
    <x v="516"/>
    <s v="FEMENINA"/>
    <d v="2005-10-07T00:00:00"/>
    <n v="19.561943874058862"/>
    <s v="A+"/>
    <d v="2025-03-05T00:00:00"/>
    <s v="ENFERMEDAD RENAL ESTADIO V"/>
    <s v="HEMODIALISIS"/>
    <s v="COSTA RICA"/>
    <s v="SAN JOSE"/>
    <s v="DESAMPARADOS"/>
    <s v="SAN MIGUEL"/>
    <d v="1899-12-30T02:00:00"/>
    <m/>
    <m/>
    <m/>
    <s v="NO"/>
    <m/>
    <m/>
    <m/>
    <m/>
    <m/>
    <m/>
    <m/>
    <s v="NO"/>
    <m/>
    <m/>
    <m/>
    <m/>
    <m/>
    <m/>
    <m/>
    <m/>
    <m/>
    <m/>
    <s v="REINTERVENCION 30/4/25 SANGRADO"/>
    <s v="NO"/>
    <m/>
    <m/>
    <m/>
    <m/>
    <s v="NO"/>
    <m/>
    <m/>
    <m/>
    <s v="NO"/>
    <s v="NO"/>
    <m/>
    <m/>
    <m/>
    <m/>
    <m/>
    <n v="112740173"/>
    <s v="FEMENINA"/>
    <s v="COSTA RICA"/>
    <s v="1° GRADO"/>
    <s v="MADRE/PADRE"/>
    <n v="0"/>
    <n v="84"/>
    <n v="2.7597535934291582"/>
    <n v="0.2299794661190965"/>
  </r>
  <r>
    <x v="2"/>
    <s v="UP2306 - HOSPITAL DR. MAX PERALTA"/>
    <m/>
    <s v="RIÑÓN"/>
    <x v="0"/>
    <s v="SI"/>
    <m/>
    <m/>
    <n v="125.3388090349076"/>
    <s v="NO APLICA"/>
    <s v="ASDRUBAL"/>
    <s v="OROZCO"/>
    <s v="RIVERA"/>
    <n v="302290037"/>
    <x v="517"/>
    <s v="MASCULINO "/>
    <d v="1958-08-25T00:00:00"/>
    <n v="66.688569472963721"/>
    <s v="O+"/>
    <d v="2020-12-29T00:00:00"/>
    <s v="NEFROPATIA HIPERTENSIVA"/>
    <s v="HEMODIÁLISIS"/>
    <s v="COSTA RICA"/>
    <s v="CARTAGO"/>
    <s v="OREAMUNO"/>
    <s v="COT"/>
    <m/>
    <s v="30MINUTOS"/>
    <s v="3HORAS"/>
    <n v="0"/>
    <s v="SI"/>
    <s v="FALLECIDO"/>
    <s v="FALLECIDO"/>
    <m/>
    <m/>
    <m/>
    <m/>
    <m/>
    <s v="SI"/>
    <d v="2025-05-04T00:00:00"/>
    <s v="SHOCK HIPOVOLEMICO"/>
    <s v="NO"/>
    <s v="FALLECIDO"/>
    <m/>
    <m/>
    <m/>
    <m/>
    <m/>
    <m/>
    <m/>
    <m/>
    <m/>
    <m/>
    <m/>
    <m/>
    <m/>
    <m/>
    <m/>
    <m/>
    <s v="NO"/>
    <m/>
    <m/>
    <m/>
    <m/>
    <m/>
    <m/>
    <m/>
    <m/>
    <m/>
    <m/>
    <m/>
    <n v="1"/>
    <n v="1"/>
    <n v="3.2854209445585217E-2"/>
    <n v="2.7378507871321013E-3"/>
  </r>
  <r>
    <x v="0"/>
    <m/>
    <m/>
    <s v="RIÑÓN"/>
    <x v="0"/>
    <m/>
    <m/>
    <m/>
    <m/>
    <s v="Cadavérico"/>
    <s v="YAMILETH MARIA"/>
    <s v="RODRIGUEZ"/>
    <s v="ACUÑA"/>
    <n v="204270479"/>
    <x v="517"/>
    <s v="FEMENINO"/>
    <d v="1967-03-25T00:00:00"/>
    <n v="58.108145106091719"/>
    <s v="O+"/>
    <d v="2019-09-24T00:00:00"/>
    <s v="POLIQUISTOSIS RENAL"/>
    <m/>
    <s v="COSTA RICA"/>
    <s v="ALAJUELA"/>
    <s v="NARANJO"/>
    <s v="NARANJO"/>
    <m/>
    <m/>
    <m/>
    <m/>
    <s v="NO"/>
    <s v="VIVO"/>
    <s v="VIVO"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81"/>
    <n v="2.6611909650924024"/>
    <n v="0.22176591375770022"/>
  </r>
  <r>
    <x v="4"/>
    <s v="UP2102 - HOSPITAL SAN JUAN DE DIOS"/>
    <m/>
    <s v="RIÑON"/>
    <x v="0"/>
    <m/>
    <m/>
    <m/>
    <m/>
    <m/>
    <s v="MARIA"/>
    <s v="SANCHEZ"/>
    <s v="CAMACHO"/>
    <n v="108790600"/>
    <x v="518"/>
    <s v="FEMENINA"/>
    <d v="1974-05-01T00:00:00"/>
    <n v="51.008898015058179"/>
    <s v="O+"/>
    <d v="2022-02-01T00:00:00"/>
    <s v="ERC ESTADÍO V"/>
    <s v="DIALISIS PERITONEAL"/>
    <s v="COSTA RICA"/>
    <s v="SAN JOSE"/>
    <s v="DESAMPARADOS"/>
    <s v="SAN ANTONIO"/>
    <d v="1899-12-30T06:10:00"/>
    <m/>
    <m/>
    <m/>
    <s v="SI"/>
    <s v="VIVO"/>
    <s v="VIVO"/>
    <m/>
    <m/>
    <m/>
    <m/>
    <m/>
    <s v="NO"/>
    <m/>
    <m/>
    <m/>
    <m/>
    <m/>
    <m/>
    <m/>
    <m/>
    <m/>
    <m/>
    <m/>
    <s v="NO"/>
    <m/>
    <m/>
    <m/>
    <m/>
    <s v="NO"/>
    <m/>
    <m/>
    <m/>
    <s v="NO"/>
    <s v="NO"/>
    <m/>
    <m/>
    <m/>
    <m/>
    <m/>
    <m/>
    <m/>
    <m/>
    <m/>
    <m/>
    <n v="0"/>
    <n v="80"/>
    <n v="2.6283367556468171"/>
    <n v="0.21902806297056809"/>
  </r>
  <r>
    <x v="4"/>
    <s v="UP2102 - HOSPITAL SAN JUAN DE DIOS"/>
    <m/>
    <s v="RIÑON"/>
    <x v="0"/>
    <m/>
    <m/>
    <m/>
    <m/>
    <m/>
    <s v="LUIS JOSÉ"/>
    <s v="NARANJO"/>
    <s v="FALLAS"/>
    <n v="117090275"/>
    <x v="519"/>
    <s v="MASCULINO"/>
    <d v="1998-05-14T00:00:00"/>
    <n v="26.986995208761122"/>
    <s v="O+"/>
    <d v="2000-11-13T00:00:00"/>
    <s v="ERC ESTADÍO V-D"/>
    <s v="HEMODIALISIS"/>
    <s v="COSTA RICA"/>
    <s v="SAN JOSE"/>
    <s v="ACOSTA"/>
    <s v="GUAITIL"/>
    <d v="1899-12-30T06:48:00"/>
    <m/>
    <m/>
    <m/>
    <s v="NO"/>
    <m/>
    <m/>
    <m/>
    <m/>
    <m/>
    <m/>
    <m/>
    <s v="NO"/>
    <m/>
    <m/>
    <m/>
    <m/>
    <m/>
    <m/>
    <m/>
    <m/>
    <m/>
    <m/>
    <m/>
    <s v="NO"/>
    <m/>
    <m/>
    <m/>
    <m/>
    <s v="NO"/>
    <m/>
    <m/>
    <m/>
    <s v="NO"/>
    <s v="NO"/>
    <m/>
    <m/>
    <m/>
    <m/>
    <m/>
    <m/>
    <m/>
    <m/>
    <m/>
    <m/>
    <n v="0"/>
    <n v="75"/>
    <n v="2.4640657084188913"/>
    <n v="0.20533880903490759"/>
  </r>
  <r>
    <x v="0"/>
    <m/>
    <m/>
    <s v="RIÑÓN"/>
    <x v="0"/>
    <m/>
    <m/>
    <m/>
    <m/>
    <s v="Cadavérico"/>
    <s v="PRISCILLA"/>
    <s v="LEON"/>
    <s v="SOLANO"/>
    <n v="110310860"/>
    <x v="519"/>
    <s v="FEMENINA"/>
    <d v="1979-04-19T00:00:00"/>
    <n v="46.056125941136209"/>
    <s v="O+"/>
    <d v="2021-03-26T00:00:00"/>
    <s v="ENFERMEDAD RENAL CRONICA, ETAPA 5"/>
    <m/>
    <s v="COSTA RICA"/>
    <s v="HEREDIA"/>
    <s v="SAN RAFAEL"/>
    <s v="ÁNGELES"/>
    <d v="1899-12-30T05:13:00"/>
    <m/>
    <m/>
    <m/>
    <s v="NO"/>
    <m/>
    <m/>
    <m/>
    <m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m/>
    <m/>
    <m/>
    <m/>
    <m/>
    <n v="0"/>
    <n v="75"/>
    <n v="2.4640657084188913"/>
    <n v="0.20533880903490759"/>
  </r>
  <r>
    <x v="0"/>
    <m/>
    <m/>
    <s v="RIÑÓN"/>
    <x v="0"/>
    <m/>
    <m/>
    <m/>
    <m/>
    <m/>
    <s v="REINALDO"/>
    <s v="JIMENEZ"/>
    <s v="ACOSTA"/>
    <n v="108430337"/>
    <x v="520"/>
    <s v="MASCULINO"/>
    <d v="1972-12-27T00:00:00"/>
    <n v="52.39151266255989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65"/>
    <n v="2.1355236139630391"/>
    <n v="0.17796030116358658"/>
  </r>
  <r>
    <x v="0"/>
    <m/>
    <m/>
    <s v="RIÑÓN"/>
    <x v="1"/>
    <m/>
    <m/>
    <m/>
    <m/>
    <s v="RELACIONADO CONSANGUINEO"/>
    <s v="CESAR"/>
    <s v="FALLAS"/>
    <s v="PARRA"/>
    <n v="118750564"/>
    <x v="521"/>
    <s v="MASCULINO"/>
    <d v="2003-05-19T00:00:00"/>
    <n v="22.00684462696783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206730575"/>
    <s v="MASCULINO"/>
    <s v="COSTA RICA"/>
    <s v="3° GRADO"/>
    <s v="TIA (O)"/>
    <n v="0"/>
    <n v="63"/>
    <n v="2.0698151950718686"/>
    <n v="0.17248459958932238"/>
  </r>
  <r>
    <x v="4"/>
    <s v="UP2102 - HOSPITAL SAN JUAN DE DIOS"/>
    <m/>
    <s v="RIÑON"/>
    <x v="0"/>
    <m/>
    <m/>
    <m/>
    <m/>
    <m/>
    <s v="DOLAND ENRIQUE"/>
    <s v="MORA"/>
    <s v="VALVERDE"/>
    <n v="901040589"/>
    <x v="522"/>
    <s v="MASCULINO"/>
    <d v="1974-05-25T00:00:00"/>
    <n v="50.99520876112252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s v="NO"/>
    <m/>
    <m/>
    <m/>
    <m/>
    <s v="NO"/>
    <m/>
    <m/>
    <m/>
    <s v="NO"/>
    <s v="NO"/>
    <m/>
    <m/>
    <m/>
    <m/>
    <m/>
    <m/>
    <m/>
    <m/>
    <m/>
    <m/>
    <n v="0"/>
    <n v="61"/>
    <n v="2.0041067761806981"/>
    <n v="0.16700889801505817"/>
  </r>
  <r>
    <x v="0"/>
    <s v="UP2502 - HOSPITAL ENRIQUE BALTODANO"/>
    <m/>
    <s v="RIÑON"/>
    <x v="0"/>
    <m/>
    <m/>
    <m/>
    <m/>
    <m/>
    <s v="GILBERTO OLDEMAR"/>
    <s v="GONZALEZ"/>
    <s v="LOPEZ"/>
    <n v="503630572"/>
    <x v="523"/>
    <s v="MASCULINO"/>
    <d v="1970-08-10T00:00:00"/>
    <n v="54.87748117727584"/>
    <m/>
    <m/>
    <m/>
    <m/>
    <m/>
    <m/>
    <m/>
    <m/>
    <m/>
    <m/>
    <m/>
    <m/>
    <m/>
    <m/>
    <m/>
    <m/>
    <m/>
    <m/>
    <m/>
    <m/>
    <s v="SI"/>
    <d v="2025-06-30T00:00:00"/>
    <s v="SHOCK MIXT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4"/>
    <n v="0.13141683778234087"/>
    <n v="1.0951403148528405E-2"/>
  </r>
  <r>
    <x v="0"/>
    <m/>
    <m/>
    <s v="RIÑON"/>
    <x v="0"/>
    <m/>
    <m/>
    <m/>
    <m/>
    <m/>
    <s v="Alvaro Gonzalez Avila"/>
    <m/>
    <m/>
    <n v="203440895"/>
    <x v="524"/>
    <s v="MASCULINO"/>
    <d v="1952-10-19T00:00:00"/>
    <n v="72.651608487337441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9"/>
    <n v="1.2813141683778233"/>
    <n v="0.10677618069815195"/>
  </r>
  <r>
    <x v="0"/>
    <m/>
    <m/>
    <s v="RIÑON"/>
    <x v="1"/>
    <m/>
    <m/>
    <m/>
    <m/>
    <s v="RELACIONADO CONSANGUINEO"/>
    <s v="Ana Rosa Rosales Gonzalez"/>
    <m/>
    <m/>
    <n v="502710823"/>
    <x v="525"/>
    <s v="FEMENINA"/>
    <d v="1972-04-18T00:00:00"/>
    <n v="53.185489390828202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n v="503950353"/>
    <s v="MASCULINO"/>
    <s v="COSTA RICA"/>
    <s v="1° GRADO"/>
    <s v="HIJO"/>
    <n v="0"/>
    <n v="28"/>
    <n v="0.91991786447638602"/>
    <n v="7.665982203969883E-2"/>
  </r>
  <r>
    <x v="2"/>
    <s v="UP2306 - HOSPITAL DR. MAX PERALTA"/>
    <m/>
    <s v="RIÑÓN"/>
    <x v="1"/>
    <s v="NO"/>
    <s v="B+"/>
    <d v="1979-10-22T00:00:00"/>
    <n v="45"/>
    <s v="RELACIONADO CONSANGUINEO"/>
    <m/>
    <m/>
    <m/>
    <n v="28915612"/>
    <x v="526"/>
    <s v="FEMENINO"/>
    <d v="1989-09-29T00:00:00"/>
    <n v="35.674195756331279"/>
    <s v="B+"/>
    <m/>
    <s v="NEFROPATIA LUPICA"/>
    <s v="HEMODIÁLISIS"/>
    <s v="NICARAGUENSE"/>
    <s v="CARTAGO"/>
    <s v="LA UNION"/>
    <s v="SAN JUAN"/>
    <m/>
    <m/>
    <m/>
    <m/>
    <m/>
    <s v="VIVO"/>
    <s v="VIVO"/>
    <m/>
    <m/>
    <m/>
    <m/>
    <m/>
    <s v="NO"/>
    <m/>
    <m/>
    <m/>
    <m/>
    <m/>
    <m/>
    <m/>
    <m/>
    <m/>
    <m/>
    <m/>
    <m/>
    <m/>
    <s v="BASI"/>
    <m/>
    <m/>
    <m/>
    <d v="2025-06-02T00:00:00"/>
    <s v="UROLOGICA"/>
    <s v="SANGRADO EN CAPAS, REIMPLANTE URETERAL"/>
    <s v="SI"/>
    <m/>
    <m/>
    <m/>
    <m/>
    <m/>
    <m/>
    <m/>
    <m/>
    <m/>
    <m/>
    <m/>
    <n v="0"/>
    <n v="51"/>
    <n v="1.675564681724846"/>
    <n v="0.13963039014373715"/>
  </r>
  <r>
    <x v="2"/>
    <s v="UP2306 - HOSPITAL DR. MAX PERALTA"/>
    <m/>
    <s v="RIÑO"/>
    <x v="0"/>
    <s v="SI"/>
    <m/>
    <m/>
    <n v="125.49486652977413"/>
    <s v="NO RELACIONADO"/>
    <m/>
    <m/>
    <m/>
    <n v="304150662"/>
    <x v="527"/>
    <s v="MASCULINO "/>
    <d v="1986-11-23T00:00:00"/>
    <n v="38.598220396988367"/>
    <m/>
    <m/>
    <s v="Poliquistosis renal"/>
    <s v="HEMODIÁLISIS"/>
    <s v="COSTA RICA"/>
    <s v="CARTAGO"/>
    <s v="CARTAGO"/>
    <s v="GUADALUPE"/>
    <s v="8HORAS 30MIN"/>
    <s v="27MINUTOS"/>
    <s v="4HORAS 45MINS"/>
    <m/>
    <m/>
    <s v="VIVO"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4"/>
    <n v="0.7885010266940452"/>
    <n v="6.5708418891170434E-2"/>
  </r>
  <r>
    <x v="1"/>
    <s v="UP2101 - HOSPITAL DR. RAFAEL A. CALDERÓN GUARDIA"/>
    <s v="DF.33.2025"/>
    <s v="RIÑON"/>
    <x v="0"/>
    <m/>
    <s v="O+"/>
    <m/>
    <n v="18"/>
    <m/>
    <m/>
    <m/>
    <m/>
    <n v="700970430"/>
    <x v="528"/>
    <s v="MASCULINO"/>
    <d v="1970-08-10T00:00:00"/>
    <n v="54.776180698151954"/>
    <s v="O+"/>
    <m/>
    <s v="ERC5"/>
    <s v="HD"/>
    <s v="COSTA RICA"/>
    <s v="LIMON"/>
    <s v="LIMON"/>
    <s v="LIMON"/>
    <n v="9.32"/>
    <s v="no datos"/>
    <s v="no datos"/>
    <s v="si"/>
    <s v="fallecido"/>
    <m/>
    <m/>
    <m/>
    <m/>
    <m/>
    <m/>
    <m/>
    <s v="SI"/>
    <d v="2025-05-21T00:00:00"/>
    <s v="Shock distributivo , sangrado retroperitoneal"/>
    <m/>
    <m/>
    <m/>
    <m/>
    <m/>
    <m/>
    <m/>
    <m/>
    <m/>
    <s v="NO"/>
    <m/>
    <s v="BASILIXIMAB"/>
    <m/>
    <m/>
    <s v="SI"/>
    <n v="45797"/>
    <s v="vascular "/>
    <s v="sangrado retroperitoneal"/>
    <s v="NO"/>
    <m/>
    <m/>
    <m/>
    <s v="no "/>
    <m/>
    <m/>
    <m/>
    <m/>
    <m/>
    <m/>
    <m/>
    <n v="1"/>
    <n v="1"/>
    <n v="3.2854209445585217E-2"/>
    <n v="2.7378507871321013E-3"/>
  </r>
  <r>
    <x v="1"/>
    <s v="UP2101 - HOSPITAL DR. RAFAEL A. CALDERÓN GUARDIA"/>
    <s v="DF.36.2025"/>
    <s v="RIÑON"/>
    <x v="0"/>
    <m/>
    <s v="A+"/>
    <m/>
    <n v="31"/>
    <m/>
    <m/>
    <m/>
    <m/>
    <n v="302820645"/>
    <x v="529"/>
    <s v="MASCULINO"/>
    <d v="1966-05-29T00:00:00"/>
    <n v="59.03353867214237"/>
    <s v="A+"/>
    <m/>
    <s v="ERC5 ERPAD"/>
    <s v="HD"/>
    <s v="COSTA RICA"/>
    <s v="SAN JOSE"/>
    <s v="MORAVIA"/>
    <s v="TRINIDAD"/>
    <s v="no datos"/>
    <s v="no datos"/>
    <n v="8.1999999999999993"/>
    <s v="si"/>
    <s v="vivo"/>
    <m/>
    <m/>
    <m/>
    <m/>
    <m/>
    <m/>
    <m/>
    <s v="NO"/>
    <m/>
    <m/>
    <m/>
    <m/>
    <m/>
    <m/>
    <m/>
    <m/>
    <m/>
    <m/>
    <m/>
    <s v="NO"/>
    <m/>
    <s v="BASILIXIMAB"/>
    <m/>
    <m/>
    <s v="NO"/>
    <m/>
    <m/>
    <m/>
    <m/>
    <m/>
    <m/>
    <m/>
    <s v="no "/>
    <m/>
    <m/>
    <m/>
    <m/>
    <m/>
    <m/>
    <m/>
    <n v="0"/>
    <n v="43"/>
    <n v="1.4127310061601643"/>
    <n v="0.11772758384668036"/>
  </r>
  <r>
    <x v="1"/>
    <s v="UP2101 - HOSPITAL DR. RAFAEL A. CALDERÓN GUARDIA"/>
    <s v="DF.38.2025"/>
    <s v="RIÑON"/>
    <x v="0"/>
    <m/>
    <s v="O+"/>
    <m/>
    <n v="36"/>
    <m/>
    <m/>
    <m/>
    <m/>
    <n v="900760160"/>
    <x v="530"/>
    <s v="FEMENINA"/>
    <d v="1968-11-20T00:00:00"/>
    <n v="56.566735112936342"/>
    <s v="O+"/>
    <m/>
    <s v="ERC5 GSFS"/>
    <s v="HD"/>
    <s v="COSTA RICA"/>
    <s v="SAN JOSE"/>
    <s v="MONTES DE OCA"/>
    <s v="SAN PEDRO"/>
    <n v="11"/>
    <s v="no datos"/>
    <s v="no datos"/>
    <s v="si"/>
    <s v="vivo"/>
    <m/>
    <m/>
    <m/>
    <m/>
    <m/>
    <m/>
    <m/>
    <s v="NO"/>
    <m/>
    <m/>
    <m/>
    <m/>
    <m/>
    <m/>
    <m/>
    <m/>
    <m/>
    <m/>
    <m/>
    <s v="NO"/>
    <m/>
    <s v="TIMO"/>
    <m/>
    <m/>
    <s v="SI"/>
    <m/>
    <m/>
    <s v="SANGRADO RENAL POR DESPULIMIENTO DE CAPSULA"/>
    <s v="NO"/>
    <m/>
    <m/>
    <m/>
    <s v="no "/>
    <m/>
    <m/>
    <m/>
    <m/>
    <m/>
    <m/>
    <m/>
    <n v="0"/>
    <n v="38"/>
    <n v="1.2484599589322383"/>
    <n v="0.10403832991101986"/>
  </r>
  <r>
    <x v="1"/>
    <s v="UP2101 - HOSPITAL DR. RAFAEL A. CALDERÓN GUARDIA"/>
    <m/>
    <s v="RIÑON"/>
    <x v="1"/>
    <m/>
    <s v="O+"/>
    <m/>
    <m/>
    <s v="RELACIONADO CONSANGUINEO"/>
    <m/>
    <m/>
    <m/>
    <n v="205540039"/>
    <x v="531"/>
    <s v="MASCULINO"/>
    <d v="1980-10-11T00:00:00"/>
    <n v="44.698151950718689"/>
    <s v="O+"/>
    <m/>
    <s v="ERC5 Poliquistosis"/>
    <s v="HD"/>
    <s v="COSTA RICA"/>
    <s v="SAN JOSE"/>
    <s v="GOICOECHEA"/>
    <s v="IPIS"/>
    <n v="1.26"/>
    <s v="no datos"/>
    <s v="no datos"/>
    <s v="si"/>
    <s v="vivo"/>
    <m/>
    <m/>
    <m/>
    <m/>
    <m/>
    <m/>
    <m/>
    <s v="NO"/>
    <m/>
    <m/>
    <m/>
    <m/>
    <m/>
    <m/>
    <m/>
    <m/>
    <m/>
    <m/>
    <m/>
    <s v="NO"/>
    <m/>
    <s v="BASI"/>
    <m/>
    <m/>
    <s v="NO"/>
    <m/>
    <m/>
    <m/>
    <s v="NO"/>
    <m/>
    <m/>
    <m/>
    <s v="no "/>
    <m/>
    <m/>
    <m/>
    <m/>
    <m/>
    <m/>
    <m/>
    <n v="0"/>
    <n v="30"/>
    <n v="0.98562628336755642"/>
    <n v="8.2135523613963035E-2"/>
  </r>
  <r>
    <x v="1"/>
    <s v="UP2101 - HOSPITAL DR. RAFAEL A. CALDERÓN GUARDIA"/>
    <s v="DF.44.2025"/>
    <s v="RIÑON"/>
    <x v="0"/>
    <m/>
    <s v="O+"/>
    <m/>
    <n v="33"/>
    <m/>
    <m/>
    <m/>
    <m/>
    <n v="116570506"/>
    <x v="532"/>
    <s v="FEMENINA"/>
    <d v="1996-10-25T00:00:00"/>
    <n v="28.706365503080082"/>
    <s v="O+"/>
    <m/>
    <s v="ERC5 PIELONEFRITIS CRONICA"/>
    <s v="HD"/>
    <s v="COSTA RICA"/>
    <s v="SAN JOSE"/>
    <s v="CORONADO"/>
    <s v="SAN ISIDRO"/>
    <n v="8.3000000000000007"/>
    <s v="no datos"/>
    <n v="7.3"/>
    <s v="si"/>
    <s v="vivo"/>
    <m/>
    <m/>
    <m/>
    <m/>
    <m/>
    <m/>
    <m/>
    <s v="NO"/>
    <m/>
    <m/>
    <m/>
    <m/>
    <m/>
    <m/>
    <m/>
    <m/>
    <m/>
    <m/>
    <m/>
    <s v="NO"/>
    <m/>
    <s v="TIMO"/>
    <m/>
    <m/>
    <s v="NO"/>
    <m/>
    <m/>
    <m/>
    <m/>
    <m/>
    <m/>
    <m/>
    <s v="no "/>
    <m/>
    <m/>
    <m/>
    <m/>
    <m/>
    <m/>
    <m/>
    <n v="0"/>
    <n v="13"/>
    <n v="0.4271047227926078"/>
    <n v="3.5592060232717319E-2"/>
  </r>
  <r>
    <x v="4"/>
    <s v="UP2102 - HOSPITAL SAN JUAN DE DIOS"/>
    <m/>
    <s v="RIÑON"/>
    <x v="1"/>
    <m/>
    <m/>
    <m/>
    <m/>
    <s v="RELACIONADO CONSANGUINEO"/>
    <s v="RAFAEL EMILIO"/>
    <s v="VALVERDE"/>
    <s v="CASCANTE"/>
    <n v="117410495"/>
    <x v="533"/>
    <s v="MASCULINO"/>
    <d v="1999-04-28T00:00:00"/>
    <n v="26.083504449007528"/>
    <s v="O+"/>
    <d v="2022-02-14T00:00:00"/>
    <s v="ERC ESTADÍO V - NO FILIADA"/>
    <m/>
    <s v="COSTA RICA"/>
    <s v="SAN JOSE"/>
    <s v="DESAMPARADOS"/>
    <s v="SAN JUAN DE DIOS"/>
    <m/>
    <m/>
    <m/>
    <m/>
    <m/>
    <m/>
    <m/>
    <m/>
    <m/>
    <m/>
    <m/>
    <m/>
    <s v="NO"/>
    <m/>
    <m/>
    <m/>
    <m/>
    <m/>
    <m/>
    <m/>
    <m/>
    <m/>
    <m/>
    <m/>
    <s v="NO"/>
    <m/>
    <m/>
    <m/>
    <m/>
    <s v="NO"/>
    <m/>
    <m/>
    <m/>
    <s v="NO"/>
    <s v="NO"/>
    <m/>
    <m/>
    <m/>
    <m/>
    <m/>
    <m/>
    <m/>
    <m/>
    <m/>
    <m/>
    <n v="0"/>
    <n v="56"/>
    <n v="1.839835728952772"/>
    <n v="0.15331964407939766"/>
  </r>
  <r>
    <x v="4"/>
    <s v="UP2102 - HOSPITAL SAN JUAN DE DIOS"/>
    <m/>
    <s v="RIÑON"/>
    <x v="1"/>
    <m/>
    <m/>
    <m/>
    <m/>
    <s v="RELACIONADO CONSANGUINEO"/>
    <s v="MARIA FERNANDA"/>
    <s v="MOLINA"/>
    <s v="DURAN"/>
    <n v="115290461"/>
    <x v="525"/>
    <s v="FEMENINA"/>
    <d v="1993-02-23T00:00:00"/>
    <n v="32.334017796030118"/>
    <s v="O+"/>
    <m/>
    <s v="ERC ESTADÍO V"/>
    <m/>
    <s v="COSTA RICA"/>
    <s v="SAN JOSE"/>
    <s v="ALAJUELITA"/>
    <s v="SAN JOSECITO"/>
    <m/>
    <m/>
    <m/>
    <m/>
    <m/>
    <m/>
    <m/>
    <m/>
    <m/>
    <m/>
    <m/>
    <m/>
    <s v="NO"/>
    <m/>
    <m/>
    <m/>
    <m/>
    <m/>
    <m/>
    <m/>
    <m/>
    <m/>
    <m/>
    <m/>
    <s v="NO"/>
    <m/>
    <m/>
    <m/>
    <m/>
    <s v="NO"/>
    <m/>
    <m/>
    <m/>
    <s v="NO"/>
    <s v="NO"/>
    <m/>
    <m/>
    <m/>
    <m/>
    <m/>
    <m/>
    <m/>
    <m/>
    <m/>
    <m/>
    <n v="0"/>
    <n v="28"/>
    <n v="0.91991786447638602"/>
    <n v="7.665982203969883E-2"/>
  </r>
  <r>
    <x v="4"/>
    <s v="UP2102 - HOSPITAL SAN JUAN DE DIOS"/>
    <m/>
    <s v="RIÑON"/>
    <x v="0"/>
    <m/>
    <m/>
    <m/>
    <m/>
    <m/>
    <s v="ALEX ALFONSO"/>
    <s v="HIDALGO"/>
    <s v="NARANJO"/>
    <n v="112560238"/>
    <x v="523"/>
    <s v="MASCULINO"/>
    <d v="1985-09-24T00:00:00"/>
    <n v="39.753593429158109"/>
    <s v="O+"/>
    <d v="2015-10-17T00:00:00"/>
    <s v="ERC ESTADÍO V"/>
    <m/>
    <s v="COSTA RICA"/>
    <s v="SAN JOSE"/>
    <s v="PEREZ ZELEDON"/>
    <s v="PEJIBAYE"/>
    <m/>
    <m/>
    <m/>
    <m/>
    <m/>
    <m/>
    <m/>
    <m/>
    <m/>
    <m/>
    <m/>
    <m/>
    <s v="NO"/>
    <m/>
    <m/>
    <m/>
    <m/>
    <m/>
    <m/>
    <m/>
    <m/>
    <m/>
    <m/>
    <m/>
    <s v="NO"/>
    <m/>
    <m/>
    <m/>
    <m/>
    <s v="NO"/>
    <m/>
    <m/>
    <m/>
    <s v="NO"/>
    <s v="NO"/>
    <m/>
    <m/>
    <m/>
    <m/>
    <m/>
    <m/>
    <m/>
    <m/>
    <m/>
    <m/>
    <n v="0"/>
    <n v="27"/>
    <n v="0.88706365503080087"/>
    <n v="7.3921971252566734E-2"/>
  </r>
  <r>
    <x v="4"/>
    <s v="UP2102 - HOSPITAL SAN JUAN DE DIOS"/>
    <m/>
    <s v="RIÑON"/>
    <x v="0"/>
    <m/>
    <m/>
    <m/>
    <m/>
    <m/>
    <s v="_x0009_LIANETT TERESA"/>
    <s v="BUSTAMANTE "/>
    <s v="HERNANDEZ"/>
    <n v="801270066"/>
    <x v="532"/>
    <s v="FEMENINA"/>
    <d v="1971-03-22T00:00:00"/>
    <n v="54.3025325119781"/>
    <s v="A+"/>
    <d v="2022-05-03T00:00:00"/>
    <s v="ERC ESTADIO 5 ETIOLOGÍA:ENFERMEDAD RENAL POLIQUISTICA"/>
    <m/>
    <s v="COSTA RICA"/>
    <s v="SAN JOSE"/>
    <s v="SANTA ANA"/>
    <s v="POZOS"/>
    <m/>
    <m/>
    <m/>
    <m/>
    <m/>
    <m/>
    <m/>
    <m/>
    <m/>
    <m/>
    <m/>
    <m/>
    <s v="NO"/>
    <m/>
    <m/>
    <m/>
    <m/>
    <m/>
    <m/>
    <m/>
    <m/>
    <m/>
    <m/>
    <m/>
    <s v="NO"/>
    <m/>
    <m/>
    <m/>
    <m/>
    <s v="NO"/>
    <m/>
    <m/>
    <m/>
    <s v="NO"/>
    <s v="NO"/>
    <m/>
    <m/>
    <m/>
    <m/>
    <m/>
    <m/>
    <m/>
    <m/>
    <m/>
    <m/>
    <n v="0"/>
    <n v="13"/>
    <n v="0.4271047227926078"/>
    <n v="3.5592060232717319E-2"/>
  </r>
  <r>
    <x v="4"/>
    <s v="UP2102 - HOSPITAL SAN JUAN DE DIOS"/>
    <m/>
    <s v="RIÑON"/>
    <x v="1"/>
    <m/>
    <m/>
    <m/>
    <m/>
    <s v="RELACIONADO CONSANGUINEO"/>
    <s v="CORLA KRISTAL"/>
    <s v="SANCHEZ"/>
    <s v="OLIVERO"/>
    <n v="801510205"/>
    <x v="534"/>
    <s v="FEMENINA"/>
    <d v="1980-06-18T00:00:00"/>
    <n v="45.056810403832991"/>
    <s v="O+"/>
    <d v="2025-07-03T00:00:00"/>
    <s v="ENFERMEDAD RENAL CRÓNICA - ESTADIO 5:GNMP"/>
    <m/>
    <s v="COSTA RICA"/>
    <s v="ALAJUELA"/>
    <s v="ALAJUELA"/>
    <s v="SAN ISIDRO"/>
    <m/>
    <m/>
    <m/>
    <m/>
    <m/>
    <m/>
    <m/>
    <m/>
    <m/>
    <m/>
    <m/>
    <m/>
    <s v="NO"/>
    <m/>
    <m/>
    <m/>
    <m/>
    <m/>
    <m/>
    <m/>
    <m/>
    <m/>
    <m/>
    <m/>
    <s v="NO"/>
    <m/>
    <m/>
    <m/>
    <m/>
    <s v="NO"/>
    <m/>
    <m/>
    <m/>
    <s v="NO"/>
    <s v="NO"/>
    <m/>
    <m/>
    <m/>
    <m/>
    <m/>
    <m/>
    <m/>
    <m/>
    <m/>
    <m/>
    <n v="0"/>
    <n v="14"/>
    <n v="0.45995893223819301"/>
    <n v="3.8329911019849415E-2"/>
  </r>
  <r>
    <x v="1"/>
    <s v="UP2101 - HOSPITAL DR. RAFAEL A. CALDERÓN GUARDIA"/>
    <m/>
    <s v="RIÑON"/>
    <x v="1"/>
    <m/>
    <s v="O+"/>
    <d v="1972-01-27T00:00:00"/>
    <n v="52.84873374401095"/>
    <s v="RELACIONADO CONSANGUINEO"/>
    <s v="LAURA"/>
    <s v="ROJAS"/>
    <s v="OVARES"/>
    <n v="107830958"/>
    <x v="535"/>
    <s v="FEMENINA"/>
    <d v="1970-12-03T00:00:00"/>
    <n v="53.998631074606436"/>
    <s v="O+"/>
    <m/>
    <s v="ERC ESTADIO 5"/>
    <s v="HEMODIALISIS"/>
    <s v="COSTA RICA"/>
    <s v="SAN JOSE"/>
    <s v="MONTES DE OCA"/>
    <s v="SAN PEDRO"/>
    <m/>
    <m/>
    <n v="2.2999999999999998"/>
    <m/>
    <m/>
    <s v="VIVO"/>
    <s v="VIVO"/>
    <m/>
    <m/>
    <m/>
    <m/>
    <m/>
    <s v="NO"/>
    <m/>
    <m/>
    <m/>
    <m/>
    <m/>
    <m/>
    <m/>
    <m/>
    <m/>
    <m/>
    <m/>
    <s v="NO"/>
    <s v="BASILIXIMAB"/>
    <m/>
    <m/>
    <m/>
    <s v="NO"/>
    <m/>
    <m/>
    <m/>
    <m/>
    <s v="NO"/>
    <m/>
    <m/>
    <m/>
    <m/>
    <m/>
    <n v="108200028"/>
    <s v="FEMENINA"/>
    <s v="COSTA RICA"/>
    <s v="2° GRADO"/>
    <s v="HERMANA (O)"/>
    <n v="0"/>
    <n v="233"/>
    <n v="7.655030800821355"/>
    <n v="0.63791923340177958"/>
  </r>
  <r>
    <x v="1"/>
    <s v="UP2101 - HOSPITAL DR. RAFAEL A. CALDERÓN GUARDIA"/>
    <s v="DF.31.2024 HCG 27/12/2024"/>
    <s v="RIÑON"/>
    <x v="0"/>
    <m/>
    <m/>
    <m/>
    <m/>
    <m/>
    <s v="RODRIGO"/>
    <s v="PEREZ"/>
    <s v="VILLANUEVA"/>
    <n v="111580971"/>
    <x v="464"/>
    <s v="MASCULINO"/>
    <d v="1983-01-05T00:00:00"/>
    <n v="41.979466119096507"/>
    <s v="B+"/>
    <m/>
    <s v="ERC ESTADIO 5"/>
    <s v="DIALISIS PERITONEAL"/>
    <s v="COSTA RICA"/>
    <s v="SAN JOSE"/>
    <s v="VAZQUEZ DE CORONADO"/>
    <s v="PATALILLO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7"/>
    <n v="6.8008213552361401"/>
    <n v="0.56673511293634493"/>
  </r>
  <r>
    <x v="1"/>
    <s v="UP2101 - HOSPITAL DR. RAFAEL A. CALDERÓN GUARDIA"/>
    <m/>
    <s v="RIÑON"/>
    <x v="0"/>
    <m/>
    <m/>
    <m/>
    <m/>
    <m/>
    <s v="GYLMAR GUILLERMO"/>
    <s v="MATARRITA"/>
    <s v="HERRERA"/>
    <n v="117660520"/>
    <x v="536"/>
    <s v="MASCULINO"/>
    <d v="2000-01-16T00:00:00"/>
    <n v="24.479123887748116"/>
    <m/>
    <m/>
    <m/>
    <m/>
    <s v="COSTA RICA"/>
    <m/>
    <m/>
    <m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379"/>
    <n v="12.451745379876797"/>
    <n v="1.0376454483230664"/>
  </r>
  <r>
    <x v="1"/>
    <s v="UP2101 - HOSPITAL DR. RAFAEL A. CALDERÓN GUARDIA"/>
    <s v="DF.12.2024 HSJD"/>
    <s v="RIÑON"/>
    <x v="0"/>
    <m/>
    <m/>
    <d v="2008-09-15T00:00:00"/>
    <n v="15"/>
    <m/>
    <s v="LUIS EDUARDO"/>
    <s v="MEDINA"/>
    <s v="LIZANO"/>
    <n v="205900362"/>
    <x v="443"/>
    <s v="MASCULINO"/>
    <d v="1984-01-23T00:00:00"/>
    <n v="40.173169062286107"/>
    <s v="A+"/>
    <m/>
    <s v="ERC ESTADIO V"/>
    <s v="DIALISIS PERITONEAL"/>
    <s v="COSTA RICA"/>
    <s v="SAN JOSE"/>
    <s v="ASERRI"/>
    <s v="ASERRI"/>
    <m/>
    <m/>
    <m/>
    <n v="7"/>
    <m/>
    <s v="EXCELENTE EVOLUCION CLINICA"/>
    <s v="EXCELENTE EVOLUCION CLINICA"/>
    <m/>
    <m/>
    <m/>
    <m/>
    <m/>
    <s v="NO"/>
    <m/>
    <m/>
    <m/>
    <s v="FUNCIONAL"/>
    <m/>
    <m/>
    <m/>
    <m/>
    <m/>
    <m/>
    <m/>
    <s v="NO"/>
    <m/>
    <m/>
    <m/>
    <m/>
    <m/>
    <m/>
    <m/>
    <m/>
    <m/>
    <m/>
    <m/>
    <m/>
    <m/>
    <m/>
    <m/>
    <n v="114470529"/>
    <s v="MASCULINO"/>
    <s v="COSTA RICA"/>
    <m/>
    <m/>
    <n v="0"/>
    <n v="483.75"/>
    <n v="15.893223819301848"/>
    <n v="1.324435318275154"/>
  </r>
  <r>
    <x v="1"/>
    <s v="UP2101 - HOSPITAL DR. RAFAEL A. CALDERÓN GUARDIA"/>
    <s v="DF.11.2024 HM"/>
    <s v="RIÑON"/>
    <x v="0"/>
    <m/>
    <m/>
    <d v="1971-07-28T00:00:00"/>
    <n v="53"/>
    <m/>
    <s v="MARITZA DE LOS ANGEL"/>
    <s v="FIGUEROA"/>
    <s v="RIVERA"/>
    <n v="302800989"/>
    <x v="537"/>
    <s v="FEMENINA"/>
    <d v="1962-04-01T00:00:00"/>
    <n v="61.982888432580424"/>
    <s v="O+"/>
    <m/>
    <s v="ERC ESTADIO V"/>
    <s v="HEMODIALISIS"/>
    <s v="COSTA RICA"/>
    <s v="SAN JOSE"/>
    <s v="CENTRAL"/>
    <s v="HATILLO"/>
    <m/>
    <m/>
    <m/>
    <n v="7"/>
    <m/>
    <s v="EXCELENTE EVOLUCION CLINICA"/>
    <s v="FALLECIDA"/>
    <m/>
    <m/>
    <m/>
    <m/>
    <m/>
    <s v="SI"/>
    <d v="2024-04-06T00:00:00"/>
    <s v="CAUSA NO CONOCIDA, FALLECIDA FUERA DE CENTRO HOSPITALARIO. NO HAY NOTAS DE HABER CONSULTADO A ALGUN SERVICIO DE URGENCIAS"/>
    <m/>
    <s v="FUNCIONAL"/>
    <m/>
    <m/>
    <m/>
    <m/>
    <m/>
    <m/>
    <m/>
    <s v="NO"/>
    <m/>
    <m/>
    <m/>
    <m/>
    <m/>
    <m/>
    <m/>
    <m/>
    <m/>
    <m/>
    <m/>
    <m/>
    <m/>
    <m/>
    <m/>
    <n v="17125091"/>
    <s v="MASCULINO"/>
    <s v="EXTRANJERO"/>
    <m/>
    <m/>
    <n v="1"/>
    <n v="11.75"/>
    <n v="0.38603696098562629"/>
    <n v="3.2169746748802193E-2"/>
  </r>
  <r>
    <x v="1"/>
    <s v="UP2101 - HOSPITAL DR. RAFAEL A. CALDERÓN GUARDIA"/>
    <s v="DF.04.2024 HCG"/>
    <s v="RIÑON"/>
    <x v="0"/>
    <m/>
    <m/>
    <d v="1997-04-22T00:00:00"/>
    <n v="26"/>
    <m/>
    <s v="CARLOS EDUARDO DE LOS ANGELES"/>
    <s v="OCONITRILLO"/>
    <s v="ARAYA"/>
    <n v="601620629"/>
    <x v="538"/>
    <s v="MASCULINO"/>
    <d v="1960-08-09T00:00:00"/>
    <n v="63.469541409993155"/>
    <s v="O+"/>
    <m/>
    <s v="IRC ESTADIO V "/>
    <s v="DIALISIS PERITONEAL"/>
    <s v="COSTA RICA"/>
    <s v="CARTAGO"/>
    <s v="JIMENEZ"/>
    <s v="JUAN VIЁS"/>
    <m/>
    <m/>
    <m/>
    <n v="7"/>
    <m/>
    <s v="EXCELENTE EVOLUCION CLINICA"/>
    <s v="EXCELENTE EVOLUCION CLINICA"/>
    <s v="EXCELENTE EVOLUCION CLINICA"/>
    <m/>
    <m/>
    <m/>
    <m/>
    <s v="SI"/>
    <d v="2024-10-17T00:00:00"/>
    <s v="CAUSA DESCONOCIDA"/>
    <s v="SI"/>
    <s v="FUNCIONAL"/>
    <m/>
    <m/>
    <m/>
    <m/>
    <m/>
    <m/>
    <m/>
    <s v="NO"/>
    <m/>
    <m/>
    <m/>
    <m/>
    <m/>
    <m/>
    <m/>
    <m/>
    <m/>
    <m/>
    <m/>
    <m/>
    <m/>
    <m/>
    <m/>
    <n v="116740380"/>
    <s v="MASCULINO"/>
    <s v="COSTA RICA"/>
    <m/>
    <m/>
    <n v="1"/>
    <n v="262.75"/>
    <n v="8.6324435318275157"/>
    <n v="0.7193702943189596"/>
  </r>
  <r>
    <x v="1"/>
    <s v="UP2101 - HOSPITAL DR. RAFAEL A. CALDERÓN GUARDIA"/>
    <s v="DF.45.2025"/>
    <s v="RIÑON"/>
    <x v="0"/>
    <s v="SI"/>
    <s v="O+"/>
    <m/>
    <n v="50"/>
    <m/>
    <m/>
    <m/>
    <m/>
    <n v="303180541"/>
    <x v="539"/>
    <s v="FEMENINA"/>
    <d v="1971-12-23T00:00:00"/>
    <n v="53.549623545516766"/>
    <s v="O+"/>
    <m/>
    <s v="ERC5 DM"/>
    <s v="DP"/>
    <s v="COSTA RICA"/>
    <s v="LIMON"/>
    <s v="POCOSI"/>
    <s v="ROXANA"/>
    <n v="6.4"/>
    <s v="no datos"/>
    <s v="no datos"/>
    <s v="si"/>
    <s v="vivo"/>
    <m/>
    <m/>
    <m/>
    <m/>
    <m/>
    <m/>
    <m/>
    <s v="NO"/>
    <m/>
    <m/>
    <m/>
    <m/>
    <m/>
    <m/>
    <m/>
    <m/>
    <m/>
    <m/>
    <m/>
    <s v="NO"/>
    <m/>
    <s v="BASI"/>
    <m/>
    <m/>
    <s v="NO"/>
    <m/>
    <m/>
    <m/>
    <m/>
    <m/>
    <m/>
    <m/>
    <s v="no "/>
    <m/>
    <m/>
    <m/>
    <m/>
    <m/>
    <m/>
    <m/>
    <n v="0"/>
    <n v="12"/>
    <n v="0.3942505133470226"/>
    <n v="3.2854209445585217E-2"/>
  </r>
  <r>
    <x v="4"/>
    <s v="UP2102 - HOSPITAL SAN JUAN DE DIOS"/>
    <s v="DF.14.2024 8 junio 2024 HM"/>
    <s v="RIÑON"/>
    <x v="0"/>
    <s v="NO"/>
    <s v="O+"/>
    <d v="1985-10-08T00:00:00"/>
    <n v="38.670088980150581"/>
    <s v="NINGUNA"/>
    <s v="PETRONA MARGARITA"/>
    <s v="PEREZ"/>
    <s v="SEVILLA"/>
    <n v="2650100498"/>
    <x v="540"/>
    <s v="FEMENINO"/>
    <d v="1965-02-22T06:00:00"/>
    <n v="59.293634496919921"/>
    <s v="O+"/>
    <d v="2016-03-23T00:00:00"/>
    <s v="ERC ESTADÍO V"/>
    <s v="DIALISIS PERITONEAL"/>
    <s v="NICARAGUA"/>
    <s v="SAN JOSÉ"/>
    <s v="DESAMPARADOS"/>
    <s v="LOS GUIDO"/>
    <n v="7.35"/>
    <m/>
    <m/>
    <n v="3"/>
    <m/>
    <s v="VIVO"/>
    <s v="VIVO"/>
    <m/>
    <m/>
    <m/>
    <m/>
    <m/>
    <s v="NO"/>
    <m/>
    <s v="N/A"/>
    <m/>
    <s v="FUNCIONAL"/>
    <m/>
    <m/>
    <m/>
    <m/>
    <s v="N/A"/>
    <m/>
    <m/>
    <s v="NO"/>
    <m/>
    <s v="TIMOGLOBULINA"/>
    <m/>
    <m/>
    <s v="NO"/>
    <m/>
    <m/>
    <m/>
    <s v="NO"/>
    <s v="NO"/>
    <s v="N/A"/>
    <m/>
    <s v="NO"/>
    <s v="N/A"/>
    <s v="N/A"/>
    <n v="112560769"/>
    <s v="FEMENINA"/>
    <s v="COSTARRICENSE"/>
    <m/>
    <s v="DONANTE CADAVÉRICO"/>
    <n v="0"/>
    <n v="408.75"/>
    <n v="13.429158110882957"/>
    <n v="1.1190965092402465"/>
  </r>
  <r>
    <x v="4"/>
    <s v="UP2102 - HOSPITAL SAN JUAN DE DIOS"/>
    <s v="DF.15.2024 HSJD 10 junio 2024"/>
    <s v="RIÑON"/>
    <x v="0"/>
    <s v="NO"/>
    <s v="O+"/>
    <d v="1988-06-20T00:00:00"/>
    <n v="35.976043805612591"/>
    <s v="NINGUNA"/>
    <s v="KARLA JULIETA"/>
    <s v="MURILLO"/>
    <s v="ROBLERO"/>
    <n v="2900101594"/>
    <x v="541"/>
    <s v="FEMENINO"/>
    <d v="1990-09-01T06:00:00"/>
    <n v="33.776865160848736"/>
    <s v="O+"/>
    <d v="2015-08-10T00:00:00"/>
    <s v="ERC ESTADÍO V"/>
    <s v="DIALISIS PERITONEAL"/>
    <s v="NICARAGUA"/>
    <s v="HEREDIA"/>
    <s v="BARVA"/>
    <s v="SAN PABLO"/>
    <n v="8.1"/>
    <m/>
    <m/>
    <n v="3"/>
    <m/>
    <s v="VIVO"/>
    <s v="VIVO"/>
    <s v="RECHAZO AGUDO HUMORAL"/>
    <m/>
    <m/>
    <m/>
    <m/>
    <s v="NO"/>
    <m/>
    <s v="N/A"/>
    <m/>
    <s v="FUNCIONAL"/>
    <s v="NO FUNCIONAL"/>
    <m/>
    <m/>
    <m/>
    <m/>
    <m/>
    <m/>
    <s v="SI"/>
    <d v="2024-06-27T00:00:00"/>
    <s v="TIMOGLOBULINA"/>
    <m/>
    <m/>
    <s v="NO"/>
    <m/>
    <m/>
    <m/>
    <s v="NO"/>
    <s v="NO"/>
    <s v="N/A"/>
    <m/>
    <s v="NO"/>
    <s v="N/A"/>
    <s v="N/A"/>
    <n v="603720543"/>
    <s v="MASCULINO"/>
    <s v="COSTARRICENSE"/>
    <m/>
    <s v="DONANTE CADAVÉRICO – BUENA RESPUESTA AL TX"/>
    <n v="0"/>
    <n v="406.75"/>
    <n v="13.363449691991786"/>
    <n v="1.1136208076659821"/>
  </r>
  <r>
    <x v="3"/>
    <s v="UP2103 - HOSPITAL NACIONAL DE NIÑOS"/>
    <s v="DF.31.2024 HCG"/>
    <s v="RIÑON"/>
    <x v="0"/>
    <m/>
    <m/>
    <m/>
    <m/>
    <m/>
    <m/>
    <m/>
    <m/>
    <n v="305820648"/>
    <x v="542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5861"/>
    <n v="1506.7268993839837"/>
    <n v="125.56057494866529"/>
  </r>
  <r>
    <x v="3"/>
    <s v="UP2103 - HOSPITAL NACIONAL DE NIÑOS"/>
    <s v="DF.04.2024"/>
    <s v="RIÑON"/>
    <x v="0"/>
    <m/>
    <s v="O+"/>
    <s v="DESCONOCIDA "/>
    <n v="26"/>
    <s v="NO APLICA"/>
    <s v="BRIANNA SOPHIA"/>
    <s v="MERCADO"/>
    <s v="GARCIA"/>
    <n v="605560051"/>
    <x v="538"/>
    <s v="FEMENINA"/>
    <d v="2015-10-01T00:00:00"/>
    <n v="8.3264887063655024"/>
    <s v="O+"/>
    <n v="44883"/>
    <s v="SINDROME NEFRÓTICO RESISTENTE A ESTEROIDES + ERC"/>
    <s v="HEMODIALISIS"/>
    <s v="COSTA RICA"/>
    <s v="PUNTARENAS"/>
    <s v="PUNTARENAS"/>
    <s v="COBANO"/>
    <m/>
    <m/>
    <m/>
    <n v="0"/>
    <m/>
    <s v="ADECUADA"/>
    <s v="ADECUADA"/>
    <s v="ADECUADA"/>
    <s v="ADECUADA"/>
    <s v="ADECUADA"/>
    <s v="ADECUADA"/>
    <m/>
    <s v="NO"/>
    <m/>
    <m/>
    <m/>
    <s v="FUNCIONAL"/>
    <s v="NO FUNCIONAL"/>
    <m/>
    <m/>
    <m/>
    <m/>
    <m/>
    <m/>
    <s v="SI"/>
    <d v="2024-05-22T00:00:00"/>
    <m/>
    <n v="1.69"/>
    <m/>
    <m/>
    <m/>
    <m/>
    <m/>
    <m/>
    <m/>
    <m/>
    <m/>
    <m/>
    <m/>
    <m/>
    <s v="DESCONOCIDA"/>
    <s v="FEMENINA"/>
    <s v="COSTA RICA"/>
    <m/>
    <s v="EN HNN AUN "/>
    <n v="0"/>
    <n v="541.75"/>
    <n v="17.798767967145789"/>
    <n v="1.483230663928816"/>
  </r>
  <r>
    <x v="3"/>
    <s v="UP2103 - HOSPITAL NACIONAL DE NIÑOS"/>
    <m/>
    <s v="RIÑON"/>
    <x v="0"/>
    <m/>
    <m/>
    <m/>
    <m/>
    <m/>
    <m/>
    <m/>
    <m/>
    <n v="210390369"/>
    <x v="502"/>
    <s v="MASCULINO"/>
    <d v="2018-05-11T00:00:00"/>
    <n v="6.8364134154688569"/>
    <s v="O+"/>
    <m/>
    <s v=" HCE SECUNDARIA A COLESTASIS FAMILIAR INTRAHEPÁTICA PROGRESIVA TIPO III"/>
    <m/>
    <s v="COSTA RICA"/>
    <s v="ALAJUELA"/>
    <s v="SAN RAMON"/>
    <s v="PIEDADES SUR"/>
    <m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33"/>
    <n v="4.3696098562628336"/>
    <n v="0.3641341546885694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">
  <r>
    <x v="0"/>
    <m/>
    <m/>
    <s v="HIGADO"/>
    <x v="0"/>
    <m/>
    <m/>
    <m/>
    <n v="111.04175222450377"/>
    <m/>
    <s v="MILAGRO"/>
    <s v="MADRIGAL"/>
    <s v="SABORIO"/>
    <n v="203750684"/>
    <x v="0"/>
    <s v="FEMENINA"/>
    <d v="1962-10-10T00:00:00"/>
    <n v="48.265571526351813"/>
    <m/>
    <m/>
    <m/>
    <n v="8"/>
    <s v="COSTA RICA"/>
    <s v="ALAJUELA"/>
    <s v="CENTRAL"/>
    <s v="GUACIMA"/>
    <m/>
    <m/>
    <m/>
    <n v="1"/>
    <m/>
    <m/>
    <m/>
    <m/>
    <m/>
    <m/>
    <m/>
    <m/>
    <x v="0"/>
    <d v="2011-01-1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1-01-15T00:00:00"/>
    <n v="1"/>
    <n v="1"/>
    <n v="3.2854209445585217E-2"/>
    <n v="2.7378507871321013E-3"/>
  </r>
  <r>
    <x v="0"/>
    <m/>
    <m/>
    <s v="HIGADO"/>
    <x v="0"/>
    <m/>
    <m/>
    <m/>
    <n v="111.08829568788501"/>
    <m/>
    <s v="HERALD"/>
    <s v="CAMPOS"/>
    <s v="VARGAS"/>
    <n v="205020809"/>
    <x v="1"/>
    <s v="MASCULINO"/>
    <d v="1975-07-02T00:00:00"/>
    <n v="35.586584531143053"/>
    <m/>
    <m/>
    <m/>
    <n v="17"/>
    <s v="COSTA RICA"/>
    <s v="ALAJUELA"/>
    <s v="SAN CARLOS"/>
    <s v="QUESADA"/>
    <m/>
    <m/>
    <m/>
    <n v="3"/>
    <m/>
    <m/>
    <m/>
    <m/>
    <m/>
    <m/>
    <m/>
    <m/>
    <x v="0"/>
    <d v="2011-02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1-02-01T00:00:00"/>
    <n v="1"/>
    <n v="3"/>
    <n v="9.856262833675565E-2"/>
    <n v="8.2135523613963042E-3"/>
  </r>
  <r>
    <x v="0"/>
    <m/>
    <m/>
    <s v="HIGADO"/>
    <x v="0"/>
    <m/>
    <m/>
    <m/>
    <n v="111.10198494182067"/>
    <m/>
    <s v="JOSE MANUEL"/>
    <s v="CORDERO"/>
    <s v="SOLIS"/>
    <n v="700370737"/>
    <x v="2"/>
    <s v="MASCULINO"/>
    <d v="1946-01-06T00:00:00"/>
    <n v="65.084188911704317"/>
    <m/>
    <m/>
    <m/>
    <n v="17"/>
    <s v="COSTA RICA"/>
    <m/>
    <m/>
    <m/>
    <m/>
    <m/>
    <m/>
    <n v="0"/>
    <m/>
    <m/>
    <m/>
    <m/>
    <m/>
    <m/>
    <m/>
    <m/>
    <x v="0"/>
    <d v="2011-02-0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1-02-06T00:00:00"/>
    <n v="1"/>
    <n v="0"/>
    <n v="0"/>
    <n v="0"/>
  </r>
  <r>
    <x v="1"/>
    <s v="UP2101 - HOSPITAL RAFAEL A. CALDERÓN GUARDIA"/>
    <m/>
    <s v="HIGADO"/>
    <x v="0"/>
    <m/>
    <m/>
    <m/>
    <n v="111.19507186858316"/>
    <m/>
    <s v="IVAN GERARDO"/>
    <s v="VENEGAS"/>
    <s v="ROJAS"/>
    <n v="204280581"/>
    <x v="3"/>
    <s v="MASCULINO"/>
    <d v="1967-06-08T00:00:00"/>
    <n v="43.759069130732378"/>
    <m/>
    <m/>
    <s v="WILSON"/>
    <n v="15"/>
    <s v="COSTA RICA"/>
    <s v="ALAJUELA"/>
    <s v="CENTRAL"/>
    <s v="GUACIMA"/>
    <m/>
    <m/>
    <m/>
    <n v="11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1-03-12T00:00:00"/>
    <n v="0"/>
    <n v="5253"/>
    <n v="172.58316221765915"/>
    <n v="14.381930184804927"/>
  </r>
  <r>
    <x v="1"/>
    <s v="UP2101 - HOSPITAL RAFAEL A. CALDERÓN GUARDIA"/>
    <m/>
    <s v="HIGADO"/>
    <x v="0"/>
    <m/>
    <m/>
    <m/>
    <n v="111.23613963039014"/>
    <m/>
    <s v="CARLOS ALBERTO RAMON DE JESUS"/>
    <s v="CAMBRONERO"/>
    <s v="MENDEZ"/>
    <n v="900300548"/>
    <x v="4"/>
    <s v="MASCULINO"/>
    <d v="1959-04-01T00:00:00"/>
    <n v="51.986310746064341"/>
    <m/>
    <m/>
    <s v="NASH"/>
    <n v="10"/>
    <s v="COSTA RICA"/>
    <s v="CARTAGO"/>
    <s v="CENTRAL"/>
    <s v="SAN NICOLAS"/>
    <m/>
    <m/>
    <m/>
    <n v="12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1-03-27T00:00:00"/>
    <n v="0"/>
    <n v="5238"/>
    <n v="172.09034907597535"/>
    <n v="14.340862422997947"/>
  </r>
  <r>
    <x v="2"/>
    <s v="UP2103 - HOSPITAL NACIONAL DE NIÑOS"/>
    <m/>
    <s v="HIGADO"/>
    <x v="0"/>
    <m/>
    <m/>
    <m/>
    <n v="111.30458590006845"/>
    <m/>
    <s v="CAMILA ADRIANA"/>
    <s v="PIZARRO"/>
    <s v="GOMEZ"/>
    <n v="120780565"/>
    <x v="5"/>
    <s v="FEMENINA"/>
    <d v="2010-01-26T00:00:00"/>
    <n v="1.2320328542094456"/>
    <m/>
    <m/>
    <m/>
    <m/>
    <s v="COSTA RICA"/>
    <s v="SAN JOSE"/>
    <s v="SAN JOSE"/>
    <s v="CARMEN"/>
    <m/>
    <m/>
    <m/>
    <m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1-04-21T00:00:00"/>
    <n v="0"/>
    <n v="5213"/>
    <n v="171.26899383983573"/>
    <n v="14.272416153319645"/>
  </r>
  <r>
    <x v="0"/>
    <m/>
    <m/>
    <s v="HIGADO"/>
    <x v="0"/>
    <m/>
    <m/>
    <m/>
    <n v="111.31553730321697"/>
    <m/>
    <s v="VERONICA DE LOS ANGELES"/>
    <s v="CASTRILLO"/>
    <s v="VALENCIA"/>
    <n v="113440354"/>
    <x v="6"/>
    <s v="FEMENINA"/>
    <d v="1988-02-24T00:00:00"/>
    <n v="23.16495550992471"/>
    <m/>
    <m/>
    <s v="DEFICIT DE ALFA 1 ANTITRIPSINA"/>
    <n v="12"/>
    <s v="COSTA RICA"/>
    <s v="ALAJUELA"/>
    <s v="CENTRAL"/>
    <s v="SABANILLA"/>
    <m/>
    <m/>
    <m/>
    <m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1-04-25T00:00:00"/>
    <n v="0"/>
    <n v="5209"/>
    <n v="171.13757700205338"/>
    <n v="14.261464750171116"/>
  </r>
  <r>
    <x v="0"/>
    <m/>
    <m/>
    <s v="HIGADO"/>
    <x v="0"/>
    <m/>
    <m/>
    <m/>
    <n v="111.34839151266256"/>
    <m/>
    <s v="MARIA JOSE"/>
    <s v="ROMERO"/>
    <s v="CASTRO"/>
    <n v="116770536"/>
    <x v="7"/>
    <s v="FEMENINA"/>
    <d v="1997-06-01T00:00:00"/>
    <n v="13.930184804928132"/>
    <m/>
    <m/>
    <s v="ENFERMEDAD DE WILSON"/>
    <n v="24"/>
    <s v="COSTA RICA"/>
    <s v="SAN JOSE"/>
    <s v="ALAJUELITA"/>
    <s v="SAN JOSECITO"/>
    <m/>
    <m/>
    <m/>
    <n v="13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1-05-07T00:00:00"/>
    <n v="0"/>
    <n v="5197"/>
    <n v="170.74332648870637"/>
    <n v="14.22861054072553"/>
  </r>
  <r>
    <x v="0"/>
    <m/>
    <m/>
    <s v="HIGADO"/>
    <x v="0"/>
    <m/>
    <m/>
    <m/>
    <n v="111.36208076659823"/>
    <m/>
    <s v="RITA"/>
    <s v="FLORES"/>
    <s v="ORTEGA"/>
    <n v="502160982"/>
    <x v="8"/>
    <s v="FEMENINA"/>
    <d v="1964-05-22T00:00:00"/>
    <n v="46.970568104038328"/>
    <m/>
    <m/>
    <m/>
    <n v="12"/>
    <s v="COSTA RICA"/>
    <m/>
    <m/>
    <m/>
    <m/>
    <m/>
    <m/>
    <n v="1"/>
    <m/>
    <m/>
    <m/>
    <m/>
    <m/>
    <m/>
    <m/>
    <m/>
    <x v="0"/>
    <d v="2011-05-1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1-05-12T00:00:00"/>
    <n v="1"/>
    <n v="1"/>
    <n v="3.2854209445585217E-2"/>
    <n v="2.7378507871321013E-3"/>
  </r>
  <r>
    <x v="1"/>
    <s v="UP2101 - HOSPITAL RAFAEL A. CALDERÓN GUARDIA"/>
    <m/>
    <s v="HIGADO"/>
    <x v="0"/>
    <m/>
    <m/>
    <m/>
    <n v="111.37303216974675"/>
    <m/>
    <s v="CARMEN ROSA"/>
    <s v="VEGA"/>
    <s v="SOLANO"/>
    <n v="601290990"/>
    <x v="9"/>
    <s v="FEMENINA"/>
    <d v="1957-03-30T00:00:00"/>
    <n v="54.127310061601641"/>
    <m/>
    <m/>
    <s v="NASH"/>
    <n v="11"/>
    <s v="COSTA RICA"/>
    <s v="SAN JOSE"/>
    <s v="GOICOECHEA"/>
    <s v="IPIS"/>
    <m/>
    <m/>
    <m/>
    <n v="11"/>
    <m/>
    <m/>
    <m/>
    <m/>
    <m/>
    <m/>
    <m/>
    <m/>
    <x v="0"/>
    <d v="2024-09-07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1-05-16T00:00:00"/>
    <n v="1"/>
    <n v="4863"/>
    <n v="159.77002053388091"/>
    <n v="13.314168377823409"/>
  </r>
  <r>
    <x v="0"/>
    <m/>
    <m/>
    <s v="HIGADO"/>
    <x v="0"/>
    <m/>
    <m/>
    <m/>
    <n v="111.5482546201232"/>
    <m/>
    <s v="BAYRON ANTONIO"/>
    <s v="ALVAREZ"/>
    <s v="TALLEY"/>
    <n v="114300665"/>
    <x v="10"/>
    <s v="MASCULINO"/>
    <d v="1990-07-31T00:00:00"/>
    <n v="20.966461327857633"/>
    <m/>
    <m/>
    <m/>
    <m/>
    <s v="COSTA RICA"/>
    <s v="PUNTARENAS"/>
    <s v="CORREDORES"/>
    <s v="CANOAS"/>
    <m/>
    <m/>
    <m/>
    <n v="29"/>
    <m/>
    <m/>
    <m/>
    <m/>
    <m/>
    <m/>
    <m/>
    <m/>
    <x v="0"/>
    <d v="2014-08-1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1-07-19T00:00:00"/>
    <n v="1"/>
    <n v="1118"/>
    <n v="36.73100616016427"/>
    <n v="3.0609171800136892"/>
  </r>
  <r>
    <x v="1"/>
    <s v="UP2101 - HOSPITAL RAFAEL A. CALDERÓN GUARDIA"/>
    <m/>
    <s v="HIGADO"/>
    <x v="0"/>
    <m/>
    <m/>
    <m/>
    <n v="111.56194387405887"/>
    <m/>
    <s v="ROSE MARY"/>
    <s v="JIMENEZ"/>
    <s v="VILLALTA"/>
    <n v="104430904"/>
    <x v="11"/>
    <s v="FEMENINA"/>
    <d v="1954-09-28T00:00:00"/>
    <n v="56.818617385352496"/>
    <m/>
    <m/>
    <s v="OH"/>
    <n v="21"/>
    <s v="COSTA RICA"/>
    <s v="CARTAGO"/>
    <s v="LA UNION"/>
    <s v="CONCEPCION"/>
    <m/>
    <m/>
    <m/>
    <n v="12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1-07-24T00:00:00"/>
    <n v="0"/>
    <n v="5119"/>
    <n v="168.18069815195071"/>
    <n v="14.015058179329227"/>
  </r>
  <r>
    <x v="2"/>
    <s v="UP2103 - HOSPITAL NACIONAL DE NIÑOS"/>
    <m/>
    <s v="HIGADO"/>
    <x v="1"/>
    <m/>
    <m/>
    <m/>
    <n v="111.76180698151951"/>
    <m/>
    <m/>
    <m/>
    <m/>
    <n v="21030011118363"/>
    <x v="12"/>
    <s v="FEMENINA"/>
    <d v="2009-09-28T00:00:00"/>
    <n v="2.0177960301163584"/>
    <m/>
    <m/>
    <s v="falla hepatica aguda"/>
    <n v="37"/>
    <m/>
    <s v="SAN JOSE"/>
    <s v="SAN JOSE"/>
    <s v="CARMEN"/>
    <m/>
    <m/>
    <m/>
    <m/>
    <m/>
    <m/>
    <m/>
    <m/>
    <m/>
    <m/>
    <m/>
    <m/>
    <x v="0"/>
    <d v="2021-12-21T14:32:16"/>
    <s v="trombosis arteria hepatica"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1-10-05T00:00:00"/>
    <n v="1"/>
    <n v="3730.6057407407425"/>
    <n v="122.56610236519893"/>
    <n v="10.213841863766577"/>
  </r>
  <r>
    <x v="1"/>
    <s v="UP2101 - HOSPITAL RAFAEL A. CALDERÓN GUARDIA"/>
    <m/>
    <s v="HIGADO"/>
    <x v="0"/>
    <m/>
    <m/>
    <m/>
    <n v="111.76454483230664"/>
    <m/>
    <s v="FERNANDO ENRIQUE DE LA TRINIDAD"/>
    <s v="CHAVES"/>
    <s v="MENDEZ"/>
    <n v="700660464"/>
    <x v="13"/>
    <s v="MASCULINO"/>
    <d v="1959-10-30T00:00:00"/>
    <n v="51.93429158110883"/>
    <m/>
    <m/>
    <s v="NASH"/>
    <n v="13"/>
    <s v="COSTA RICA"/>
    <s v="LIMON"/>
    <s v="POCOCI"/>
    <s v="CARIARI"/>
    <m/>
    <m/>
    <m/>
    <m/>
    <m/>
    <m/>
    <m/>
    <m/>
    <m/>
    <m/>
    <m/>
    <m/>
    <x v="0"/>
    <d v="2011-10-07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1-10-06T00:00:00"/>
    <n v="1"/>
    <n v="1"/>
    <n v="3.2854209445585217E-2"/>
    <n v="2.7378507871321013E-3"/>
  </r>
  <r>
    <x v="1"/>
    <s v="UP2101 - HOSPITAL RAFAEL A. CALDERÓN GUARDIA"/>
    <m/>
    <s v="HIGADO"/>
    <x v="0"/>
    <m/>
    <m/>
    <m/>
    <n v="111.78644763860369"/>
    <m/>
    <s v="LIGIA CARMEN"/>
    <s v="RIVERA"/>
    <s v="ORTEGA"/>
    <n v="302400183"/>
    <x v="14"/>
    <s v="FEMENINA"/>
    <d v="1960-04-27T00:00:00"/>
    <n v="51.463381245722111"/>
    <m/>
    <m/>
    <s v="NASH"/>
    <n v="25"/>
    <s v="COSTA RICA"/>
    <s v="CARTAGO"/>
    <s v="TURRIALBA"/>
    <s v="SANTA CRUZ"/>
    <m/>
    <m/>
    <m/>
    <n v="17"/>
    <m/>
    <m/>
    <m/>
    <m/>
    <m/>
    <m/>
    <m/>
    <m/>
    <x v="0"/>
    <d v="2024-08-29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1-10-14T00:00:00"/>
    <n v="1"/>
    <n v="4703"/>
    <n v="154.51334702258728"/>
    <n v="12.876112251882272"/>
  </r>
  <r>
    <x v="0"/>
    <m/>
    <m/>
    <s v="HIGADO"/>
    <x v="0"/>
    <m/>
    <m/>
    <m/>
    <n v="111.81108829568788"/>
    <m/>
    <s v="KATHERINE"/>
    <s v="VENEGAS"/>
    <s v="ORTIZ"/>
    <n v="207930719"/>
    <x v="15"/>
    <s v="FEMENINA"/>
    <d v="1999-07-08T00:00:00"/>
    <n v="12.292950034223136"/>
    <m/>
    <m/>
    <m/>
    <m/>
    <s v="COSTA RICA"/>
    <s v="ALAJUELA"/>
    <s v="GRECIA"/>
    <s v="SAN JOSE"/>
    <m/>
    <m/>
    <m/>
    <n v="30"/>
    <m/>
    <m/>
    <m/>
    <m/>
    <m/>
    <m/>
    <m/>
    <m/>
    <x v="0"/>
    <d v="2017-08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1-10-23T00:00:00"/>
    <n v="1"/>
    <n v="2123"/>
    <n v="69.74948665297741"/>
    <n v="5.8124572210814511"/>
  </r>
  <r>
    <x v="2"/>
    <s v="UP2103 - HOSPITAL NACIONAL DE NIÑOS"/>
    <m/>
    <s v="HIGADO"/>
    <x v="0"/>
    <m/>
    <m/>
    <m/>
    <n v="111.83299110198494"/>
    <m/>
    <s v="LUIS DIEGO"/>
    <s v="CASTRO"/>
    <s v="LOPEZ"/>
    <n v="605020288"/>
    <x v="16"/>
    <s v="MASCULINO"/>
    <d v="2006-11-02T00:00:00"/>
    <n v="4.9938398357289531"/>
    <m/>
    <m/>
    <s v="atresia vias biliares"/>
    <n v="23"/>
    <s v="COSTA RICA"/>
    <s v="PUNTARENAS"/>
    <s v="CORREDORES"/>
    <s v="LAUREL"/>
    <m/>
    <m/>
    <m/>
    <m/>
    <m/>
    <m/>
    <m/>
    <m/>
    <m/>
    <m/>
    <m/>
    <m/>
    <x v="1"/>
    <m/>
    <m/>
    <m/>
    <m/>
    <m/>
    <m/>
    <m/>
    <m/>
    <m/>
    <m/>
    <m/>
    <s v="SI"/>
    <m/>
    <m/>
    <m/>
    <m/>
    <m/>
    <m/>
    <m/>
    <m/>
    <m/>
    <m/>
    <m/>
    <m/>
    <m/>
    <m/>
    <m/>
    <m/>
    <m/>
    <m/>
    <m/>
    <d v="2011-10-31T00:00:00"/>
    <n v="0"/>
    <n v="5020"/>
    <n v="164.92813141683777"/>
    <n v="13.744010951403148"/>
  </r>
  <r>
    <x v="0"/>
    <m/>
    <m/>
    <s v="HIGADO"/>
    <x v="0"/>
    <m/>
    <m/>
    <m/>
    <n v="111.97262149212868"/>
    <m/>
    <s v="SHIRLEY MARIA"/>
    <s v="ACUÑA"/>
    <s v="SOTO"/>
    <n v="205990314"/>
    <x v="17"/>
    <s v="FEMENINA"/>
    <d v="1984-10-13T00:00:00"/>
    <n v="27.186858316221766"/>
    <m/>
    <m/>
    <m/>
    <m/>
    <s v="COSTA RICA"/>
    <m/>
    <m/>
    <m/>
    <m/>
    <m/>
    <m/>
    <n v="9"/>
    <m/>
    <m/>
    <m/>
    <m/>
    <m/>
    <m/>
    <m/>
    <m/>
    <x v="0"/>
    <d v="2011-12-3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1-12-21T00:00:00"/>
    <n v="1"/>
    <n v="9"/>
    <n v="0.29568788501026694"/>
    <n v="2.4640657084188913E-2"/>
  </r>
  <r>
    <x v="1"/>
    <s v="UP2101 - HOSPITAL RAFAEL A. CALDERÓN GUARDIA"/>
    <m/>
    <s v="HIGADO"/>
    <x v="0"/>
    <m/>
    <m/>
    <m/>
    <n v="112.15058179329226"/>
    <m/>
    <s v="FLOR MARIA DE LA TRINIDAD"/>
    <s v="CHACON"/>
    <s v="CAMPOS"/>
    <n v="105600574"/>
    <x v="18"/>
    <s v="FEMENINA"/>
    <d v="1961-07-06T00:00:00"/>
    <n v="50.636550308008211"/>
    <m/>
    <m/>
    <s v="OH"/>
    <n v="9"/>
    <s v="COSTA RICA"/>
    <s v="SAN JOSE"/>
    <s v="VAZQUEZ DE CORONADO"/>
    <s v="CASCAJAL"/>
    <m/>
    <m/>
    <m/>
    <n v="10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2-02-24T00:00:00"/>
    <n v="0"/>
    <n v="4904"/>
    <n v="161.11704312114989"/>
    <n v="13.426420260095824"/>
  </r>
  <r>
    <x v="0"/>
    <m/>
    <m/>
    <s v="HIGADO"/>
    <x v="0"/>
    <m/>
    <m/>
    <m/>
    <n v="112.19164955509925"/>
    <m/>
    <s v="MARIANA CATERINA"/>
    <s v="MONCADA"/>
    <s v="MONTERO"/>
    <n v="114240138"/>
    <x v="19"/>
    <s v="FEMENINA"/>
    <d v="1990-01-19T00:00:00"/>
    <n v="22.138261464750173"/>
    <m/>
    <m/>
    <m/>
    <m/>
    <s v="COSTA RICA"/>
    <m/>
    <m/>
    <m/>
    <m/>
    <m/>
    <m/>
    <n v="15"/>
    <m/>
    <m/>
    <m/>
    <m/>
    <m/>
    <m/>
    <m/>
    <m/>
    <x v="0"/>
    <d v="2012-03-2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2-03-10T00:00:00"/>
    <n v="1"/>
    <n v="15"/>
    <n v="0.49281314168377821"/>
    <n v="4.1067761806981518E-2"/>
  </r>
  <r>
    <x v="0"/>
    <m/>
    <m/>
    <s v="HIGADO"/>
    <x v="0"/>
    <m/>
    <m/>
    <m/>
    <n v="112.33949349760438"/>
    <m/>
    <s v="RUTH MARIA"/>
    <s v="GONZALEZ"/>
    <s v="MENDEZ"/>
    <n v="105790562"/>
    <x v="20"/>
    <s v="FEMENINA"/>
    <d v="1962-04-30T00:00:00"/>
    <n v="50.009582477754961"/>
    <m/>
    <m/>
    <m/>
    <m/>
    <s v="COSTA RICA"/>
    <m/>
    <m/>
    <m/>
    <m/>
    <m/>
    <m/>
    <n v="8"/>
    <m/>
    <m/>
    <m/>
    <m/>
    <m/>
    <m/>
    <m/>
    <m/>
    <x v="0"/>
    <d v="2012-05-1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2-05-03T00:00:00"/>
    <n v="1"/>
    <n v="8"/>
    <n v="0.26283367556468173"/>
    <n v="2.190280629705681E-2"/>
  </r>
  <r>
    <x v="0"/>
    <m/>
    <m/>
    <s v="HIGADO"/>
    <x v="0"/>
    <m/>
    <m/>
    <m/>
    <n v="113.15263518138262"/>
    <m/>
    <s v="MELANY"/>
    <s v="SOLIS"/>
    <s v="MENDOZA"/>
    <n v="504270188"/>
    <x v="21"/>
    <s v="FEMENINA"/>
    <d v="1999-05-12T00:00:00"/>
    <n v="13.790554414784394"/>
    <m/>
    <m/>
    <m/>
    <n v="15"/>
    <s v="COSTA RICA"/>
    <s v="GUANACASTE"/>
    <s v="CARRILLO"/>
    <s v="BELEN"/>
    <m/>
    <m/>
    <m/>
    <n v="16"/>
    <m/>
    <m/>
    <m/>
    <m/>
    <m/>
    <m/>
    <m/>
    <m/>
    <x v="0"/>
    <d v="2017-12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3-02-24T00:00:00"/>
    <n v="1"/>
    <n v="1747"/>
    <n v="57.396303901437371"/>
    <n v="4.7830253251197812"/>
  </r>
  <r>
    <x v="0"/>
    <m/>
    <m/>
    <s v="HIGADO"/>
    <x v="0"/>
    <m/>
    <m/>
    <m/>
    <n v="113.2539356605065"/>
    <m/>
    <s v="MARJORIE MAYELA"/>
    <s v="PALAVICINI"/>
    <s v="QUESADA"/>
    <n v="104110285"/>
    <x v="22"/>
    <s v="FEMENINA"/>
    <d v="1953-01-14T00:00:00"/>
    <n v="60.213552361396303"/>
    <m/>
    <m/>
    <s v="HEPATITIS AUTOINMUNE"/>
    <n v="18"/>
    <s v="COSTA RICA"/>
    <s v="SAN JOSE"/>
    <s v="SAN JOSE"/>
    <s v="CATEDRAL"/>
    <m/>
    <m/>
    <m/>
    <n v="27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3-04-02T00:00:00"/>
    <n v="0"/>
    <n v="4501"/>
    <n v="147.87679671457906"/>
    <n v="12.323066392881588"/>
  </r>
  <r>
    <x v="0"/>
    <m/>
    <m/>
    <s v="HIGADO"/>
    <x v="0"/>
    <m/>
    <m/>
    <m/>
    <n v="113.27310061601642"/>
    <m/>
    <s v="JESUS"/>
    <s v="ARCE"/>
    <s v="BARRANTES"/>
    <n v="113500559"/>
    <x v="23"/>
    <s v="MASCULINO"/>
    <d v="1988-05-04T00:00:00"/>
    <n v="24.930869267624914"/>
    <m/>
    <m/>
    <m/>
    <n v="25"/>
    <s v="COSTA RICA"/>
    <s v="SAN JOSE"/>
    <s v="CENTRAL"/>
    <s v="SAN SEBASTIAN"/>
    <m/>
    <m/>
    <m/>
    <n v="35"/>
    <m/>
    <m/>
    <m/>
    <m/>
    <m/>
    <m/>
    <m/>
    <m/>
    <x v="0"/>
    <d v="2013-05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3-04-09T00:00:00"/>
    <n v="1"/>
    <n v="35"/>
    <n v="1.1498973305954825"/>
    <n v="9.5824777549623541E-2"/>
  </r>
  <r>
    <x v="1"/>
    <s v="UP2101 - HOSPITAL RAFAEL A. CALDERÓN GUARDIA"/>
    <m/>
    <s v="HIGADO"/>
    <x v="0"/>
    <m/>
    <m/>
    <m/>
    <n v="113.3305954825462"/>
    <m/>
    <s v="FABIO ALBERTO"/>
    <s v="MONTOYA"/>
    <s v="CHAVARRIA"/>
    <n v="108090228"/>
    <x v="24"/>
    <s v="MASCULINO"/>
    <d v="1971-08-29T00:00:00"/>
    <n v="41.670088980150581"/>
    <m/>
    <m/>
    <s v="NASH"/>
    <n v="23"/>
    <s v="COSTA RICA"/>
    <s v="SAN JOSE"/>
    <s v="CORONADO"/>
    <s v="SAN RAFAEL"/>
    <m/>
    <m/>
    <m/>
    <n v="34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3-04-30T00:00:00"/>
    <n v="0"/>
    <n v="4473"/>
    <n v="146.95687885010267"/>
    <n v="12.24640657084189"/>
  </r>
  <r>
    <x v="1"/>
    <s v="UP2101 - HOSPITAL RAFAEL A. CALDERÓN GUARDIA"/>
    <m/>
    <s v="HIGADO"/>
    <x v="0"/>
    <m/>
    <m/>
    <m/>
    <n v="113.39356605065024"/>
    <m/>
    <s v="ERIC VICENTE"/>
    <s v="GARCIA"/>
    <s v="RIVERA"/>
    <n v="107560569"/>
    <x v="25"/>
    <s v="MASCULINO"/>
    <d v="1969-09-27T00:00:00"/>
    <n v="43.652292950034223"/>
    <m/>
    <m/>
    <s v="HEMOCROMATOSIS"/>
    <n v="15"/>
    <s v="COSTA RICA"/>
    <s v="SAN JOSE"/>
    <s v="CENTRAL"/>
    <s v="HATILLO"/>
    <m/>
    <m/>
    <m/>
    <n v="14"/>
    <m/>
    <m/>
    <m/>
    <m/>
    <m/>
    <m/>
    <m/>
    <m/>
    <x v="0"/>
    <d v="2013-06-05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3-05-23T00:00:00"/>
    <n v="1"/>
    <n v="13"/>
    <n v="0.4271047227926078"/>
    <n v="3.5592060232717319E-2"/>
  </r>
  <r>
    <x v="0"/>
    <m/>
    <m/>
    <s v="HIGADO"/>
    <x v="0"/>
    <m/>
    <m/>
    <m/>
    <n v="113.71115674195757"/>
    <m/>
    <s v="RICARDO LUIS"/>
    <s v="CHACON"/>
    <s v="ACUÑA"/>
    <n v="204950341"/>
    <x v="26"/>
    <s v="MASCULINO"/>
    <d v="1974-08-06T00:00:00"/>
    <n v="39.112936344969199"/>
    <m/>
    <m/>
    <s v="ENFERMEDAD DE WILSON"/>
    <n v="16"/>
    <s v="COSTA RICA"/>
    <s v="ALAJUELA"/>
    <s v="NARANJO"/>
    <s v="NARANJO"/>
    <m/>
    <m/>
    <m/>
    <n v="15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3-09-16T00:00:00"/>
    <n v="0"/>
    <n v="4334"/>
    <n v="142.39014373716631"/>
    <n v="11.865845311430528"/>
  </r>
  <r>
    <x v="0"/>
    <m/>
    <m/>
    <s v="HIGADO"/>
    <x v="0"/>
    <m/>
    <m/>
    <m/>
    <n v="113.84531143052703"/>
    <m/>
    <s v="MARIA ISABEL"/>
    <s v="GONZALEZ"/>
    <s v="GONZALEZ"/>
    <n v="203600807"/>
    <x v="27"/>
    <s v="FEMENINA"/>
    <d v="1961-03-28T00:00:00"/>
    <n v="52.605065023956193"/>
    <m/>
    <m/>
    <m/>
    <n v="24"/>
    <s v="COSTA RICA"/>
    <s v="ALAJUELA"/>
    <s v="ALAJUELA"/>
    <s v="SABANILLA"/>
    <m/>
    <m/>
    <m/>
    <n v="0"/>
    <m/>
    <m/>
    <m/>
    <m/>
    <m/>
    <m/>
    <m/>
    <m/>
    <x v="0"/>
    <d v="2013-11-0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3-11-04T00:00:00"/>
    <n v="1"/>
    <n v="0"/>
    <n v="0"/>
    <n v="0"/>
  </r>
  <r>
    <x v="1"/>
    <s v="UP2101 - HOSPITAL RAFAEL A. CALDERÓN GUARDIA"/>
    <m/>
    <s v="HIGADO"/>
    <x v="0"/>
    <m/>
    <m/>
    <m/>
    <n v="114.06707734428474"/>
    <m/>
    <s v="ANA GABRIELA"/>
    <s v="RAMIREZ"/>
    <s v="SANCHEZ"/>
    <n v="110030220"/>
    <x v="28"/>
    <s v="FEMENINA"/>
    <d v="1978-04-27T00:00:00"/>
    <n v="35.745379876796711"/>
    <m/>
    <m/>
    <s v="AUTOINMUNE (HAI)"/>
    <n v="16"/>
    <s v="COSTA RICA"/>
    <s v="SAN JOSE"/>
    <s v="DESAMPARADOS"/>
    <s v="DESAMPARADOS"/>
    <m/>
    <m/>
    <m/>
    <n v="13"/>
    <m/>
    <m/>
    <m/>
    <m/>
    <m/>
    <m/>
    <m/>
    <m/>
    <x v="0"/>
    <d v="2025-02-18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4-01-24T00:00:00"/>
    <n v="1"/>
    <n v="4043"/>
    <n v="132.82956878850104"/>
    <n v="11.069130732375086"/>
  </r>
  <r>
    <x v="0"/>
    <m/>
    <m/>
    <s v="HIGADO"/>
    <x v="0"/>
    <m/>
    <m/>
    <m/>
    <n v="114.19301848049281"/>
    <m/>
    <s v="MARIA FERNANDA"/>
    <s v="MONGE"/>
    <s v="MONTERO"/>
    <n v="115400642"/>
    <x v="29"/>
    <s v="FEMENINA"/>
    <d v="1993-06-25T00:00:00"/>
    <n v="20.709103353867214"/>
    <m/>
    <m/>
    <m/>
    <n v="32"/>
    <s v="COSTA RICA"/>
    <s v="SAN JOSE"/>
    <s v="DESAMPARADOS"/>
    <s v="DESAMPARADOS"/>
    <m/>
    <m/>
    <m/>
    <n v="40"/>
    <m/>
    <m/>
    <m/>
    <m/>
    <m/>
    <m/>
    <m/>
    <m/>
    <x v="0"/>
    <d v="2015-02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4-03-11T00:00:00"/>
    <n v="1"/>
    <n v="352"/>
    <n v="11.564681724845997"/>
    <n v="0.96372347707049966"/>
  </r>
  <r>
    <x v="0"/>
    <m/>
    <m/>
    <s v="HIGADO"/>
    <x v="0"/>
    <m/>
    <m/>
    <m/>
    <n v="114.3107460643395"/>
    <m/>
    <s v="ROBERTO EDMUNDO DE LA TRINIDAD"/>
    <s v="LOAIZA"/>
    <s v="ARCE"/>
    <n v="105530628"/>
    <x v="30"/>
    <s v="MASCULINO"/>
    <d v="1961-03-08T00:00:00"/>
    <n v="53.125256673511295"/>
    <m/>
    <m/>
    <s v="NASH"/>
    <n v="18"/>
    <s v="COSTA RICA"/>
    <s v="SAN JOSE"/>
    <s v="DESAMPARADOS"/>
    <s v="DESAMPARADOS"/>
    <m/>
    <m/>
    <m/>
    <n v="16"/>
    <m/>
    <m/>
    <m/>
    <m/>
    <m/>
    <m/>
    <m/>
    <m/>
    <x v="0"/>
    <d v="2020-04-05T00:00:00"/>
    <s v="LINFOMA DE NO HODGKIN EN RECAIDA, IRA OLIGOANURICA"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4-04-23T00:00:00"/>
    <n v="1"/>
    <n v="2174"/>
    <n v="71.42505133470226"/>
    <n v="5.9520876112251884"/>
  </r>
  <r>
    <x v="0"/>
    <m/>
    <m/>
    <s v="HIGADO"/>
    <x v="0"/>
    <m/>
    <m/>
    <m/>
    <n v="114.74332648870636"/>
    <m/>
    <s v="ROBERTO"/>
    <s v="SOTO"/>
    <s v="RODRIGUEZ"/>
    <n v="203220159"/>
    <x v="31"/>
    <s v="MASCULINO"/>
    <d v="1957-02-12T00:00:00"/>
    <n v="57.623545516769333"/>
    <m/>
    <m/>
    <s v="POR NASH"/>
    <n v="25"/>
    <s v="COSTA RICA"/>
    <s v="ALAJUELA"/>
    <s v="ALAJUELA"/>
    <s v="DESAMPARADOS"/>
    <m/>
    <m/>
    <m/>
    <n v="24"/>
    <m/>
    <m/>
    <m/>
    <m/>
    <m/>
    <m/>
    <m/>
    <m/>
    <x v="0"/>
    <d v="2020-04-05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4-09-28T00:00:00"/>
    <n v="1"/>
    <n v="2016"/>
    <n v="66.234086242299796"/>
    <n v="5.5195071868583163"/>
  </r>
  <r>
    <x v="1"/>
    <s v="UP2101 - HOSPITAL RAFAEL A. CALDERÓN GUARDIA"/>
    <m/>
    <s v="HIGADO"/>
    <x v="0"/>
    <m/>
    <m/>
    <m/>
    <n v="114.87200547570157"/>
    <m/>
    <s v="JOSE MARVIN"/>
    <s v="MONTIEL"/>
    <s v="LOPEZ"/>
    <n v="501980230"/>
    <x v="32"/>
    <s v="MASCULINO"/>
    <d v="1961-11-23T00:00:00"/>
    <n v="52.974674880219027"/>
    <m/>
    <m/>
    <s v="NASH"/>
    <n v="22"/>
    <s v="COSTA RICA"/>
    <s v="LIMON"/>
    <s v="POCOSI"/>
    <s v="CARIARI"/>
    <m/>
    <m/>
    <m/>
    <n v="18"/>
    <m/>
    <m/>
    <m/>
    <m/>
    <m/>
    <m/>
    <m/>
    <m/>
    <x v="0"/>
    <d v="2021-08-16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4-11-14T00:00:00"/>
    <n v="1"/>
    <n v="2467"/>
    <n v="81.051334702258728"/>
    <n v="6.754277891854894"/>
  </r>
  <r>
    <x v="0"/>
    <m/>
    <m/>
    <s v="HIGADO"/>
    <x v="0"/>
    <m/>
    <m/>
    <m/>
    <n v="114.89117043121149"/>
    <m/>
    <s v="GUILLERMO ENRIQUE"/>
    <s v="ARRIETA"/>
    <s v="RODRIGUEZ"/>
    <n v="601001172"/>
    <x v="33"/>
    <s v="MASCULINO"/>
    <d v="1952-04-08T00:00:00"/>
    <n v="62.620123203285424"/>
    <m/>
    <m/>
    <m/>
    <n v="6"/>
    <s v="COSTA RICA"/>
    <s v="PUNTARENAS"/>
    <s v="MONTES DE ORO"/>
    <s v="MIRAMAR"/>
    <m/>
    <m/>
    <m/>
    <n v="5"/>
    <m/>
    <m/>
    <m/>
    <m/>
    <m/>
    <m/>
    <m/>
    <m/>
    <x v="0"/>
    <d v="2016-06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4-11-21T00:00:00"/>
    <n v="1"/>
    <n v="566"/>
    <n v="18.595482546201232"/>
    <n v="1.5496235455167693"/>
  </r>
  <r>
    <x v="0"/>
    <m/>
    <m/>
    <s v="HIGADO"/>
    <x v="0"/>
    <m/>
    <m/>
    <m/>
    <n v="114.92676249144422"/>
    <m/>
    <s v="LUIS DIEGO"/>
    <s v="MARIN"/>
    <s v="UMAÑA"/>
    <n v="118200421"/>
    <x v="34"/>
    <s v="MASCULINO"/>
    <d v="2001-08-23T00:00:00"/>
    <n v="13.281314168377824"/>
    <m/>
    <m/>
    <s v="ENFERMEDAD DE WILSON"/>
    <n v="33"/>
    <s v="COSTA RICA"/>
    <s v="SAN JOSE"/>
    <s v="SAN JOSE"/>
    <s v="SAN FRANCISCO DE DOS RIOS"/>
    <m/>
    <m/>
    <m/>
    <n v="16"/>
    <m/>
    <m/>
    <m/>
    <m/>
    <m/>
    <m/>
    <m/>
    <m/>
    <x v="0"/>
    <d v="2022-10-18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4-12-04T00:00:00"/>
    <n v="1"/>
    <n v="2875"/>
    <n v="94.455852156057489"/>
    <n v="7.871321013004791"/>
  </r>
  <r>
    <x v="1"/>
    <s v="UP2101 - HOSPITAL RAFAEL A. CALDERÓN GUARDIA"/>
    <m/>
    <s v="HIGADO"/>
    <x v="0"/>
    <m/>
    <m/>
    <m/>
    <n v="114.94592744695414"/>
    <m/>
    <s v="YAJAIRA DE LOS ANGELES"/>
    <s v="GARCIA"/>
    <s v="GOMEZ"/>
    <n v="701330378"/>
    <x v="35"/>
    <s v="FEMENINA"/>
    <d v="1979-08-30T00:00:00"/>
    <n v="35.282683093771389"/>
    <m/>
    <m/>
    <s v="EMBARAZADA/ FALLO HEPATICO AGUDO "/>
    <n v="37"/>
    <s v="COSTA RICA"/>
    <s v="LIMON"/>
    <s v="POCOSI"/>
    <s v="RITA"/>
    <m/>
    <m/>
    <m/>
    <m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4-12-11T00:00:00"/>
    <n v="0"/>
    <n v="3883"/>
    <n v="127.57289527720739"/>
    <n v="10.63107460643395"/>
  </r>
  <r>
    <x v="0"/>
    <m/>
    <m/>
    <s v="HIGADO"/>
    <x v="0"/>
    <m/>
    <m/>
    <m/>
    <n v="114.9514031485284"/>
    <m/>
    <s v="ANA MARIA DE LOS ANGELES"/>
    <s v="QUIROS"/>
    <s v="QUESADA"/>
    <n v="700710216"/>
    <x v="36"/>
    <s v="FEMENINA"/>
    <d v="1961-08-01T00:00:00"/>
    <n v="53.366187542778917"/>
    <m/>
    <m/>
    <s v="CIRROSIS BILIAR PRIMARIA"/>
    <n v="15"/>
    <s v="COSTA RICA"/>
    <s v="HEREDIA"/>
    <s v="CENTRAL"/>
    <s v="HEREDIA"/>
    <m/>
    <m/>
    <m/>
    <n v="20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4-12-13T00:00:00"/>
    <n v="0"/>
    <n v="3881"/>
    <n v="127.50718685831622"/>
    <n v="10.625598904859686"/>
  </r>
  <r>
    <x v="1"/>
    <s v="UP2101 - HOSPITAL RAFAEL A. CALDERÓN GUARDIA"/>
    <m/>
    <s v="HIGADO"/>
    <x v="0"/>
    <m/>
    <m/>
    <m/>
    <n v="114.97878165639973"/>
    <m/>
    <s v="JORGE EDUARDO"/>
    <s v="SEGURA"/>
    <s v="GUZMAN"/>
    <n v="105800125"/>
    <x v="37"/>
    <s v="MASCULINO"/>
    <d v="1962-02-16T00:00:00"/>
    <n v="52.84873374401095"/>
    <m/>
    <m/>
    <s v="HEMOCROMATOSIS"/>
    <n v="25"/>
    <s v="COSTA RICA"/>
    <s v="SAN JOSE"/>
    <s v="ASERRI"/>
    <s v="TARBACA"/>
    <m/>
    <m/>
    <m/>
    <n v="8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4-12-23T00:00:00"/>
    <n v="0"/>
    <n v="3871"/>
    <n v="127.17864476386038"/>
    <n v="10.598220396988363"/>
  </r>
  <r>
    <x v="0"/>
    <m/>
    <m/>
    <s v="HIGADO"/>
    <x v="0"/>
    <m/>
    <m/>
    <m/>
    <n v="115.06091718001369"/>
    <m/>
    <s v="JORGE EDMUNDO"/>
    <s v="HERNANDEZ"/>
    <s v="MEJIA"/>
    <n v="206210323"/>
    <x v="38"/>
    <s v="MASCULINO"/>
    <d v="1986-06-10T00:00:00"/>
    <n v="28.618754277891856"/>
    <m/>
    <m/>
    <s v="HCA ETIOLOGIA DESCONOCIDA SOPECHA CEP, PANCOLITIS CRONICA SEVERA"/>
    <n v="10"/>
    <s v="COSTA RICA"/>
    <s v="ALAJUELA"/>
    <s v="CENTRAL"/>
    <s v="ALAJUELA"/>
    <m/>
    <m/>
    <m/>
    <n v="13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5-01-22T00:00:00"/>
    <n v="0"/>
    <n v="3841"/>
    <n v="126.19301848049281"/>
    <n v="10.516084873374401"/>
  </r>
  <r>
    <x v="1"/>
    <s v="UP2101 - HOSPITAL RAFAEL A. CALDERÓN GUARDIA"/>
    <m/>
    <s v="HIGADO"/>
    <x v="0"/>
    <m/>
    <m/>
    <m/>
    <n v="115.09650924024641"/>
    <m/>
    <s v="MARIA JOSEFA"/>
    <s v="CAMPOS"/>
    <s v="ESTRELLA"/>
    <n v="801430376"/>
    <x v="39"/>
    <s v="FEMENINA"/>
    <d v="1966-04-05T00:00:00"/>
    <n v="48.83504449007529"/>
    <m/>
    <m/>
    <s v="CBP"/>
    <n v="11"/>
    <s v="COSTA RICA"/>
    <s v="SAN JOSE"/>
    <s v="SAN JOSE"/>
    <s v="CARMEN"/>
    <m/>
    <m/>
    <m/>
    <n v="20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5-02-04T00:00:00"/>
    <n v="0"/>
    <n v="3828"/>
    <n v="125.7659137577002"/>
    <n v="10.480492813141684"/>
  </r>
  <r>
    <x v="0"/>
    <m/>
    <m/>
    <s v="HIGADO"/>
    <x v="0"/>
    <m/>
    <m/>
    <m/>
    <n v="115.29363449691992"/>
    <m/>
    <s v="CARLOS"/>
    <s v="QUESADA"/>
    <s v="ALVARADO"/>
    <n v="105950157"/>
    <x v="40"/>
    <s v="MASCULINO"/>
    <d v="1962-11-13T00:00:00"/>
    <n v="52.424366872005479"/>
    <m/>
    <m/>
    <s v="HCE POR OH"/>
    <n v="16"/>
    <s v="COSTA RICA"/>
    <s v="SAN JOSE"/>
    <s v="CENTRAL"/>
    <s v="URUCA"/>
    <m/>
    <m/>
    <m/>
    <n v="30"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5-04-17T00:00:00"/>
    <n v="0"/>
    <n v="3756"/>
    <n v="123.40041067761807"/>
    <n v="10.283367556468173"/>
  </r>
  <r>
    <x v="0"/>
    <m/>
    <m/>
    <s v="HIGADO"/>
    <x v="0"/>
    <m/>
    <m/>
    <m/>
    <n v="115.49897330595482"/>
    <m/>
    <s v="EMILY ANGELYN"/>
    <s v="CRUZ"/>
    <s v="MONTERO"/>
    <n v="119420297"/>
    <x v="41"/>
    <s v="FEMENINA"/>
    <d v="2005-08-05T00:00:00"/>
    <n v="9.9028062970568111"/>
    <m/>
    <m/>
    <s v="ENFERMEDAD WILSON"/>
    <n v="37"/>
    <s v="COSTA RICA"/>
    <s v="SAN JOSE"/>
    <s v="PURISCAL"/>
    <s v="GRIFO ALTO"/>
    <m/>
    <m/>
    <m/>
    <n v="26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5-07-01T00:00:00"/>
    <n v="0"/>
    <n v="3681"/>
    <n v="120.93634496919918"/>
    <n v="10.078028747433265"/>
  </r>
  <r>
    <x v="0"/>
    <m/>
    <m/>
    <s v="HIGADO"/>
    <x v="0"/>
    <m/>
    <m/>
    <m/>
    <n v="115.69336071184121"/>
    <m/>
    <s v="MELISSA MARIA"/>
    <s v="QUIROS"/>
    <s v="CENTENO"/>
    <n v="117350219"/>
    <x v="42"/>
    <s v="FEMENINA"/>
    <d v="1999-02-18T00:00:00"/>
    <n v="16.558521560574949"/>
    <m/>
    <m/>
    <s v="ENFERMEDAD DE WILSON"/>
    <n v="29"/>
    <s v="COSTA RICA"/>
    <s v="PUNTARENAS"/>
    <s v="CENTRAL"/>
    <s v="COBANO"/>
    <m/>
    <m/>
    <m/>
    <n v="51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5-09-10T00:00:00"/>
    <n v="0"/>
    <n v="3610"/>
    <n v="118.60369609856262"/>
    <n v="9.8836413415468858"/>
  </r>
  <r>
    <x v="0"/>
    <m/>
    <m/>
    <s v="HIGADO"/>
    <x v="0"/>
    <m/>
    <m/>
    <m/>
    <n v="115.70704996577686"/>
    <m/>
    <s v="ANDREY ARTURO"/>
    <s v="MEJIA"/>
    <s v="CASTRO"/>
    <n v="116470015"/>
    <x v="43"/>
    <s v="MASCULINO"/>
    <d v="1996-07-07T00:00:00"/>
    <n v="19.189596167008897"/>
    <m/>
    <m/>
    <s v="HIPERTENSION PORTAL POR DEFICIT DE ANTITRIPSINA"/>
    <n v="16"/>
    <s v="COSTA RICA"/>
    <s v="SAN JOSE"/>
    <s v="MONTES DE OCA"/>
    <s v="SAN RAFAEL"/>
    <m/>
    <m/>
    <m/>
    <n v="45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5-09-15T00:00:00"/>
    <n v="0"/>
    <n v="3605"/>
    <n v="118.43942505133471"/>
    <n v="9.8699520876112246"/>
  </r>
  <r>
    <x v="0"/>
    <m/>
    <m/>
    <s v="HIGADO"/>
    <x v="0"/>
    <m/>
    <m/>
    <m/>
    <n v="115.92607802874743"/>
    <m/>
    <s v="WALKYRIA DEL CARMEN"/>
    <s v="MORALES"/>
    <s v="MORA"/>
    <n v="109460064"/>
    <x v="44"/>
    <s v="FEMENINA"/>
    <d v="1976-07-28T00:00:00"/>
    <n v="39.351129363449694"/>
    <m/>
    <m/>
    <s v="CIRROSIS BILIAR PRIMARIA AUTOINMUNE"/>
    <n v="24"/>
    <s v="COSTA RICA"/>
    <s v="SAN JOSE"/>
    <s v="CENTRAL"/>
    <s v="CARMEN"/>
    <m/>
    <m/>
    <m/>
    <n v="14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5-12-04T00:00:00"/>
    <n v="0"/>
    <n v="3525"/>
    <n v="115.81108829568788"/>
    <n v="9.6509240246406574"/>
  </r>
  <r>
    <x v="1"/>
    <s v="UP2101 - HOSPITAL RAFAEL A. CALDERÓN GUARDIA"/>
    <m/>
    <s v="HIGADO"/>
    <x v="0"/>
    <m/>
    <m/>
    <m/>
    <n v="116.17248459958932"/>
    <m/>
    <s v="NANCY AUXILIADORA"/>
    <s v="VENEGAS"/>
    <s v="LARA"/>
    <n v="109470523"/>
    <x v="45"/>
    <s v="FEMENINA"/>
    <d v="1976-08-24T00:00:00"/>
    <n v="39.523613963039011"/>
    <m/>
    <m/>
    <s v="COLANGITIS ESCLEROSANTE PRIMARIA "/>
    <n v="15"/>
    <s v="COSTA RICA"/>
    <s v="HEREDIA"/>
    <s v="BELEN"/>
    <s v="SAN ANTONIO"/>
    <m/>
    <m/>
    <m/>
    <n v="11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6-03-03T00:00:00"/>
    <n v="0"/>
    <n v="3435"/>
    <n v="112.85420944558521"/>
    <n v="9.4045174537987677"/>
  </r>
  <r>
    <x v="0"/>
    <m/>
    <m/>
    <s v="HIGADO"/>
    <x v="1"/>
    <m/>
    <m/>
    <m/>
    <n v="116.38603696098562"/>
    <m/>
    <s v="NAZARETH LUCIA"/>
    <s v="NAVARRETE"/>
    <s v="VARGAS"/>
    <n v="117740069"/>
    <x v="46"/>
    <s v="FEMENINA"/>
    <d v="2000-04-12T00:00:00"/>
    <n v="16.10403832991102"/>
    <m/>
    <m/>
    <s v="ENFERMEDAD DE WILSON"/>
    <n v="9"/>
    <s v="COSTA RICA"/>
    <s v="PUNTARENAS"/>
    <s v="PUNTARENAS"/>
    <s v="COBANO"/>
    <m/>
    <m/>
    <m/>
    <n v="13"/>
    <m/>
    <m/>
    <m/>
    <m/>
    <m/>
    <m/>
    <m/>
    <m/>
    <x v="0"/>
    <d v="2016-06-0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6-05-20T00:00:00"/>
    <n v="1"/>
    <n v="13"/>
    <n v="0.4271047227926078"/>
    <n v="3.5592060232717319E-2"/>
  </r>
  <r>
    <x v="1"/>
    <s v="UP2101 - HOSPITAL RAFAEL A. CALDERÓN GUARDIA"/>
    <m/>
    <s v="HIGADO"/>
    <x v="0"/>
    <m/>
    <m/>
    <m/>
    <n v="116.39425051334702"/>
    <m/>
    <s v="EDDY RODOLFO"/>
    <s v="ARTAVIA"/>
    <s v="GONZALEZ"/>
    <n v="107020054"/>
    <x v="47"/>
    <s v="MASCULINO"/>
    <d v="1967-05-23T00:00:00"/>
    <n v="49.002053388090346"/>
    <m/>
    <m/>
    <s v="DEFICIT A-1-AT"/>
    <n v="16"/>
    <s v="COSTA RICA"/>
    <s v="SAN JOSE"/>
    <s v="CURRIDABAT"/>
    <s v="CURRIDABAT"/>
    <m/>
    <m/>
    <m/>
    <n v="12"/>
    <m/>
    <m/>
    <m/>
    <m/>
    <m/>
    <m/>
    <m/>
    <m/>
    <x v="0"/>
    <d v="2016-06-14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6-05-23T00:00:00"/>
    <n v="1"/>
    <n v="22"/>
    <n v="0.7227926078028748"/>
    <n v="6.0232717316906229E-2"/>
  </r>
  <r>
    <x v="1"/>
    <s v="UP2101 - HOSPITAL RAFAEL A. CALDERÓN GUARDIA"/>
    <m/>
    <s v="HIGADO"/>
    <x v="0"/>
    <m/>
    <m/>
    <m/>
    <n v="116.54209445585215"/>
    <m/>
    <s v="FRANCISCO JAVIER"/>
    <s v="FONT"/>
    <s v="CARRANZA"/>
    <n v="105870629"/>
    <x v="48"/>
    <s v="MASCULINO"/>
    <d v="1962-08-21T00:00:00"/>
    <n v="53.902806297056813"/>
    <m/>
    <m/>
    <s v="CRIPTGENICA"/>
    <n v="13"/>
    <s v="COSTA RICA"/>
    <s v="SAN JOSE"/>
    <s v="CURRIDABAT"/>
    <s v="CURRIDABAT"/>
    <m/>
    <m/>
    <m/>
    <n v="27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6-07-16T00:00:00"/>
    <n v="0"/>
    <n v="3300"/>
    <n v="108.41889117043121"/>
    <n v="9.0349075975359341"/>
  </r>
  <r>
    <x v="1"/>
    <s v="UP2101 - HOSPITAL RAFAEL A. CALDERÓN GUARDIA"/>
    <m/>
    <s v="HIGADO"/>
    <x v="0"/>
    <m/>
    <m/>
    <m/>
    <n v="116.75838466803559"/>
    <m/>
    <s v="MAURICIO"/>
    <s v="ALVARADO"/>
    <s v="ALFARO"/>
    <n v="108740419"/>
    <x v="49"/>
    <s v="MASCULINO"/>
    <d v="1968-02-12T00:00:00"/>
    <n v="48.640657084188909"/>
    <m/>
    <m/>
    <s v="HEMOCROMATOSIS"/>
    <n v="27"/>
    <s v="COSTA RICA"/>
    <s v="SAN JOSE"/>
    <s v="ACOSTA"/>
    <s v="SAN IGNACIO"/>
    <m/>
    <m/>
    <m/>
    <n v="10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6-10-03T00:00:00"/>
    <n v="0"/>
    <n v="3221"/>
    <n v="105.82340862422998"/>
    <n v="8.8186173853524981"/>
  </r>
  <r>
    <x v="1"/>
    <s v="UP2101 - HOSPITAL RAFAEL A. CALDERÓN GUARDIA"/>
    <m/>
    <s v="HIGADO"/>
    <x v="0"/>
    <m/>
    <m/>
    <m/>
    <n v="116.88158795345653"/>
    <m/>
    <s v="PATRICIA"/>
    <s v="MASIS"/>
    <s v="ARCE"/>
    <n v="302310091"/>
    <x v="50"/>
    <s v="FEMENINA"/>
    <d v="1958-05-10T00:00:00"/>
    <n v="58.5242984257358"/>
    <m/>
    <m/>
    <s v="NASH"/>
    <n v="14"/>
    <s v="COSTA RICA"/>
    <s v="CARTAGO"/>
    <s v="CARTAGO"/>
    <s v="ORIENTAL"/>
    <m/>
    <m/>
    <m/>
    <n v="12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6-11-17T00:00:00"/>
    <n v="0"/>
    <n v="3176"/>
    <n v="104.34496919917865"/>
    <n v="8.6954140999315541"/>
  </r>
  <r>
    <x v="1"/>
    <s v="UP2101 - HOSPITAL RAFAEL A. CALDERÓN GUARDIA"/>
    <m/>
    <s v="HIGADO"/>
    <x v="0"/>
    <m/>
    <m/>
    <m/>
    <n v="116.97467488021903"/>
    <m/>
    <s v="JOSE MANUEL DE LOS ANGELES"/>
    <s v="SALAS"/>
    <s v="PORRAS"/>
    <n v="303000821"/>
    <x v="51"/>
    <s v="MASCULINO"/>
    <d v="1968-12-29T00:00:00"/>
    <n v="47.978097193702943"/>
    <m/>
    <m/>
    <s v="NASH"/>
    <n v="20"/>
    <s v="COSTA RICA"/>
    <s v="SAN JOSE"/>
    <s v="GOICOECHEA"/>
    <s v="CALLE BLANCOS"/>
    <m/>
    <m/>
    <m/>
    <n v="11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6-12-21T00:00:00"/>
    <n v="0"/>
    <n v="3142"/>
    <n v="103.22792607802874"/>
    <n v="8.602327173169062"/>
  </r>
  <r>
    <x v="1"/>
    <s v="UP2101 - HOSPITAL RAFAEL A. CALDERÓN GUARDIA"/>
    <m/>
    <s v="HIGADO"/>
    <x v="0"/>
    <m/>
    <m/>
    <m/>
    <n v="117.34154688569473"/>
    <m/>
    <s v="LUIS GERARDO"/>
    <s v="ROJAS"/>
    <s v="QUESADA"/>
    <n v="203670671"/>
    <x v="52"/>
    <s v="MASCULINO"/>
    <d v="1954-09-20T00:00:00"/>
    <n v="62.620123203285424"/>
    <m/>
    <m/>
    <s v="OH+HCC"/>
    <n v="7"/>
    <s v="COSTA RICA"/>
    <s v="SAN JOSE"/>
    <s v="GOICOECHEA"/>
    <s v="GUADALUPE"/>
    <m/>
    <m/>
    <m/>
    <n v="15"/>
    <m/>
    <m/>
    <m/>
    <m/>
    <m/>
    <m/>
    <m/>
    <m/>
    <x v="0"/>
    <d v="2019-06-12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7-05-04T00:00:00"/>
    <n v="1"/>
    <n v="769"/>
    <n v="25.264887063655031"/>
    <n v="2.1054072553045859"/>
  </r>
  <r>
    <x v="1"/>
    <s v="UP2101 - HOSPITAL RAFAEL A. CALDERÓN GUARDIA"/>
    <m/>
    <s v="HIGADO"/>
    <x v="0"/>
    <m/>
    <m/>
    <m/>
    <n v="117.34976043805612"/>
    <m/>
    <s v="MARCO AURELIO"/>
    <s v="NAVARRO"/>
    <s v="JIMENEZ"/>
    <n v="203050794"/>
    <x v="53"/>
    <s v="MASCULINO"/>
    <d v="1955-05-26T00:00:00"/>
    <n v="61.949349760438054"/>
    <m/>
    <m/>
    <s v="HASH"/>
    <n v="14"/>
    <s v="COSTA RICA"/>
    <s v="GUANACASTE"/>
    <s v="CAЁS"/>
    <s v="CAЁS"/>
    <m/>
    <m/>
    <m/>
    <n v="13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7-05-07T00:00:00"/>
    <n v="0"/>
    <n v="3005"/>
    <n v="98.726899383983579"/>
    <n v="8.2272416153319643"/>
  </r>
  <r>
    <x v="0"/>
    <m/>
    <m/>
    <s v="HIGADO"/>
    <x v="0"/>
    <m/>
    <m/>
    <m/>
    <n v="117.39630390143738"/>
    <m/>
    <s v="ALEXANDRA"/>
    <s v="PEREZ"/>
    <s v="CADENA"/>
    <n v="801200709"/>
    <x v="54"/>
    <s v="FEMENINA"/>
    <d v="1978-05-21T00:00:00"/>
    <n v="39.008898015058179"/>
    <m/>
    <m/>
    <s v="COLANGITIS ESCLEROSANTE PRIMARIA, HCC, COLANGIOCARCINOMA"/>
    <n v="17"/>
    <s v="COSTA RICA"/>
    <s v="SAN JOSE"/>
    <s v="TIBAS"/>
    <s v="COLIMA"/>
    <m/>
    <m/>
    <m/>
    <n v="21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7-05-24T00:00:00"/>
    <n v="0"/>
    <n v="2988"/>
    <n v="98.168377823408619"/>
    <n v="8.1806981519507183"/>
  </r>
  <r>
    <x v="0"/>
    <m/>
    <m/>
    <s v="HIGADO"/>
    <x v="0"/>
    <m/>
    <m/>
    <m/>
    <n v="117.6208076659822"/>
    <m/>
    <s v="KATHERINE"/>
    <s v="VENEGAS"/>
    <s v="ORTIZ"/>
    <n v="207930719"/>
    <x v="55"/>
    <s v="FEMENINA"/>
    <d v="1999-07-08T00:00:00"/>
    <n v="18.102669404517453"/>
    <m/>
    <m/>
    <s v="ATRESIA BILIAR"/>
    <n v="23"/>
    <s v="COSTA RICA"/>
    <s v="ALAJUELA"/>
    <s v="GRECIA"/>
    <s v="SAN JOSE"/>
    <m/>
    <m/>
    <m/>
    <n v="1"/>
    <m/>
    <m/>
    <m/>
    <m/>
    <m/>
    <m/>
    <m/>
    <m/>
    <x v="0"/>
    <d v="2017-08-15T00:00:00"/>
    <m/>
    <m/>
    <m/>
    <m/>
    <m/>
    <m/>
    <m/>
    <m/>
    <m/>
    <m/>
    <s v="SI"/>
    <m/>
    <m/>
    <m/>
    <m/>
    <m/>
    <m/>
    <m/>
    <m/>
    <m/>
    <m/>
    <m/>
    <m/>
    <m/>
    <m/>
    <m/>
    <m/>
    <m/>
    <m/>
    <m/>
    <d v="2017-08-14T00:00:00"/>
    <n v="1"/>
    <n v="1"/>
    <n v="3.2854209445585217E-2"/>
    <n v="2.7378507871321013E-3"/>
  </r>
  <r>
    <x v="1"/>
    <s v="UP2101 - HOSPITAL RAFAEL A. CALDERÓN GUARDIA"/>
    <m/>
    <s v="HIGADO"/>
    <x v="0"/>
    <m/>
    <m/>
    <m/>
    <n v="117.63997262149213"/>
    <m/>
    <s v="RODOLFO GERARDO"/>
    <s v="CANESSA"/>
    <s v="PRADO"/>
    <n v="600991440"/>
    <x v="56"/>
    <s v="MASCULINO"/>
    <d v="1952-02-21T00:00:00"/>
    <n v="65.497604380561256"/>
    <m/>
    <m/>
    <s v="OH+HCC"/>
    <n v="10"/>
    <s v="COSTA RICA"/>
    <s v="PUNTARENAS"/>
    <s v="CENTRAL"/>
    <s v="PUNTARENAS"/>
    <m/>
    <m/>
    <m/>
    <n v="11"/>
    <m/>
    <m/>
    <m/>
    <m/>
    <m/>
    <m/>
    <m/>
    <m/>
    <x v="0"/>
    <d v="2020-04-05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7-08-21T00:00:00"/>
    <n v="1"/>
    <n v="958"/>
    <n v="31.474332648870636"/>
    <n v="2.622861054072553"/>
  </r>
  <r>
    <x v="1"/>
    <s v="UP2101 - HOSPITAL RAFAEL A. CALDERÓN GUARDIA"/>
    <m/>
    <s v="HIGADO"/>
    <x v="0"/>
    <m/>
    <m/>
    <m/>
    <n v="117.77960301163587"/>
    <m/>
    <s v="YOLANDA"/>
    <s v="PEREZ"/>
    <s v="GAMBOA"/>
    <n v="104320935"/>
    <x v="57"/>
    <s v="FEMENINA"/>
    <d v="1954-09-03T00:00:00"/>
    <n v="63.104722792607802"/>
    <m/>
    <m/>
    <s v="HAI +NASH"/>
    <n v="13"/>
    <s v="COSTA RICA"/>
    <s v="SAN JOSE"/>
    <s v="GOICOECHEA"/>
    <s v="GUADALUPE"/>
    <m/>
    <m/>
    <m/>
    <n v="10"/>
    <m/>
    <m/>
    <m/>
    <m/>
    <m/>
    <m/>
    <m/>
    <m/>
    <x v="0"/>
    <d v="2021-04-13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7-10-11T00:00:00"/>
    <n v="1"/>
    <n v="1280"/>
    <n v="42.053388090349074"/>
    <n v="3.5044490075290895"/>
  </r>
  <r>
    <x v="1"/>
    <s v="UP2101 - HOSPITAL RAFAEL A. CALDERÓN GUARDIA"/>
    <m/>
    <s v="HIGADO"/>
    <x v="0"/>
    <m/>
    <m/>
    <m/>
    <n v="117.83162217659138"/>
    <m/>
    <s v="HENRY"/>
    <s v="SOLANO"/>
    <s v="VARGAS"/>
    <n v="105530983"/>
    <x v="58"/>
    <s v="MASCULINO"/>
    <d v="1960-11-04T00:00:00"/>
    <n v="56.985626283367559"/>
    <m/>
    <m/>
    <s v="OH"/>
    <n v="10"/>
    <s v="COSTA RICA"/>
    <s v="SAN JOSE"/>
    <s v="CENTRAL"/>
    <s v="SAN SEBASTIAN"/>
    <m/>
    <m/>
    <m/>
    <n v="9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7-10-30T00:00:00"/>
    <n v="0"/>
    <n v="2829"/>
    <n v="92.94455852156058"/>
    <n v="7.7453798767967141"/>
  </r>
  <r>
    <x v="1"/>
    <s v="UP2101 - HOSPITAL RAFAEL A. CALDERÓN GUARDIA"/>
    <m/>
    <s v="HIGADO"/>
    <x v="0"/>
    <m/>
    <m/>
    <m/>
    <n v="117.88090349075975"/>
    <m/>
    <s v="SERGIO"/>
    <s v="MORA"/>
    <s v="NAVARRO"/>
    <n v="302220930"/>
    <x v="59"/>
    <s v="MASCULINO"/>
    <d v="1957-11-28T00:00:00"/>
    <n v="59.969883641341546"/>
    <m/>
    <m/>
    <s v="OH"/>
    <n v="13"/>
    <s v="COSTA RICA"/>
    <s v="CARTAGO"/>
    <s v="TURRIALBA"/>
    <s v="TURRIALBA"/>
    <m/>
    <m/>
    <m/>
    <n v="12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7-11-17T00:00:00"/>
    <n v="0"/>
    <n v="2811"/>
    <n v="92.353182751540047"/>
    <n v="7.6960985626283369"/>
  </r>
  <r>
    <x v="1"/>
    <s v="UP2101 - HOSPITAL RAFAEL A. CALDERÓN GUARDIA"/>
    <m/>
    <s v="HIGADO"/>
    <x v="0"/>
    <m/>
    <m/>
    <m/>
    <n v="118.00958247775496"/>
    <m/>
    <s v="MATEO MARTIN"/>
    <s v="FOURNIER"/>
    <s v="PALMA"/>
    <n v="105760831"/>
    <x v="60"/>
    <s v="MASCULINO"/>
    <d v="1956-02-22T00:00:00"/>
    <n v="61.864476386036962"/>
    <m/>
    <m/>
    <s v="NASH + HCC"/>
    <n v="12"/>
    <s v="COSTA RICA"/>
    <s v="GUANACASTE"/>
    <s v="CARRILLO"/>
    <s v="SARDINAL"/>
    <m/>
    <m/>
    <m/>
    <n v="9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01-03T00:00:00"/>
    <n v="0"/>
    <n v="2764"/>
    <n v="90.809034907597535"/>
    <n v="7.5674195756331279"/>
  </r>
  <r>
    <x v="1"/>
    <s v="UP2101 - HOSPITAL RAFAEL A. CALDERÓN GUARDIA"/>
    <m/>
    <s v="HIGADO"/>
    <x v="0"/>
    <m/>
    <m/>
    <m/>
    <n v="118.05886379192334"/>
    <m/>
    <s v="JOSE ANTONIO"/>
    <s v="GENE"/>
    <s v="VALVERDE"/>
    <n v="104900707"/>
    <x v="61"/>
    <s v="MASCULINO"/>
    <d v="1958-01-29T00:00:00"/>
    <n v="59.978097193702943"/>
    <m/>
    <m/>
    <s v="HCC"/>
    <n v="16"/>
    <s v="COSTA RICA"/>
    <s v="SAN JOSE"/>
    <s v="SANTA ANA"/>
    <s v="SANTA ANA"/>
    <m/>
    <m/>
    <m/>
    <n v="16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01-21T00:00:00"/>
    <n v="0"/>
    <n v="2746"/>
    <n v="90.217659137577002"/>
    <n v="7.5181382614647498"/>
  </r>
  <r>
    <x v="1"/>
    <s v="UP2101 - HOSPITAL RAFAEL A. CALDERÓN GUARDIA"/>
    <m/>
    <s v="HIGADO"/>
    <x v="0"/>
    <m/>
    <m/>
    <m/>
    <n v="118.1409993155373"/>
    <m/>
    <s v="ALBERTO JOSUE"/>
    <s v="CASTRO"/>
    <s v="RODRIGUEZ"/>
    <n v="117390079"/>
    <x v="62"/>
    <s v="MASCULINO"/>
    <d v="1999-02-22T00:00:00"/>
    <n v="18.99520876112252"/>
    <m/>
    <m/>
    <s v="WILSON"/>
    <n v="20"/>
    <s v="COSTA RICA"/>
    <s v="SAN JOSE"/>
    <s v="VAZQUEZ DE CORONADO"/>
    <s v="SAN RAFAEL"/>
    <m/>
    <m/>
    <m/>
    <n v="23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02-20T00:00:00"/>
    <n v="0"/>
    <n v="2716"/>
    <n v="89.23203285420945"/>
    <n v="7.4360027378507869"/>
  </r>
  <r>
    <x v="0"/>
    <m/>
    <m/>
    <s v="HIGADO"/>
    <x v="0"/>
    <m/>
    <m/>
    <m/>
    <n v="118.21492128678987"/>
    <m/>
    <s v="AMELIA JEANNETTE"/>
    <s v="TABASH"/>
    <s v="VALLEJOS"/>
    <n v="604460903"/>
    <x v="63"/>
    <s v="FEMENINA"/>
    <d v="1998-07-08T00:00:00"/>
    <n v="19.696098562628336"/>
    <m/>
    <m/>
    <s v="FALLA HEPATICA AGUDA, PORFIRIA INTERMITENTE"/>
    <n v="9"/>
    <s v="COSTA RICA"/>
    <s v="PUNTARENAS"/>
    <s v="PUNTARENAS"/>
    <s v="CHACARITA"/>
    <m/>
    <m/>
    <m/>
    <n v="19"/>
    <m/>
    <m/>
    <m/>
    <m/>
    <m/>
    <m/>
    <m/>
    <m/>
    <x v="0"/>
    <d v="2018-04-0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03-19T00:00:00"/>
    <n v="1"/>
    <n v="19"/>
    <n v="0.62422997946611913"/>
    <n v="5.2019164955509928E-2"/>
  </r>
  <r>
    <x v="1"/>
    <s v="UP2101 - HOSPITAL RAFAEL A. CALDERÓN GUARDIA"/>
    <m/>
    <s v="HIGADO"/>
    <x v="0"/>
    <m/>
    <m/>
    <m/>
    <n v="118.31895961670089"/>
    <m/>
    <s v="NELSON MARTIN"/>
    <s v="VILLALOBOS"/>
    <s v="MORA"/>
    <n v="107390624"/>
    <x v="64"/>
    <s v="MASCULINO"/>
    <d v="1969-02-06T00:00:00"/>
    <n v="49.215605749486656"/>
    <m/>
    <m/>
    <s v="OH"/>
    <n v="17"/>
    <s v="COSTA RICA"/>
    <s v="SAN JOSE"/>
    <s v="CURRIDABAT"/>
    <s v="CURRIDABAT"/>
    <m/>
    <m/>
    <m/>
    <n v="5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04-26T00:00:00"/>
    <n v="0"/>
    <n v="2651"/>
    <n v="87.096509240246405"/>
    <n v="7.2580424366872007"/>
  </r>
  <r>
    <x v="0"/>
    <m/>
    <m/>
    <s v="HIGADO"/>
    <x v="0"/>
    <m/>
    <m/>
    <m/>
    <n v="118.33264887063655"/>
    <m/>
    <s v="RODRIGO ALBERTO"/>
    <s v="CALDERON"/>
    <s v="ARAYA"/>
    <n v="110940765"/>
    <x v="65"/>
    <s v="MASCULINO"/>
    <d v="1981-02-18T00:00:00"/>
    <n v="37.196440793976727"/>
    <m/>
    <m/>
    <s v="COLANGITIS ESCLEROSANTE PRIMARIA"/>
    <n v="16"/>
    <s v="COSTA RICA"/>
    <s v="SAN JOSE"/>
    <s v="TIBAS"/>
    <s v="ANSELMO LLORENTE"/>
    <m/>
    <m/>
    <m/>
    <n v="23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05-01T00:00:00"/>
    <n v="0"/>
    <n v="2646"/>
    <n v="86.932238193018478"/>
    <n v="7.2443531827515404"/>
  </r>
  <r>
    <x v="1"/>
    <s v="UP2101 - HOSPITAL RAFAEL A. CALDERÓN GUARDIA"/>
    <m/>
    <s v="HIGADO"/>
    <x v="0"/>
    <m/>
    <m/>
    <m/>
    <n v="118.35181382614647"/>
    <m/>
    <s v="CARMEN"/>
    <s v="BLANCO"/>
    <s v="VARGAS"/>
    <n v="101410291"/>
    <x v="66"/>
    <s v="FEMENINA"/>
    <d v="1921-04-04T00:00:00"/>
    <n v="97.092402464065714"/>
    <m/>
    <m/>
    <s v="CRIPTOGENICA"/>
    <n v="38"/>
    <s v="COSTA RICA"/>
    <s v="SAN JOSE"/>
    <s v="CURRIDABAT"/>
    <s v="CURRIDABAT"/>
    <m/>
    <m/>
    <m/>
    <n v="20"/>
    <m/>
    <m/>
    <m/>
    <m/>
    <m/>
    <m/>
    <m/>
    <m/>
    <x v="0"/>
    <d v="2000-07-17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05-08T00:00:00"/>
    <n v="1"/>
    <n v="-6504"/>
    <n v="-213.68377823408625"/>
    <n v="-17.806981519507186"/>
  </r>
  <r>
    <x v="0"/>
    <m/>
    <m/>
    <s v="HIGADO"/>
    <x v="0"/>
    <m/>
    <m/>
    <m/>
    <n v="118.39288158795345"/>
    <m/>
    <s v="ROSAURA ISELA DE LA TRINIDAD"/>
    <s v="JIMENEZ"/>
    <s v="CALDERON"/>
    <n v="107130271"/>
    <x v="67"/>
    <s v="FEMENINA"/>
    <d v="1967-11-24T00:00:00"/>
    <n v="50.494182067077347"/>
    <m/>
    <m/>
    <s v="CIRROSIS BILIAR PRIMARIA"/>
    <n v="15"/>
    <s v="COSTA RICA"/>
    <s v="SAN JOSE"/>
    <s v="CENTRAL"/>
    <s v="SAN SEBASTIAN"/>
    <m/>
    <m/>
    <m/>
    <n v="9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05-23T00:00:00"/>
    <n v="0"/>
    <n v="2624"/>
    <n v="86.209445585215605"/>
    <n v="7.184120465434634"/>
  </r>
  <r>
    <x v="0"/>
    <m/>
    <m/>
    <s v="HIGADO"/>
    <x v="0"/>
    <m/>
    <m/>
    <m/>
    <n v="118.39561943874058"/>
    <m/>
    <s v="JIMMY ALEXANDER"/>
    <s v="BARAHONA"/>
    <s v="CALVO"/>
    <n v="108510838"/>
    <x v="68"/>
    <s v="MASCULINO"/>
    <d v="1973-05-16T00:00:00"/>
    <n v="45.021218343600275"/>
    <m/>
    <m/>
    <s v="HEPATOPATIA CRONICA POR CIRROSIS BILIAR PRIMARIA, HIPERTENSION PORTAL DE VENA PORTA"/>
    <n v="14"/>
    <s v="COSTA RICA"/>
    <s v="SAN JOSE"/>
    <s v="DESAMPARADOS"/>
    <s v="GRAVILIAS"/>
    <m/>
    <m/>
    <m/>
    <n v="14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05-24T00:00:00"/>
    <n v="0"/>
    <n v="2623"/>
    <n v="86.176591375770016"/>
    <n v="7.1813826146475019"/>
  </r>
  <r>
    <x v="0"/>
    <m/>
    <m/>
    <s v="HIGADO"/>
    <x v="0"/>
    <m/>
    <m/>
    <m/>
    <n v="118.41752224503765"/>
    <m/>
    <s v="MANUEL ANTONIO"/>
    <s v="GARCIA"/>
    <s v="CARAVACA"/>
    <n v="104800332"/>
    <x v="69"/>
    <s v="MASCULINO"/>
    <d v="1957-07-28T00:00:00"/>
    <n v="60.843258042436688"/>
    <m/>
    <m/>
    <s v="HCE POR OH, HEPATOCARCINOMA"/>
    <n v="19"/>
    <s v="COSTA RICA"/>
    <s v="SAN JOSE"/>
    <s v="TIBAS"/>
    <s v="CINCO ESQUINAS"/>
    <m/>
    <m/>
    <m/>
    <n v="14"/>
    <m/>
    <m/>
    <m/>
    <m/>
    <m/>
    <m/>
    <m/>
    <m/>
    <x v="0"/>
    <d v="2021-03-08T00:00:00"/>
    <s v="CMV, TROMBOSIS DE LA V, PORTA"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06-01T00:00:00"/>
    <n v="1"/>
    <n v="1011"/>
    <n v="33.215605749486656"/>
    <n v="2.7679671457905544"/>
  </r>
  <r>
    <x v="1"/>
    <s v="UP2101 - HOSPITAL RAFAEL A. CALDERÓN GUARDIA"/>
    <m/>
    <s v="HIGADO"/>
    <x v="0"/>
    <m/>
    <m/>
    <m/>
    <n v="118.43121149897331"/>
    <m/>
    <s v="RAMON GERARDO DE LOS ANGELES"/>
    <s v="ARGUEDAS"/>
    <s v="SIBAJA"/>
    <n v="501361081"/>
    <x v="70"/>
    <s v="MASCULINO"/>
    <d v="1951-01-15T00:00:00"/>
    <n v="67.389459274469544"/>
    <m/>
    <m/>
    <s v="OH"/>
    <n v="16"/>
    <s v="COSTA RICA"/>
    <s v="SAN JOSE"/>
    <s v="GOICOECHEA"/>
    <s v="GUADALUPE"/>
    <m/>
    <m/>
    <m/>
    <n v="13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06-06T00:00:00"/>
    <n v="0"/>
    <n v="2610"/>
    <n v="85.74948665297741"/>
    <n v="7.1457905544147842"/>
  </r>
  <r>
    <x v="1"/>
    <s v="UP2101 - HOSPITAL RAFAEL A. CALDERÓN GUARDIA"/>
    <m/>
    <s v="HIGADO"/>
    <x v="0"/>
    <m/>
    <m/>
    <m/>
    <n v="118.60369609856262"/>
    <m/>
    <s v="MARIA JOSEFA"/>
    <s v="CAMPOS"/>
    <s v="ESTRELLA"/>
    <n v="801430376"/>
    <x v="71"/>
    <s v="FEMENINA"/>
    <d v="1966-04-05T00:00:00"/>
    <n v="52.342231348391515"/>
    <m/>
    <m/>
    <s v="COLANGIOPTIA ISQUEMICA"/>
    <n v="15"/>
    <s v="COSTA RICA"/>
    <s v="SAN JOSE"/>
    <s v="SAN JOSE"/>
    <s v="CARMEN"/>
    <m/>
    <m/>
    <m/>
    <n v="19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08-08T00:00:00"/>
    <n v="0"/>
    <n v="2547"/>
    <n v="83.679671457905542"/>
    <n v="6.9733059548254621"/>
  </r>
  <r>
    <x v="1"/>
    <s v="UP2101 - HOSPITAL RAFAEL A. CALDERÓN GUARDIA"/>
    <m/>
    <s v="HIGADO"/>
    <x v="0"/>
    <m/>
    <m/>
    <m/>
    <n v="118.60643394934976"/>
    <m/>
    <s v="ALVARO"/>
    <s v="JIMENEZ"/>
    <s v="ACUÑA"/>
    <n v="104380736"/>
    <x v="72"/>
    <s v="MASCULINO"/>
    <d v="1954-07-17T00:00:00"/>
    <n v="64.062970568104035"/>
    <m/>
    <m/>
    <s v="OH+HCC"/>
    <n v="12"/>
    <s v="COSTA RICA"/>
    <s v="SAN JOSE"/>
    <s v="ESCAZU"/>
    <s v="SAN RAFAEL"/>
    <m/>
    <m/>
    <m/>
    <n v="13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08-09T00:00:00"/>
    <n v="0"/>
    <n v="2546"/>
    <n v="83.646817248459953"/>
    <n v="6.97056810403833"/>
  </r>
  <r>
    <x v="1"/>
    <s v="UP2101 - HOSPITAL RAFAEL A. CALDERÓN GUARDIA"/>
    <m/>
    <s v="HIGADO"/>
    <x v="0"/>
    <m/>
    <m/>
    <m/>
    <n v="118.63655030800821"/>
    <m/>
    <s v="ROLANDO ARTURO DEL CARMEN"/>
    <s v="RODRIGUEZ"/>
    <s v="VARGAS"/>
    <n v="106110474"/>
    <x v="73"/>
    <s v="MASCULINO"/>
    <d v="1963-09-05T00:00:00"/>
    <n v="54.956878850102669"/>
    <m/>
    <m/>
    <s v="DILI"/>
    <n v="40"/>
    <s v="COSTA RICA"/>
    <s v="SAN JOSE"/>
    <s v="CENTRAL"/>
    <s v="HATILLO"/>
    <m/>
    <m/>
    <m/>
    <n v="3"/>
    <m/>
    <m/>
    <m/>
    <m/>
    <m/>
    <m/>
    <m/>
    <m/>
    <x v="0"/>
    <d v="2018-08-22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08-20T00:00:00"/>
    <n v="1"/>
    <n v="2"/>
    <n v="6.5708418891170434E-2"/>
    <n v="5.4757015742642025E-3"/>
  </r>
  <r>
    <x v="0"/>
    <m/>
    <m/>
    <s v="HIGADO"/>
    <x v="0"/>
    <m/>
    <m/>
    <m/>
    <n v="118.67214236824093"/>
    <m/>
    <s v="PAOLA ALEXANDRA"/>
    <s v="CAMPOS"/>
    <s v="CORTES"/>
    <n v="117820569"/>
    <x v="74"/>
    <s v="FEMENINA"/>
    <d v="2000-07-04T00:00:00"/>
    <n v="18.16290212183436"/>
    <m/>
    <m/>
    <s v="Hepatitis autoinmune, cirrosis"/>
    <n v="20"/>
    <s v="COSTA RICA"/>
    <s v="HEREDIA"/>
    <s v="HEREDIA"/>
    <s v="ULLOA"/>
    <m/>
    <m/>
    <m/>
    <n v="12"/>
    <m/>
    <m/>
    <m/>
    <m/>
    <m/>
    <m/>
    <m/>
    <m/>
    <x v="0"/>
    <d v="2019-09-02T00:00:00"/>
    <s v="rechazo cronico temprano"/>
    <m/>
    <m/>
    <m/>
    <m/>
    <m/>
    <m/>
    <m/>
    <m/>
    <m/>
    <s v="SI"/>
    <m/>
    <m/>
    <m/>
    <m/>
    <m/>
    <m/>
    <m/>
    <m/>
    <m/>
    <m/>
    <m/>
    <m/>
    <m/>
    <m/>
    <m/>
    <m/>
    <m/>
    <m/>
    <m/>
    <d v="2018-09-02T00:00:00"/>
    <n v="1"/>
    <n v="365"/>
    <n v="11.991786447638603"/>
    <n v="0.99931553730321698"/>
  </r>
  <r>
    <x v="1"/>
    <s v="UP2101 - HOSPITAL RAFAEL A. CALDERÓN GUARDIA"/>
    <m/>
    <s v="HIGADO"/>
    <x v="0"/>
    <m/>
    <m/>
    <m/>
    <n v="118.839151266256"/>
    <m/>
    <s v="MARIBEL"/>
    <s v="PINEDA"/>
    <s v="BENAVIDEZ"/>
    <n v="28218522"/>
    <x v="75"/>
    <s v="FEMENINA"/>
    <d v="1982-02-18T00:00:00"/>
    <n v="36.703627652292951"/>
    <m/>
    <m/>
    <s v="FALLO HEPATICO FULMINANTE "/>
    <n v="31"/>
    <s v="NICARAGUA"/>
    <s v="SAN JOSE"/>
    <s v="CURRIDABAT"/>
    <s v="CURRIDABAT"/>
    <m/>
    <m/>
    <m/>
    <n v="20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11-02T00:00:00"/>
    <n v="0"/>
    <n v="2461"/>
    <n v="80.854209445585212"/>
    <n v="6.7378507871321016"/>
  </r>
  <r>
    <x v="1"/>
    <s v="UP2101 - HOSPITAL RAFAEL A. CALDERÓN GUARDIA"/>
    <m/>
    <s v="HIGADO"/>
    <x v="0"/>
    <m/>
    <m/>
    <m/>
    <n v="118.9596167008898"/>
    <m/>
    <s v="ADRIAN JOSE"/>
    <s v="SALAZAR"/>
    <s v="CYRMAN"/>
    <n v="104350519"/>
    <x v="76"/>
    <s v="MASCULINO"/>
    <d v="1954-05-28T00:00:00"/>
    <n v="64.55304585900069"/>
    <m/>
    <m/>
    <s v="OH+HCC"/>
    <n v="13"/>
    <s v="COSTA RICA"/>
    <s v="SAN JOSE"/>
    <s v="ESCAZU"/>
    <s v="SAN RAFAEL"/>
    <m/>
    <m/>
    <m/>
    <n v="9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12-16T00:00:00"/>
    <n v="0"/>
    <n v="2417"/>
    <n v="79.408624229979466"/>
    <n v="6.6173853524982889"/>
  </r>
  <r>
    <x v="0"/>
    <m/>
    <m/>
    <s v="HIGADO"/>
    <x v="0"/>
    <m/>
    <m/>
    <m/>
    <n v="118.96235455167694"/>
    <m/>
    <s v="CAROLINA ELIZABETH"/>
    <s v="SEVILLA"/>
    <s v="MENDOZA"/>
    <n v="29333507"/>
    <x v="77"/>
    <s v="FEMENINA"/>
    <d v="1993-10-24T00:00:00"/>
    <n v="25.147159479808352"/>
    <m/>
    <m/>
    <s v="SINDROME HEPATOPULMONAR SEVERO"/>
    <n v="29"/>
    <s v=""/>
    <s v="SAN JOSE"/>
    <s v="SAN JOSE"/>
    <s v="PAVAS"/>
    <m/>
    <m/>
    <m/>
    <n v="39"/>
    <m/>
    <m/>
    <m/>
    <m/>
    <m/>
    <m/>
    <m/>
    <m/>
    <x v="0"/>
    <d v="2019-01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12-17T00:00:00"/>
    <n v="1"/>
    <n v="40"/>
    <n v="1.3141683778234086"/>
    <n v="0.10951403148528405"/>
  </r>
  <r>
    <x v="0"/>
    <m/>
    <m/>
    <s v="HIGADO"/>
    <x v="0"/>
    <m/>
    <m/>
    <m/>
    <n v="118.97056810403834"/>
    <m/>
    <s v="CELIA LISBETH"/>
    <s v="OBREGON"/>
    <s v="ACOSTA"/>
    <n v="205910827"/>
    <x v="78"/>
    <s v="FEMENINA"/>
    <d v="1984-02-28T00:00:00"/>
    <n v="34.809034907597535"/>
    <m/>
    <m/>
    <s v="Cirrosis Biliar primaria, colangitis esclerosan"/>
    <n v="22"/>
    <s v="COSTA RICA"/>
    <s v="ALAJUELA"/>
    <s v="PALMARES"/>
    <s v="CANDELARIA"/>
    <m/>
    <m/>
    <m/>
    <n v="29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12-20T00:00:00"/>
    <n v="0"/>
    <n v="2413"/>
    <n v="79.277207392197127"/>
    <n v="6.6064339493497606"/>
  </r>
  <r>
    <x v="1"/>
    <s v="UP2101 - HOSPITAL RAFAEL A. CALDERÓN GUARDIA"/>
    <m/>
    <s v="HIGADO"/>
    <x v="0"/>
    <m/>
    <m/>
    <m/>
    <n v="118.97878165639973"/>
    <m/>
    <s v="LUIS FERNANDO DE LA TRINIDAD"/>
    <s v="HIDALGO"/>
    <s v="SALAZAR"/>
    <n v="105520289"/>
    <x v="79"/>
    <s v="MASCULINO"/>
    <d v="1961-03-03T00:00:00"/>
    <n v="57.80698151950719"/>
    <m/>
    <m/>
    <s v="0H"/>
    <n v="19"/>
    <s v="COSTA RICA"/>
    <s v="SAN JOSE"/>
    <s v="MONTES DE OCA"/>
    <s v="SAN PEDRO"/>
    <m/>
    <m/>
    <m/>
    <n v="34"/>
    <m/>
    <m/>
    <m/>
    <m/>
    <m/>
    <m/>
    <m/>
    <m/>
    <x v="0"/>
    <d v="2018-12-23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8-12-23T00:00:00"/>
    <n v="1"/>
    <n v="0"/>
    <n v="0"/>
    <n v="0"/>
  </r>
  <r>
    <x v="0"/>
    <m/>
    <m/>
    <s v="HIGADO"/>
    <x v="0"/>
    <m/>
    <m/>
    <m/>
    <n v="118.97878165639973"/>
    <m/>
    <s v="LUIS FERNANDO"/>
    <s v="SOTO"/>
    <s v="JIMENEZ"/>
    <n v="202911224"/>
    <x v="79"/>
    <s v="MASCULINO"/>
    <d v="1953-12-10T00:00:00"/>
    <n v="65.034907597535934"/>
    <m/>
    <m/>
    <s v="HCC"/>
    <n v="16"/>
    <s v="COSTA RICA"/>
    <s v="ALAJUELA"/>
    <s v="CENTRAL"/>
    <s v="DESAMPARADOS"/>
    <m/>
    <m/>
    <m/>
    <n v="18"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8-12-23T00:00:00"/>
    <n v="0"/>
    <n v="2410"/>
    <n v="79.178644763860376"/>
    <n v="6.5982203969883644"/>
  </r>
  <r>
    <x v="2"/>
    <s v="UP2103 - HOSPITAL NACIONAL DE NIÑOS"/>
    <m/>
    <s v="HIGADO"/>
    <x v="0"/>
    <m/>
    <m/>
    <m/>
    <n v="119.06639288158796"/>
    <m/>
    <s v="KRISTEL VANESSA"/>
    <s v="CALDERON"/>
    <s v="COLOMER"/>
    <n v="605630048"/>
    <x v="80"/>
    <s v="FEMENINA"/>
    <d v="2016-12-06T00:00:00"/>
    <n v="2.1327857631759071"/>
    <m/>
    <n v="43472"/>
    <s v="colestasis familiar intrahepatica progresiva"/>
    <n v="29"/>
    <s v="COSTA RICA"/>
    <s v="PUNTARENAS"/>
    <s v="PUNTARENAS"/>
    <s v="BARRANCA"/>
    <m/>
    <m/>
    <m/>
    <m/>
    <m/>
    <m/>
    <m/>
    <m/>
    <m/>
    <m/>
    <m/>
    <m/>
    <x v="0"/>
    <d v="2019-02-0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9-01-24T00:00:00"/>
    <n v="1"/>
    <n v="13"/>
    <n v="0.4271047227926078"/>
    <n v="3.5592060232717319E-2"/>
  </r>
  <r>
    <x v="2"/>
    <s v="UP2103 - HOSPITAL NACIONAL DE NIÑOS"/>
    <m/>
    <s v="HIGADO"/>
    <x v="0"/>
    <m/>
    <m/>
    <m/>
    <n v="119.11841204654347"/>
    <m/>
    <s v="PAULA"/>
    <s v="PRENDAS"/>
    <s v="RODRIGUEZ"/>
    <n v="210290964"/>
    <x v="81"/>
    <s v="FEMENINA"/>
    <d v="2017-09-04T00:00:00"/>
    <n v="1.4401095140314852"/>
    <m/>
    <n v="43472"/>
    <s v="atresia via biliar"/>
    <n v="16"/>
    <s v="COSTA RICA"/>
    <s v="ALAJUELA"/>
    <s v="GRECIA"/>
    <s v="SAN JOSE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19-02-12T00:00:00"/>
    <n v="0"/>
    <n v="2359"/>
    <n v="77.503080082135526"/>
    <n v="6.4585900068446271"/>
  </r>
  <r>
    <x v="1"/>
    <s v="UP2101 - HOSPITAL RAFAEL A. CALDERÓN GUARDIA"/>
    <m/>
    <s v="HIGADO"/>
    <x v="0"/>
    <m/>
    <m/>
    <m/>
    <n v="119.1211498973306"/>
    <m/>
    <s v="CARLOS ALBERTO DE JE"/>
    <s v="ZAMORA"/>
    <s v="SANCHEZ"/>
    <n v="106130328"/>
    <x v="82"/>
    <s v="MASCULINO"/>
    <d v="1963-10-07T00:00:00"/>
    <n v="55.353867214236821"/>
    <m/>
    <m/>
    <s v="CRIPTOGENICA"/>
    <n v="22"/>
    <s v="COSTA RICA"/>
    <s v="SAN JOSE"/>
    <s v="DESAMPARADOS"/>
    <s v="SAN MIGUEL"/>
    <m/>
    <m/>
    <m/>
    <n v="12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9-02-13T00:00:00"/>
    <n v="0"/>
    <n v="2358"/>
    <n v="77.470225872689937"/>
    <n v="6.4558521560574951"/>
  </r>
  <r>
    <x v="1"/>
    <s v="UP2101 - HOSPITAL RAFAEL A. CALDERÓN GUARDIA"/>
    <m/>
    <s v="HIGADO"/>
    <x v="0"/>
    <m/>
    <m/>
    <m/>
    <n v="119.14305270362765"/>
    <m/>
    <s v="GONZALO DIMAS DEL NIÑO JESUS"/>
    <s v="GOMEZ"/>
    <s v="ALVAREZ"/>
    <n v="105930346"/>
    <x v="83"/>
    <s v="MASCULINO"/>
    <d v="1957-11-13T00:00:00"/>
    <n v="61.273100616016428"/>
    <m/>
    <m/>
    <s v="OH"/>
    <n v="18"/>
    <s v="COSTA RICA"/>
    <s v="SAN JOSE"/>
    <s v="CENTRAL"/>
    <s v="ZAPOTE"/>
    <m/>
    <m/>
    <m/>
    <n v="7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9-02-21T00:00:00"/>
    <n v="0"/>
    <n v="2350"/>
    <n v="77.207392197125259"/>
    <n v="6.4339493497604376"/>
  </r>
  <r>
    <x v="2"/>
    <s v="UP2103 - HOSPITAL NACIONAL DE NIÑOS"/>
    <m/>
    <s v="HIGADO"/>
    <x v="0"/>
    <m/>
    <m/>
    <m/>
    <n v="119.25804243668721"/>
    <m/>
    <s v="ALONDRA"/>
    <s v="RODRIGUEZ"/>
    <s v="HERRERA"/>
    <n v="209950723"/>
    <x v="84"/>
    <s v="FEMENINA"/>
    <d v="2015-02-26T00:00:00"/>
    <n v="4.1013004791238874"/>
    <m/>
    <n v="43160"/>
    <s v="hepatoblastoma"/>
    <n v="0"/>
    <s v="COSTA RICA"/>
    <s v="ALAJUELA"/>
    <s v="SAN RAMON"/>
    <s v="SAN JUAN"/>
    <m/>
    <m/>
    <m/>
    <m/>
    <m/>
    <m/>
    <m/>
    <m/>
    <m/>
    <m/>
    <m/>
    <m/>
    <x v="0"/>
    <d v="2019-05-08T00:00:00"/>
    <s v="trombosis portal"/>
    <m/>
    <m/>
    <m/>
    <m/>
    <m/>
    <m/>
    <m/>
    <m/>
    <m/>
    <m/>
    <m/>
    <m/>
    <m/>
    <m/>
    <m/>
    <m/>
    <m/>
    <m/>
    <m/>
    <m/>
    <m/>
    <m/>
    <m/>
    <m/>
    <m/>
    <m/>
    <m/>
    <m/>
    <m/>
    <d v="2019-04-04T00:00:00"/>
    <n v="1"/>
    <n v="34"/>
    <n v="1.1170431211498972"/>
    <n v="9.3086926762491445E-2"/>
  </r>
  <r>
    <x v="1"/>
    <s v="UP2101 - HOSPITAL RAFAEL A. CALDERÓN GUARDIA"/>
    <m/>
    <s v="HIGADO"/>
    <x v="0"/>
    <m/>
    <m/>
    <m/>
    <n v="119.27173169062286"/>
    <m/>
    <s v="SUGEY MARIA"/>
    <s v="SEAS"/>
    <s v="ARRIETA"/>
    <n v="304120204"/>
    <x v="85"/>
    <s v="FEMENINA"/>
    <d v="1986-06-13T00:00:00"/>
    <n v="32.821355236139631"/>
    <m/>
    <m/>
    <s v="DILI"/>
    <n v="40"/>
    <s v="COSTA RICA"/>
    <s v="CARTAGO"/>
    <s v="TURRIALBA"/>
    <s v="TURRIALBA"/>
    <m/>
    <m/>
    <m/>
    <n v="14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9-04-09T00:00:00"/>
    <n v="0"/>
    <n v="2303"/>
    <n v="75.663244353182748"/>
    <n v="6.3052703627652296"/>
  </r>
  <r>
    <x v="2"/>
    <s v="UP2103 - HOSPITAL NACIONAL DE NIÑOS"/>
    <m/>
    <s v="HIGADO"/>
    <x v="0"/>
    <m/>
    <m/>
    <m/>
    <n v="119.27720739219713"/>
    <m/>
    <s v="SEBASTIAN"/>
    <s v="DIAZ"/>
    <s v="CASCANTE"/>
    <n v="122750626"/>
    <x v="86"/>
    <s v="MASCULINO"/>
    <d v="2017-03-09T00:00:00"/>
    <n v="2.0889801505817931"/>
    <m/>
    <n v="43550"/>
    <s v="hepatoblastoma"/>
    <n v="0"/>
    <s v="COSTA RICA"/>
    <s v="SAN JOSE"/>
    <s v="DESAMPARADOS"/>
    <s v="PATARRA"/>
    <m/>
    <m/>
    <m/>
    <m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9-04-11T00:00:00"/>
    <n v="0"/>
    <n v="2301"/>
    <n v="75.597535934291585"/>
    <n v="6.2997946611909654"/>
  </r>
  <r>
    <x v="0"/>
    <m/>
    <m/>
    <s v="HIGADO"/>
    <x v="0"/>
    <m/>
    <m/>
    <m/>
    <n v="119.45516769336071"/>
    <m/>
    <s v="ANANYELA"/>
    <s v="MORA"/>
    <s v="CARDENAS"/>
    <n v="118760969"/>
    <x v="87"/>
    <s v="FEMENINA"/>
    <d v="2003-06-09T00:00:00"/>
    <n v="16.016427104722794"/>
    <m/>
    <m/>
    <s v="INSUFICIENCIA HEPATICA AGUDA"/>
    <n v="27"/>
    <s v="COSTA RICA"/>
    <s v="SAN JOSE"/>
    <s v="ASERRI"/>
    <s v="SALITRILLOS"/>
    <m/>
    <m/>
    <m/>
    <n v="2"/>
    <m/>
    <m/>
    <m/>
    <m/>
    <m/>
    <m/>
    <m/>
    <m/>
    <x v="0"/>
    <d v="2019-06-17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9-06-15T00:00:00"/>
    <n v="1"/>
    <n v="2"/>
    <n v="6.5708418891170434E-2"/>
    <n v="5.4757015742642025E-3"/>
  </r>
  <r>
    <x v="1"/>
    <s v="UP2101 - HOSPITAL RAFAEL A. CALDERÓN GUARDIA"/>
    <m/>
    <s v="HIGADO"/>
    <x v="0"/>
    <m/>
    <m/>
    <m/>
    <n v="119.4798083504449"/>
    <m/>
    <s v="ANDRES GUIDO DE LA TRINIDAD"/>
    <s v="VARGAS"/>
    <s v="GONZALEZ"/>
    <n v="105720105"/>
    <x v="88"/>
    <s v="MASCULINO"/>
    <d v="1961-08-09T00:00:00"/>
    <n v="57.872689938398359"/>
    <m/>
    <m/>
    <s v="NASH+HCC"/>
    <n v="17"/>
    <s v="COSTA RICA"/>
    <s v="SAN JOSE"/>
    <s v="SANTA ANA"/>
    <s v="PIEDADES"/>
    <m/>
    <m/>
    <m/>
    <n v="3"/>
    <m/>
    <m/>
    <m/>
    <m/>
    <m/>
    <m/>
    <m/>
    <m/>
    <x v="0"/>
    <d v="2019-06-25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9-06-24T00:00:00"/>
    <n v="1"/>
    <n v="1"/>
    <n v="3.2854209445585217E-2"/>
    <n v="2.7378507871321013E-3"/>
  </r>
  <r>
    <x v="2"/>
    <s v="UP2103 - HOSPITAL NACIONAL DE NIÑOS"/>
    <m/>
    <s v="HIGADO"/>
    <x v="0"/>
    <m/>
    <m/>
    <m/>
    <n v="119.48528405201917"/>
    <m/>
    <s v="ALLISON"/>
    <s v="UMAÑA"/>
    <s v="CABRERA"/>
    <n v="209590051"/>
    <x v="89"/>
    <s v="FEMENINA"/>
    <d v="2012-06-03T00:00:00"/>
    <n v="7.0609171800136892"/>
    <m/>
    <n v="43473"/>
    <s v="hepaitis autoinmune"/>
    <n v="35"/>
    <s v="COSTA RICA"/>
    <s v="ALAJUELA"/>
    <s v="VALVERDE VEGA"/>
    <s v="SARCHI NORTE"/>
    <m/>
    <m/>
    <m/>
    <m/>
    <m/>
    <m/>
    <m/>
    <m/>
    <m/>
    <m/>
    <m/>
    <m/>
    <x v="0"/>
    <d v="2019-06-30T00:00:00"/>
    <s v="shock hipovolemico"/>
    <m/>
    <m/>
    <m/>
    <m/>
    <m/>
    <m/>
    <m/>
    <m/>
    <m/>
    <m/>
    <m/>
    <m/>
    <m/>
    <m/>
    <m/>
    <m/>
    <m/>
    <m/>
    <m/>
    <m/>
    <m/>
    <m/>
    <m/>
    <m/>
    <m/>
    <m/>
    <m/>
    <m/>
    <m/>
    <d v="2019-06-26T00:00:00"/>
    <n v="1"/>
    <n v="4"/>
    <n v="0.13141683778234087"/>
    <n v="1.0951403148528405E-2"/>
  </r>
  <r>
    <x v="0"/>
    <m/>
    <m/>
    <s v="HIGADO"/>
    <x v="0"/>
    <m/>
    <m/>
    <m/>
    <n v="119.51813826146476"/>
    <m/>
    <s v="CARLOS ENRIQUE"/>
    <s v="CHAVES"/>
    <s v="ESQUIVEL"/>
    <n v="104430472"/>
    <x v="90"/>
    <s v="MASCULINO"/>
    <d v="1955-05-23T00:00:00"/>
    <n v="64.12594113620807"/>
    <m/>
    <m/>
    <s v="HCC"/>
    <n v="12"/>
    <s v="COSTA RICA"/>
    <s v="SAN JOSE"/>
    <s v="TIBAS"/>
    <s v="SAN JUAN"/>
    <m/>
    <m/>
    <m/>
    <n v="90"/>
    <m/>
    <m/>
    <m/>
    <m/>
    <m/>
    <m/>
    <m/>
    <m/>
    <x v="0"/>
    <d v="2019-10-09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9-07-08T00:00:00"/>
    <n v="1"/>
    <n v="93"/>
    <n v="3.055441478439425"/>
    <n v="0.25462012320328542"/>
  </r>
  <r>
    <x v="0"/>
    <m/>
    <m/>
    <s v="HIGADO"/>
    <x v="0"/>
    <m/>
    <m/>
    <m/>
    <n v="119.51813826146476"/>
    <m/>
    <s v="JOSE NICOLAS DE LA CONCEPCION"/>
    <s v="CHACON"/>
    <s v="GONZALEZ"/>
    <n v="502200885"/>
    <x v="90"/>
    <s v="MASCULINO"/>
    <d v="1964-12-06T00:00:00"/>
    <n v="54.5845311430527"/>
    <m/>
    <m/>
    <s v="Hepatocarcinoma multifocal, hepatopatia cronica posible causa OH"/>
    <n v="33"/>
    <s v="COSTA RICA"/>
    <s v="HEREDIA"/>
    <s v="FLORES"/>
    <s v="LLORENTE"/>
    <m/>
    <m/>
    <m/>
    <n v="23"/>
    <m/>
    <m/>
    <m/>
    <m/>
    <m/>
    <m/>
    <m/>
    <m/>
    <x v="0"/>
    <d v="2019-08-01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9-07-08T00:00:00"/>
    <n v="1"/>
    <n v="24"/>
    <n v="0.7885010266940452"/>
    <n v="6.5708418891170434E-2"/>
  </r>
  <r>
    <x v="1"/>
    <s v="UP2101 - HOSPITAL RAFAEL A. CALDERÓN GUARDIA"/>
    <m/>
    <s v="HIGADO"/>
    <x v="0"/>
    <m/>
    <m/>
    <m/>
    <n v="119.54277891854893"/>
    <m/>
    <s v="MARISSA DE FATIMA"/>
    <s v="ESCALANTE"/>
    <s v="BARBOZA"/>
    <n v="106120955"/>
    <x v="91"/>
    <s v="FEMENINA"/>
    <d v="1961-01-30T00:00:00"/>
    <n v="58.458590006844624"/>
    <m/>
    <m/>
    <s v="VHC+HCC"/>
    <n v="15"/>
    <s v="COSTA RICA"/>
    <s v="SAN JOSE"/>
    <s v="CURRIDABAT"/>
    <s v="CURRIDABAT"/>
    <m/>
    <m/>
    <m/>
    <n v="8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9-07-17T00:00:00"/>
    <n v="0"/>
    <n v="2204"/>
    <n v="72.410677618069812"/>
    <n v="6.0342231348391513"/>
  </r>
  <r>
    <x v="2"/>
    <s v="UP2103 - HOSPITAL NACIONAL DE NIÑOS"/>
    <m/>
    <s v="HIGADO"/>
    <x v="0"/>
    <m/>
    <m/>
    <m/>
    <n v="119.67693360711841"/>
    <m/>
    <m/>
    <m/>
    <m/>
    <n v="20200712"/>
    <x v="92"/>
    <s v="FEMENINA"/>
    <d v="2015-11-11T00:00:00"/>
    <n v="3.8138261464750172"/>
    <m/>
    <n v="43313"/>
    <s v="sibdrome alagille"/>
    <n v="21"/>
    <m/>
    <s v="SAN JOSE"/>
    <s v="SAN JOSE"/>
    <s v="CARMEN"/>
    <m/>
    <m/>
    <m/>
    <m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9-09-04T00:00:00"/>
    <n v="0"/>
    <n v="2155"/>
    <n v="70.800821355236138"/>
    <n v="5.9000684462696782"/>
  </r>
  <r>
    <x v="1"/>
    <s v="UP2101 - HOSPITAL RAFAEL A. CALDERÓN GUARDIA"/>
    <m/>
    <s v="HIGADO"/>
    <x v="0"/>
    <m/>
    <m/>
    <m/>
    <n v="119.74537987679672"/>
    <m/>
    <s v="EDUARDO ESTEBAN"/>
    <s v="VARGAS"/>
    <s v="MARTINEZ"/>
    <n v="114910055"/>
    <x v="93"/>
    <s v="MASCULINO"/>
    <d v="1992-01-23T00:00:00"/>
    <n v="27.682409308692677"/>
    <m/>
    <m/>
    <s v="FALLO HEPATICO AGUDO "/>
    <n v="28"/>
    <s v="COSTA RICA"/>
    <s v="SAN JOSE"/>
    <s v="CENTRAL"/>
    <s v="SAN SEBASTIAN"/>
    <m/>
    <m/>
    <m/>
    <n v="45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9-09-29T00:00:00"/>
    <n v="0"/>
    <n v="2130"/>
    <n v="69.979466119096514"/>
    <n v="5.8316221765913756"/>
  </r>
  <r>
    <x v="2"/>
    <s v="UP2103 - HOSPITAL NACIONAL DE NIÑOS"/>
    <m/>
    <s v="HIGADO"/>
    <x v="0"/>
    <m/>
    <m/>
    <m/>
    <n v="119.78644763860369"/>
    <m/>
    <s v="IAN SAMUEL"/>
    <s v="PEREZ"/>
    <s v="ARCE"/>
    <n v="210030594"/>
    <x v="94"/>
    <s v="MASCULINO"/>
    <d v="2015-09-24T00:00:00"/>
    <n v="4.0547570157426422"/>
    <m/>
    <n v="43571"/>
    <s v="sindrome bardet biedl CFIP"/>
    <n v="0"/>
    <s v="COSTA RICA"/>
    <s v="ALAJUELA"/>
    <s v="ALFARO RUIZ"/>
    <s v="TAPEZCO"/>
    <m/>
    <m/>
    <m/>
    <m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9-10-14T00:00:00"/>
    <n v="0"/>
    <n v="2115"/>
    <n v="69.486652977412732"/>
    <n v="5.7905544147843946"/>
  </r>
  <r>
    <x v="1"/>
    <s v="UP2101 - HOSPITAL RAFAEL A. CALDERÓN GUARDIA"/>
    <m/>
    <s v="HIGADO"/>
    <x v="0"/>
    <m/>
    <m/>
    <m/>
    <n v="119.81656399726215"/>
    <m/>
    <s v="EDUARDO ESTEBAN"/>
    <s v="VARGAS"/>
    <s v="MARTINEZ"/>
    <n v="114910055"/>
    <x v="95"/>
    <s v="MASCULINO"/>
    <d v="1992-01-23T00:00:00"/>
    <n v="27.753593429158112"/>
    <m/>
    <m/>
    <s v="TORMBOSIS ARTERIA HEPATIA "/>
    <n v="16"/>
    <s v="COSTA RICA"/>
    <s v="SAN JOSE"/>
    <s v="CENTRAL"/>
    <s v="SAN SEBASTIAN"/>
    <m/>
    <m/>
    <m/>
    <n v="19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9-10-25T00:00:00"/>
    <n v="0"/>
    <n v="2104"/>
    <n v="69.125256673511288"/>
    <n v="5.760438056125941"/>
  </r>
  <r>
    <x v="1"/>
    <s v="UP2101 - HOSPITAL RAFAEL A. CALDERÓN GUARDIA"/>
    <m/>
    <s v="HIGADO"/>
    <x v="0"/>
    <m/>
    <m/>
    <m/>
    <n v="119.8384668035592"/>
    <m/>
    <s v="LUIS GERARDO"/>
    <s v="SOLANO"/>
    <s v="SOLANO"/>
    <n v="105480691"/>
    <x v="96"/>
    <s v="MASCULINO"/>
    <d v="1957-11-02T00:00:00"/>
    <n v="61.998631074606436"/>
    <m/>
    <m/>
    <s v="OH"/>
    <n v="22"/>
    <s v="COSTA RICA"/>
    <s v="SAN JOSE"/>
    <s v="CURRIDABAT"/>
    <s v="CURRIDABAT"/>
    <m/>
    <m/>
    <m/>
    <n v="41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9-11-02T00:00:00"/>
    <n v="0"/>
    <n v="2096"/>
    <n v="68.862422997946609"/>
    <n v="5.7385352498288844"/>
  </r>
  <r>
    <x v="1"/>
    <s v="UP2101 - HOSPITAL RAFAEL A. CALDERÓN GUARDIA"/>
    <m/>
    <s v="HIGADO"/>
    <x v="0"/>
    <m/>
    <m/>
    <m/>
    <n v="119.95071868583162"/>
    <m/>
    <s v="ROSIBEL DE LOS ANGELES"/>
    <s v="HERNANDEZ"/>
    <s v="CALDERON"/>
    <n v="603910849"/>
    <x v="97"/>
    <s v="FEMENINA"/>
    <d v="1990-12-04T00:00:00"/>
    <n v="29.023956194387406"/>
    <m/>
    <m/>
    <s v="AUTOINMUNE"/>
    <n v="18"/>
    <s v="COSTA RICA"/>
    <s v="SAN JOSE"/>
    <s v="SAN JOSE"/>
    <s v="CARMEN"/>
    <m/>
    <m/>
    <m/>
    <n v="10"/>
    <m/>
    <m/>
    <m/>
    <m/>
    <m/>
    <m/>
    <m/>
    <m/>
    <x v="0"/>
    <d v="2020-06-17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19-12-13T00:00:00"/>
    <n v="1"/>
    <n v="187"/>
    <n v="6.1437371663244349"/>
    <n v="0.51197809719370291"/>
  </r>
  <r>
    <x v="1"/>
    <s v="UP2101 - HOSPITAL RAFAEL A. CALDERÓN GUARDIA"/>
    <m/>
    <s v="HIGADO"/>
    <x v="0"/>
    <m/>
    <m/>
    <m/>
    <n v="120.01095140314852"/>
    <m/>
    <s v="WILLIAM ERNESTO"/>
    <s v="ROJAS"/>
    <s v="MADRIGAL"/>
    <n v="106700460"/>
    <x v="98"/>
    <s v="MASCULINO"/>
    <d v="1966-01-26T00:00:00"/>
    <n v="53.938398357289529"/>
    <m/>
    <m/>
    <s v="OH"/>
    <n v="12"/>
    <s v="COSTA RICA"/>
    <s v="SAN JOSE"/>
    <s v="SAN JOSE"/>
    <s v="ZAPOTE"/>
    <m/>
    <m/>
    <m/>
    <n v="7"/>
    <m/>
    <m/>
    <m/>
    <m/>
    <m/>
    <m/>
    <m/>
    <m/>
    <x v="0"/>
    <d v="2020-01-11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0-01-04T00:00:00"/>
    <n v="1"/>
    <n v="7"/>
    <n v="0.2299794661190965"/>
    <n v="1.9164955509924708E-2"/>
  </r>
  <r>
    <x v="1"/>
    <s v="UP2101 - HOSPITAL RAFAEL A. CALDERÓN GUARDIA"/>
    <m/>
    <s v="HIGADO"/>
    <x v="0"/>
    <m/>
    <m/>
    <m/>
    <n v="120.03559206023272"/>
    <m/>
    <s v="SONIA IRENE DE FATIMA"/>
    <s v="MORALES"/>
    <s v="CHINCHILLA"/>
    <n v="105370156"/>
    <x v="99"/>
    <s v="FEMENINA"/>
    <d v="1960-07-20T00:00:00"/>
    <n v="59.482546201232033"/>
    <m/>
    <m/>
    <s v="NASH+HCC"/>
    <n v="11"/>
    <s v="COSTA RICA"/>
    <s v="SAN JOSE"/>
    <s v="GOICOECHEA"/>
    <s v="IPIS"/>
    <m/>
    <m/>
    <m/>
    <n v="19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0-01-13T00:00:00"/>
    <n v="0"/>
    <n v="2024"/>
    <n v="66.496919917864474"/>
    <n v="5.5414099931553729"/>
  </r>
  <r>
    <x v="2"/>
    <s v="UP2103 - HOSPITAL NACIONAL DE NIÑOS"/>
    <m/>
    <s v="HIGADO"/>
    <x v="0"/>
    <m/>
    <m/>
    <m/>
    <n v="120.09582477754962"/>
    <m/>
    <s v="ELIAN DAVID"/>
    <s v="FONSECA"/>
    <s v="QUIROS"/>
    <n v="122790534"/>
    <x v="100"/>
    <s v="MASCULINO"/>
    <d v="2017-04-20T00:00:00"/>
    <n v="2.7926078028747434"/>
    <m/>
    <n v="43850"/>
    <s v="critptogenica"/>
    <n v="41"/>
    <s v="COSTA RICA"/>
    <s v="SAN JOSE"/>
    <s v="PEREZ ZELEDON"/>
    <s v="DANIEL FLORES"/>
    <m/>
    <m/>
    <m/>
    <m/>
    <m/>
    <m/>
    <m/>
    <m/>
    <m/>
    <m/>
    <m/>
    <m/>
    <x v="0"/>
    <d v="2022-03-02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0-02-04T00:00:00"/>
    <n v="1"/>
    <n v="757"/>
    <n v="24.870636550308006"/>
    <n v="2.0725530458590007"/>
  </r>
  <r>
    <x v="0"/>
    <m/>
    <m/>
    <s v="HIGADO"/>
    <x v="0"/>
    <m/>
    <m/>
    <m/>
    <n v="120.13415468856947"/>
    <m/>
    <s v="RUTH"/>
    <s v="UMAÑA"/>
    <s v="PEREZ"/>
    <n v="503340079"/>
    <x v="101"/>
    <s v="FEMENINA"/>
    <d v="1983-06-03T00:00:00"/>
    <n v="36.711841204654348"/>
    <m/>
    <m/>
    <s v="Fallo hepático fulminante"/>
    <n v="37"/>
    <s v="COSTA RICA"/>
    <s v="GUANACASTE"/>
    <s v="LIBERIA"/>
    <s v="LIBERIA"/>
    <m/>
    <m/>
    <m/>
    <n v="20"/>
    <m/>
    <m/>
    <m/>
    <m/>
    <m/>
    <m/>
    <m/>
    <m/>
    <x v="0"/>
    <d v="2021-10-07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0-02-18T00:00:00"/>
    <n v="1"/>
    <n v="597"/>
    <n v="19.613963039014372"/>
    <n v="1.6344969199178645"/>
  </r>
  <r>
    <x v="0"/>
    <m/>
    <m/>
    <s v="HIGADO"/>
    <x v="0"/>
    <m/>
    <m/>
    <m/>
    <n v="120.15605749486653"/>
    <m/>
    <s v="JORGE ARTURO DE JESUS"/>
    <s v="OROZCO"/>
    <s v="MOLINA"/>
    <n v="401260865"/>
    <x v="102"/>
    <s v="MASCULINO"/>
    <d v="1960-09-07T00:00:00"/>
    <n v="59.468856947296374"/>
    <m/>
    <m/>
    <s v="Hepatocarcinoma, hepatopatica cronica por oh"/>
    <n v="20"/>
    <s v="COSTA RICA"/>
    <s v="HEREDIA"/>
    <s v="CENTRAL"/>
    <s v="HEREDIA"/>
    <m/>
    <m/>
    <m/>
    <n v="63"/>
    <m/>
    <m/>
    <m/>
    <m/>
    <m/>
    <m/>
    <m/>
    <m/>
    <x v="0"/>
    <d v="2020-10-17T00:00:00"/>
    <s v="BN"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0-02-26T00:00:00"/>
    <n v="1"/>
    <n v="234"/>
    <n v="7.6878850102669407"/>
    <n v="0.64065708418891165"/>
  </r>
  <r>
    <x v="1"/>
    <s v="UP2101 - HOSPITAL RAFAEL A. CALDERÓN GUARDIA"/>
    <m/>
    <s v="HIGADO"/>
    <x v="0"/>
    <m/>
    <m/>
    <m/>
    <n v="120.35592060232717"/>
    <m/>
    <s v="BASILIO"/>
    <s v="VARGAS"/>
    <s v="MORA"/>
    <n v="104400202"/>
    <x v="103"/>
    <s v="MASCULINO"/>
    <d v="1955-02-20T00:00:00"/>
    <n v="65.215605749486656"/>
    <m/>
    <m/>
    <s v="NASH+HCC"/>
    <n v="25"/>
    <s v="COSTA RICA"/>
    <s v="SAN JOSE"/>
    <s v="TARRAZU"/>
    <s v="SAN CARLOS"/>
    <m/>
    <m/>
    <m/>
    <n v="18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0-05-09T00:00:00"/>
    <n v="0"/>
    <n v="1907"/>
    <n v="62.652977412731005"/>
    <n v="5.2210814510609174"/>
  </r>
  <r>
    <x v="1"/>
    <s v="UP2101 - HOSPITAL RAFAEL A. CALDERÓN GUARDIA"/>
    <m/>
    <s v="HIGADO"/>
    <x v="0"/>
    <m/>
    <m/>
    <m/>
    <n v="120.38877481177276"/>
    <m/>
    <s v="EDITH"/>
    <s v="CALDERON"/>
    <s v="MORALES"/>
    <n v="302220371"/>
    <x v="104"/>
    <s v="FEMENINA"/>
    <d v="1957-07-17T00:00:00"/>
    <n v="62.844626967830251"/>
    <m/>
    <m/>
    <s v="HASH"/>
    <n v="12"/>
    <s v="COSTA RICA"/>
    <s v="CARTAGO"/>
    <s v="PARAISO"/>
    <s v="LLANOS DE SANTA LUCIA"/>
    <m/>
    <m/>
    <m/>
    <n v="16"/>
    <m/>
    <m/>
    <m/>
    <m/>
    <m/>
    <m/>
    <m/>
    <m/>
    <x v="0"/>
    <d v="2024-05-18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0-05-21T00:00:00"/>
    <n v="1"/>
    <n v="1458"/>
    <n v="47.901437371663242"/>
    <n v="3.9917864476386038"/>
  </r>
  <r>
    <x v="2"/>
    <s v="UP2103 - HOSPITAL NACIONAL DE NIÑOS"/>
    <m/>
    <s v="HIGADO"/>
    <x v="1"/>
    <m/>
    <m/>
    <m/>
    <n v="120.44626967830253"/>
    <m/>
    <s v="LUCIANA"/>
    <s v="VALLE"/>
    <s v="ARAYA"/>
    <n v="121110216"/>
    <x v="105"/>
    <s v="FEMENINA"/>
    <d v="2011-03-23T00:00:00"/>
    <n v="9.2210814510609165"/>
    <m/>
    <n v="43867"/>
    <s v="colangitis esclerosante primaria"/>
    <n v="25"/>
    <s v="COSTA RICA"/>
    <s v="HEREDIA"/>
    <s v="SAN JOAQUIN DE FLORES"/>
    <s v="SAN JOAQUIN DE FLORES"/>
    <m/>
    <m/>
    <m/>
    <n v="4"/>
    <m/>
    <m/>
    <m/>
    <m/>
    <m/>
    <m/>
    <m/>
    <m/>
    <x v="1"/>
    <m/>
    <m/>
    <m/>
    <m/>
    <m/>
    <m/>
    <m/>
    <m/>
    <m/>
    <m/>
    <m/>
    <s v="SI"/>
    <m/>
    <m/>
    <m/>
    <m/>
    <m/>
    <m/>
    <m/>
    <m/>
    <m/>
    <m/>
    <m/>
    <m/>
    <m/>
    <m/>
    <m/>
    <m/>
    <m/>
    <m/>
    <m/>
    <d v="2020-06-11T00:00:00"/>
    <n v="0"/>
    <n v="1874"/>
    <n v="61.568788501026695"/>
    <n v="5.1307323750855582"/>
  </r>
  <r>
    <x v="2"/>
    <s v="UP2103 - HOSPITAL NACIONAL DE NIÑOS"/>
    <m/>
    <s v="HIGADO"/>
    <x v="0"/>
    <m/>
    <m/>
    <m/>
    <n v="120.46543463381246"/>
    <m/>
    <s v="CALEB"/>
    <s v="BUSTOS"/>
    <s v="CABEZAS"/>
    <n v="210350358"/>
    <x v="106"/>
    <s v="MASCULINO"/>
    <d v="2018-01-12T00:00:00"/>
    <n v="2.431211498973306"/>
    <m/>
    <n v="43951"/>
    <s v="hepatoblastoma"/>
    <n v="0"/>
    <s v="COSTA RICA"/>
    <s v="HEREDIA"/>
    <s v="SARAPIQUI"/>
    <s v="LA VIRGEN"/>
    <m/>
    <m/>
    <m/>
    <n v="0"/>
    <m/>
    <m/>
    <m/>
    <m/>
    <m/>
    <m/>
    <m/>
    <m/>
    <x v="0"/>
    <d v="2020-06-18T00:00:00"/>
    <s v="Coagulación intravascular diseminada"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0-06-18T00:00:00"/>
    <n v="1"/>
    <n v="0"/>
    <n v="0"/>
    <n v="0"/>
  </r>
  <r>
    <x v="0"/>
    <m/>
    <m/>
    <s v="HIGADO"/>
    <x v="0"/>
    <m/>
    <m/>
    <m/>
    <n v="120.67077344284736"/>
    <m/>
    <s v="MARIO JOSE"/>
    <s v="GONZALEZ"/>
    <s v="RAMOS"/>
    <n v="702210726"/>
    <x v="107"/>
    <s v="MASCULINO"/>
    <d v="1993-08-16T00:00:00"/>
    <n v="27.044490075290895"/>
    <m/>
    <m/>
    <s v="HEPATOPATIA CRONICA AVANZA CRIPTOGENICA"/>
    <n v="35"/>
    <s v="COSTA RICA"/>
    <s v="LIMON"/>
    <s v="MATINA"/>
    <s v="BATAN"/>
    <m/>
    <m/>
    <m/>
    <n v="47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0-09-01T00:00:00"/>
    <n v="0"/>
    <n v="1792"/>
    <n v="58.874743326488705"/>
    <n v="4.9062286105407251"/>
  </r>
  <r>
    <x v="2"/>
    <s v="UP2103 - HOSPITAL NACIONAL DE NIÑOS"/>
    <m/>
    <s v="HIGADO"/>
    <x v="0"/>
    <m/>
    <m/>
    <m/>
    <n v="120.85968514715948"/>
    <m/>
    <s v="RAQUEL"/>
    <s v="MIRANDA"/>
    <s v="HERNANDEZ"/>
    <n v="120580817"/>
    <x v="108"/>
    <s v="FEMENINA"/>
    <d v="2009-06-15T00:00:00"/>
    <n v="11.403148528405202"/>
    <m/>
    <n v="43803"/>
    <s v="colestasis famliar intrahepatica progresiva + hepatocarcinoma"/>
    <n v="34"/>
    <s v="COSTA RICA"/>
    <s v="SAN JOSE"/>
    <s v="MORAVIA"/>
    <s v="SAN VICENTE"/>
    <m/>
    <m/>
    <m/>
    <n v="3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0-11-09T00:00:00"/>
    <n v="0"/>
    <n v="1723"/>
    <n v="56.607802874743328"/>
    <n v="4.7173169062286107"/>
  </r>
  <r>
    <x v="1"/>
    <s v="UP2101 - HOSPITAL RAFAEL A. CALDERÓN GUARDIA"/>
    <m/>
    <s v="HIGADO"/>
    <x v="0"/>
    <m/>
    <m/>
    <m/>
    <n v="120.8870636550308"/>
    <m/>
    <s v="TOMAS GUILLERMO DE LA TRINIDAD"/>
    <s v="SANCHEZ"/>
    <s v="MIRANDA"/>
    <n v="105730804"/>
    <x v="109"/>
    <s v="MASCULINO"/>
    <d v="1955-04-04T00:00:00"/>
    <n v="65.629021218343595"/>
    <m/>
    <m/>
    <s v="OH"/>
    <n v="38"/>
    <s v="COSTA RICA"/>
    <s v="SAN JOSE"/>
    <s v="SAN JOSE"/>
    <s v="CATEDRAL"/>
    <m/>
    <m/>
    <m/>
    <n v="33"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0-11-19T00:00:00"/>
    <n v="0"/>
    <n v="1713"/>
    <n v="56.279260780287473"/>
    <n v="4.6899383983572891"/>
  </r>
  <r>
    <x v="0"/>
    <m/>
    <m/>
    <s v="HIGADO"/>
    <x v="0"/>
    <m/>
    <m/>
    <m/>
    <n v="120.92539356605064"/>
    <m/>
    <s v="JONATHAN EDUARDO"/>
    <s v="HIDALGO"/>
    <s v="RIVERA"/>
    <n v="113490485"/>
    <x v="110"/>
    <s v="MASCULINO"/>
    <d v="1988-04-20T00:00:00"/>
    <n v="32.621492128678987"/>
    <m/>
    <m/>
    <s v="CEP+ HTP SEVERA"/>
    <n v="23"/>
    <s v="COSTA RICA"/>
    <s v="GUANACASTE"/>
    <s v="LIBERIA"/>
    <s v="LIBERIA"/>
    <m/>
    <m/>
    <m/>
    <n v="36"/>
    <m/>
    <m/>
    <m/>
    <m/>
    <m/>
    <m/>
    <m/>
    <m/>
    <x v="0"/>
    <d v="2024-06-20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0-12-03T00:00:00"/>
    <n v="1"/>
    <n v="1295"/>
    <n v="42.546201232032857"/>
    <n v="3.5455167693360714"/>
  </r>
  <r>
    <x v="1"/>
    <s v="UP2101 - HOSPITAL RAFAEL A. CALDERÓN GUARDIA"/>
    <m/>
    <s v="HIGADO"/>
    <x v="0"/>
    <m/>
    <m/>
    <m/>
    <n v="120.93086926762491"/>
    <m/>
    <s v="OLGA MARTA DE LOS AN"/>
    <s v="JIMENEZ"/>
    <s v="BARRIENTOS"/>
    <n v="107430958"/>
    <x v="111"/>
    <s v="FEMENINA"/>
    <d v="1969-04-11T00:00:00"/>
    <n v="51.652292950034223"/>
    <m/>
    <m/>
    <s v="OH"/>
    <n v="26"/>
    <s v="COSTA RICA"/>
    <s v="SAN JOSE"/>
    <s v="GOICOECHEA"/>
    <s v="IPIS"/>
    <m/>
    <m/>
    <m/>
    <n v="14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0-12-05T00:00:00"/>
    <n v="0"/>
    <n v="1697"/>
    <n v="55.753593429158109"/>
    <n v="4.646132785763176"/>
  </r>
  <r>
    <x v="1"/>
    <s v="UP2101 - HOSPITAL RAFAEL A. CALDERÓN GUARDIA"/>
    <m/>
    <s v="HIGADO"/>
    <x v="0"/>
    <m/>
    <m/>
    <m/>
    <n v="120.96919917864476"/>
    <m/>
    <s v="ANA VICTORIA"/>
    <s v="BRICEÑO"/>
    <s v="QUIROS"/>
    <n v="702690208"/>
    <x v="112"/>
    <s v="FEMENINA"/>
    <d v="1999-06-20T00:00:00"/>
    <n v="21.500342231348391"/>
    <m/>
    <m/>
    <s v="WILSON"/>
    <n v="34"/>
    <s v="COSTA RICA"/>
    <s v="LIMON"/>
    <s v="POCOSI"/>
    <s v="CARIARI"/>
    <m/>
    <m/>
    <m/>
    <n v="17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0-12-19T00:00:00"/>
    <n v="0"/>
    <n v="1683"/>
    <n v="55.293634496919921"/>
    <n v="4.6078028747433262"/>
  </r>
  <r>
    <x v="1"/>
    <s v="UP2101 - HOSPITAL RAFAEL A. CALDERÓN GUARDIA"/>
    <m/>
    <s v="HIGADO"/>
    <x v="0"/>
    <m/>
    <m/>
    <m/>
    <n v="121.03490759753593"/>
    <m/>
    <s v="EDUARDO ALEJANDRO"/>
    <s v="FERNANDEZ"/>
    <s v="FERNANDEZ"/>
    <n v="107260245"/>
    <x v="113"/>
    <s v="MASCULINO"/>
    <d v="1968-01-23T00:00:00"/>
    <n v="52.971937029431899"/>
    <m/>
    <m/>
    <s v="DEFICIT  A-1-AT"/>
    <n v="30"/>
    <s v="COSTA RICA"/>
    <s v="CARTAGO"/>
    <s v="LA UNION"/>
    <s v="SAN DIEGO"/>
    <m/>
    <m/>
    <m/>
    <n v="10"/>
    <m/>
    <m/>
    <m/>
    <m/>
    <m/>
    <m/>
    <m/>
    <m/>
    <x v="0"/>
    <d v="2023-02-25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1-01-12T00:00:00"/>
    <n v="1"/>
    <n v="774"/>
    <n v="25.429158110882955"/>
    <n v="2.1190965092402463"/>
  </r>
  <r>
    <x v="1"/>
    <s v="UP2101 - HOSPITAL RAFAEL A. CALDERÓN GUARDIA"/>
    <m/>
    <s v="HIGADO"/>
    <x v="0"/>
    <m/>
    <m/>
    <m/>
    <n v="121.04312114989733"/>
    <m/>
    <s v="MARTA EUGENIA"/>
    <s v="MOLINA"/>
    <s v="COTO"/>
    <n v="104640821"/>
    <x v="114"/>
    <s v="FEMENINA"/>
    <d v="1956-08-24T00:00:00"/>
    <n v="64.394250513347018"/>
    <m/>
    <m/>
    <s v="NASH"/>
    <n v="15"/>
    <s v="COSTA RICA"/>
    <s v="SAN JOSE"/>
    <s v="DESAMPARADOS"/>
    <s v="SAN JUAN DE DIOS"/>
    <m/>
    <m/>
    <m/>
    <n v="25"/>
    <m/>
    <m/>
    <m/>
    <m/>
    <m/>
    <m/>
    <m/>
    <m/>
    <x v="0"/>
    <d v="2021-02-09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1-01-15T00:00:00"/>
    <n v="1"/>
    <n v="25"/>
    <n v="0.82135523613963035"/>
    <n v="6.8446269678302529E-2"/>
  </r>
  <r>
    <x v="2"/>
    <s v="UP2103 - HOSPITAL NACIONAL DE NIÑOS"/>
    <m/>
    <s v="HIGADO"/>
    <x v="1"/>
    <m/>
    <m/>
    <m/>
    <n v="121.05954825462013"/>
    <m/>
    <s v="JOSHUA YARIEL"/>
    <s v="MUÑOZ"/>
    <s v="VINDAS"/>
    <n v="504940396"/>
    <x v="115"/>
    <s v="MASCULINO"/>
    <d v="2011-02-20T00:00:00"/>
    <n v="9.9192334017796036"/>
    <m/>
    <n v="43472"/>
    <s v="cirrosis criptogenica"/>
    <n v="12"/>
    <s v="COSTA RICA"/>
    <s v="GUANACASTE"/>
    <s v="TILARAN"/>
    <s v="QUEBRADA GRANDE"/>
    <m/>
    <m/>
    <m/>
    <n v="10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1-01-21T00:00:00"/>
    <n v="0"/>
    <n v="1650"/>
    <n v="54.209445585215605"/>
    <n v="4.517453798767967"/>
  </r>
  <r>
    <x v="0"/>
    <m/>
    <m/>
    <s v="HIGADO"/>
    <x v="0"/>
    <m/>
    <m/>
    <m/>
    <n v="121.09240246406571"/>
    <m/>
    <s v="ALEXANDRA MARIA"/>
    <s v="GONZALEZ"/>
    <s v="PORRAS"/>
    <n v="402470416"/>
    <x v="116"/>
    <s v="FEMENINA"/>
    <d v="2000-05-29T00:00:00"/>
    <n v="20.681724845995895"/>
    <m/>
    <m/>
    <s v="HCC"/>
    <n v="18"/>
    <s v="COSTA RICA"/>
    <s v="HEREDIA"/>
    <s v="BARVA"/>
    <s v="SANTA LUCIA"/>
    <m/>
    <m/>
    <m/>
    <n v="23"/>
    <m/>
    <m/>
    <m/>
    <m/>
    <m/>
    <m/>
    <m/>
    <m/>
    <x v="0"/>
    <d v="2021-11-09T00:00:00"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1-02-02T00:00:00"/>
    <n v="1"/>
    <n v="280"/>
    <n v="9.1991786447638599"/>
    <n v="0.76659822039698833"/>
  </r>
  <r>
    <x v="2"/>
    <s v="UP2103 - HOSPITAL NACIONAL DE NIÑOS"/>
    <m/>
    <s v="HIGADO"/>
    <x v="0"/>
    <m/>
    <m/>
    <m/>
    <n v="121.14989733059548"/>
    <m/>
    <s v="JEIMY MASSIEL"/>
    <s v="ARIAS"/>
    <s v="ARIAS"/>
    <n v="209710844"/>
    <x v="117"/>
    <s v="FEMENINA"/>
    <d v="2013-05-20T00:00:00"/>
    <n v="7.7645448323066395"/>
    <m/>
    <n v="44085"/>
    <s v="colestasis familiar intrahepatica progresiva"/>
    <n v="40"/>
    <s v="COSTA RICA"/>
    <s v="ALAJUELA"/>
    <s v="SAN RAMON"/>
    <s v="PIEDADES NORTE"/>
    <m/>
    <m/>
    <m/>
    <n v="4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1-02-23T00:00:00"/>
    <n v="0"/>
    <n v="1617"/>
    <n v="53.125256673511295"/>
    <n v="4.4271047227926079"/>
  </r>
  <r>
    <x v="2"/>
    <s v="UP2103 - HOSPITAL NACIONAL DE NIÑOS"/>
    <m/>
    <s v="HIGADO"/>
    <x v="1"/>
    <m/>
    <m/>
    <m/>
    <n v="121.18822724161534"/>
    <m/>
    <s v="JOCSAN EMMANUEL"/>
    <s v="MENDEZ"/>
    <s v="CORDOBA"/>
    <n v="703530460"/>
    <x v="118"/>
    <s v="MASCULINO"/>
    <d v="2010-06-07T00:00:00"/>
    <n v="10.754277891854894"/>
    <m/>
    <n v="43742"/>
    <s v="colestasis familiar intrahepatica progresiva"/>
    <n v="14"/>
    <s v="COSTA RICA"/>
    <s v="LIMON"/>
    <s v="POCOSI"/>
    <s v="GUAPILES"/>
    <m/>
    <m/>
    <m/>
    <n v="2"/>
    <m/>
    <m/>
    <m/>
    <m/>
    <m/>
    <m/>
    <m/>
    <m/>
    <x v="1"/>
    <m/>
    <m/>
    <m/>
    <m/>
    <m/>
    <m/>
    <m/>
    <m/>
    <m/>
    <m/>
    <m/>
    <s v="SI"/>
    <m/>
    <m/>
    <m/>
    <m/>
    <m/>
    <m/>
    <m/>
    <m/>
    <m/>
    <m/>
    <m/>
    <m/>
    <m/>
    <m/>
    <m/>
    <m/>
    <m/>
    <m/>
    <m/>
    <d v="2021-03-09T00:00:00"/>
    <n v="0"/>
    <n v="1603"/>
    <n v="52.6652977412731"/>
    <n v="4.3887748117727581"/>
  </r>
  <r>
    <x v="0"/>
    <m/>
    <m/>
    <s v="HIGADO"/>
    <x v="0"/>
    <m/>
    <m/>
    <m/>
    <n v="121.28678986995209"/>
    <m/>
    <s v="GUSTAVO ADOLFO"/>
    <s v="ROJAS"/>
    <s v="ALVAREZ"/>
    <n v="107620794"/>
    <x v="119"/>
    <s v="MASCULINO"/>
    <d v="1969-12-15T00:00:00"/>
    <n v="51.329226557152637"/>
    <m/>
    <m/>
    <s v="HCE POR NASH, HCC"/>
    <n v="23"/>
    <s v="COSTA RICA"/>
    <s v="HEREDIA"/>
    <s v="Barva"/>
    <s v="Barva"/>
    <m/>
    <m/>
    <m/>
    <n v="12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1-04-14T00:00:00"/>
    <n v="0"/>
    <n v="1567"/>
    <n v="51.482546201232033"/>
    <n v="4.2902121834360027"/>
  </r>
  <r>
    <x v="1"/>
    <s v="UP2101 - HOSPITAL RAFAEL A. CALDERÓN GUARDIA"/>
    <m/>
    <s v="HIGADO"/>
    <x v="0"/>
    <m/>
    <m/>
    <m/>
    <n v="121.30321697467488"/>
    <m/>
    <s v="DIANA MELISSA"/>
    <s v="JIMENEZ"/>
    <s v="ACUÑA"/>
    <n v="117190029"/>
    <x v="120"/>
    <s v="FEMENINA"/>
    <d v="1998-08-25T00:00:00"/>
    <n v="22.652977412731005"/>
    <m/>
    <m/>
    <s v="WILSON"/>
    <n v="28"/>
    <s v="COSTA RICA"/>
    <s v="SAN JOSE"/>
    <s v="GOICOECHEA"/>
    <s v="IPIS"/>
    <m/>
    <m/>
    <m/>
    <n v="31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1-04-20T00:00:00"/>
    <n v="0"/>
    <n v="1561"/>
    <n v="51.285420944558524"/>
    <n v="4.2737850787132103"/>
  </r>
  <r>
    <x v="0"/>
    <m/>
    <m/>
    <s v="HIGADO"/>
    <x v="0"/>
    <m/>
    <m/>
    <m/>
    <n v="121.34976043805612"/>
    <m/>
    <s v="ENRIQUE JAVIER"/>
    <s v="MARIN"/>
    <s v="GUZMAN"/>
    <n v="16521049"/>
    <x v="121"/>
    <s v="MASCULINO"/>
    <d v="1965-08-30T00:00:00"/>
    <n v="55.685147159479811"/>
    <m/>
    <m/>
    <s v="NALFD,  HEPATOCARCINOMA"/>
    <n v="25"/>
    <s v="NICARAGUA"/>
    <s v="SAN JOSE"/>
    <s v="SAN JOSE"/>
    <s v="MATA REDONDA"/>
    <m/>
    <m/>
    <m/>
    <n v="24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1-05-07T00:00:00"/>
    <n v="0"/>
    <n v="1544"/>
    <n v="50.726899383983572"/>
    <n v="4.2272416153319643"/>
  </r>
  <r>
    <x v="0"/>
    <m/>
    <m/>
    <s v="HIGADO"/>
    <x v="0"/>
    <m/>
    <m/>
    <m/>
    <n v="121.37166324435319"/>
    <m/>
    <s v="VICTOR HUGO"/>
    <s v="ARIAS"/>
    <s v="CRUZ"/>
    <n v="108290409"/>
    <x v="122"/>
    <s v="MASCULINO"/>
    <d v="1970-02-02T00:00:00"/>
    <n v="51.279945242984255"/>
    <m/>
    <m/>
    <s v="ENFERMEDAD DE WILSON, hipertensión portal"/>
    <n v="29"/>
    <s v="COSTA RICA"/>
    <s v="SAN JOSE"/>
    <s v="CENTRAL"/>
    <s v="URUCA"/>
    <m/>
    <m/>
    <m/>
    <n v="7"/>
    <m/>
    <m/>
    <m/>
    <m/>
    <m/>
    <m/>
    <m/>
    <m/>
    <x v="0"/>
    <d v="2021-05-19T00:00:00"/>
    <s v="hemotorax, shock refractario, coagulopatia"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1-05-15T00:00:00"/>
    <n v="1"/>
    <n v="4"/>
    <n v="0.13141683778234087"/>
    <n v="1.0951403148528405E-2"/>
  </r>
  <r>
    <x v="2"/>
    <s v="UP2103 - HOSPITAL NACIONAL DE NIÑOS"/>
    <m/>
    <s v="HIGADO"/>
    <x v="1"/>
    <m/>
    <m/>
    <m/>
    <n v="121.39904175222451"/>
    <m/>
    <s v="ATHAN GAEL"/>
    <s v="VARGAS"/>
    <s v="BENAVIDES"/>
    <n v="210490616"/>
    <x v="123"/>
    <s v="MASCULINO"/>
    <d v="2019-01-26T00:00:00"/>
    <n v="2.3271731690622861"/>
    <m/>
    <n v="44176"/>
    <s v="colestasis familiar intrahepatica tipo II"/>
    <n v="20"/>
    <s v="COSTA RICA"/>
    <s v="LIMON"/>
    <s v="POCOSI"/>
    <s v="GUAPILES"/>
    <m/>
    <m/>
    <m/>
    <n v="5"/>
    <m/>
    <m/>
    <m/>
    <m/>
    <m/>
    <m/>
    <m/>
    <m/>
    <x v="1"/>
    <m/>
    <m/>
    <m/>
    <m/>
    <m/>
    <m/>
    <m/>
    <m/>
    <m/>
    <m/>
    <m/>
    <s v="SI"/>
    <m/>
    <m/>
    <m/>
    <m/>
    <m/>
    <m/>
    <m/>
    <m/>
    <m/>
    <m/>
    <m/>
    <m/>
    <m/>
    <m/>
    <m/>
    <m/>
    <m/>
    <m/>
    <m/>
    <d v="2021-05-25T00:00:00"/>
    <n v="0"/>
    <n v="1526"/>
    <n v="50.135523613963038"/>
    <n v="4.1779603011635862"/>
  </r>
  <r>
    <x v="2"/>
    <s v="UP2103 - HOSPITAL NACIONAL DE NIÑOS"/>
    <m/>
    <s v="HIGADO"/>
    <x v="1"/>
    <m/>
    <m/>
    <m/>
    <n v="121.55236139630391"/>
    <m/>
    <s v="KRICSIA VALERIA"/>
    <s v="CHACON"/>
    <s v="VILLEGAS"/>
    <n v="605690335"/>
    <x v="124"/>
    <s v="FEMENINA"/>
    <d v="2017-11-28T00:00:00"/>
    <n v="3.6413415468856947"/>
    <m/>
    <n v="43588"/>
    <s v="atresia vias biliares"/>
    <n v="29"/>
    <s v="COSTA RICA"/>
    <s v="PUNTARENAS"/>
    <s v="CORREDORES"/>
    <s v="LA CUESTA"/>
    <m/>
    <m/>
    <m/>
    <n v="4"/>
    <m/>
    <m/>
    <m/>
    <m/>
    <m/>
    <m/>
    <m/>
    <m/>
    <x v="0"/>
    <d v="2021-07-23T00:00:00"/>
    <s v="fallo primario del injerto,"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1-07-20T00:00:00"/>
    <n v="1"/>
    <n v="3"/>
    <n v="9.856262833675565E-2"/>
    <n v="8.2135523613963042E-3"/>
  </r>
  <r>
    <x v="1"/>
    <s v="UP2101 - HOSPITAL RAFAEL A. CALDERÓN GUARDIA"/>
    <m/>
    <s v="HIGADO"/>
    <x v="0"/>
    <m/>
    <m/>
    <m/>
    <n v="121.56331279945243"/>
    <m/>
    <s v="RUDY ANDRES"/>
    <s v="JIMENEZ"/>
    <s v="GARCIA"/>
    <n v="502300125"/>
    <x v="125"/>
    <s v="MASCULINO"/>
    <d v="1966-02-04T00:00:00"/>
    <n v="55.466119096509239"/>
    <m/>
    <m/>
    <s v="OH+HCC"/>
    <n v="20"/>
    <s v="COSTA RICA"/>
    <s v="SAN JOSE"/>
    <s v="CORONADO"/>
    <s v="SAN ISIDRO"/>
    <m/>
    <m/>
    <m/>
    <n v="10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1-07-24T00:00:00"/>
    <n v="0"/>
    <n v="1466"/>
    <n v="48.164271047227928"/>
    <n v="4.0136892539356603"/>
  </r>
  <r>
    <x v="1"/>
    <s v="UP2101 - HOSPITAL RAFAEL A. CALDERÓN GUARDIA"/>
    <m/>
    <s v="HIGADO"/>
    <x v="0"/>
    <m/>
    <m/>
    <m/>
    <n v="121.66735112936345"/>
    <m/>
    <s v="JOSE LUIS"/>
    <s v="ARCE"/>
    <s v="ARTAVIA"/>
    <n v="303430999"/>
    <x v="126"/>
    <s v="MASCULINO"/>
    <d v="1976-11-08T00:00:00"/>
    <n v="44.810403832991099"/>
    <m/>
    <m/>
    <s v="OH"/>
    <n v="24"/>
    <s v="COSTA RICA"/>
    <s v="CARTAGO"/>
    <s v="CENTRAL"/>
    <s v="SAN NICOLAS"/>
    <m/>
    <m/>
    <m/>
    <n v="16"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1-08-31T00:00:00"/>
    <n v="0"/>
    <n v="1428"/>
    <n v="46.91581108829569"/>
    <n v="3.9096509240246409"/>
  </r>
  <r>
    <x v="2"/>
    <s v="UP2103 - HOSPITAL NACIONAL DE NIÑOS"/>
    <m/>
    <s v="HIGADO"/>
    <x v="0"/>
    <m/>
    <m/>
    <m/>
    <n v="121.7659137577002"/>
    <m/>
    <s v="ASHLEY JIMENA"/>
    <s v="HERNANDEZ"/>
    <s v="JIMENEZ"/>
    <n v="210430220"/>
    <x v="127"/>
    <s v="FEMENINA"/>
    <d v="2018-08-25T00:00:00"/>
    <n v="3.1156741957563314"/>
    <m/>
    <n v="44467"/>
    <s v="colestasis familiar + hepatoblastoma"/>
    <n v="17"/>
    <s v="COSTA RICA"/>
    <s v="ALAJUELA"/>
    <s v="SAN CARLOS"/>
    <s v="PITAL"/>
    <m/>
    <m/>
    <m/>
    <m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1-10-06T00:00:00"/>
    <n v="0"/>
    <n v="1392"/>
    <n v="45.733059548254623"/>
    <n v="3.8110882956878851"/>
  </r>
  <r>
    <x v="0"/>
    <m/>
    <m/>
    <s v="HIGADO"/>
    <x v="0"/>
    <m/>
    <m/>
    <m/>
    <n v="121.81519507186859"/>
    <m/>
    <s v="HANLLELYN PAOLA"/>
    <s v="BRENES"/>
    <s v="TREJOS"/>
    <n v="305410428"/>
    <x v="128"/>
    <s v="FEMENINA"/>
    <d v="2002-09-28T00:00:00"/>
    <n v="19.071868583162217"/>
    <m/>
    <m/>
    <s v="Atresia biliar falla hepática aguda sobre crónica"/>
    <n v="33"/>
    <s v="COSTA RICA"/>
    <s v="CARTAGO"/>
    <s v="CARTAGO"/>
    <s v="Quebradilla"/>
    <m/>
    <m/>
    <m/>
    <m/>
    <m/>
    <m/>
    <m/>
    <m/>
    <m/>
    <m/>
    <m/>
    <m/>
    <x v="0"/>
    <d v="2021-10-25T00:00:00"/>
    <s v="TEP, SHOCK REFRACTARIO"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1-10-24T00:00:00"/>
    <n v="1"/>
    <n v="1"/>
    <n v="3.2854209445585217E-2"/>
    <n v="2.7378507871321013E-3"/>
  </r>
  <r>
    <x v="2"/>
    <s v="UP2103 - HOSPITAL NACIONAL DE NIÑOS"/>
    <m/>
    <s v="HIGADO"/>
    <x v="1"/>
    <s v="NO"/>
    <m/>
    <n v="30937"/>
    <n v="37.12251882272416"/>
    <s v="RELACIONADO CONSANGUINEO"/>
    <s v="YENCI JIMENA"/>
    <s v="GUZMAN"/>
    <s v="BRENES"/>
    <n v="605680843"/>
    <x v="129"/>
    <s v="FEMENINA"/>
    <d v="2017-11-01T00:00:00"/>
    <n v="3.9863107460643397"/>
    <s v="O+"/>
    <n v="44284"/>
    <s v="histiocitosis X + colangitis esclerosante"/>
    <n v="25"/>
    <s v="COSTA RICA"/>
    <s v="PUNTARENAS"/>
    <s v="GOLFITO"/>
    <s v="GUAYCARA"/>
    <m/>
    <m/>
    <m/>
    <n v="30"/>
    <m/>
    <m/>
    <m/>
    <m/>
    <m/>
    <m/>
    <m/>
    <m/>
    <x v="1"/>
    <m/>
    <m/>
    <m/>
    <m/>
    <m/>
    <m/>
    <m/>
    <m/>
    <m/>
    <m/>
    <m/>
    <s v="SI"/>
    <m/>
    <m/>
    <m/>
    <m/>
    <m/>
    <m/>
    <m/>
    <m/>
    <m/>
    <m/>
    <m/>
    <m/>
    <m/>
    <m/>
    <m/>
    <m/>
    <m/>
    <m/>
    <m/>
    <d v="2021-10-27T00:00:00"/>
    <n v="0"/>
    <n v="1371"/>
    <n v="45.043121149897331"/>
    <n v="3.7535934291581108"/>
  </r>
  <r>
    <x v="0"/>
    <m/>
    <m/>
    <s v="HIGADO"/>
    <x v="0"/>
    <m/>
    <m/>
    <m/>
    <n v="121.84804928131418"/>
    <m/>
    <s v="CARLOS LUIS"/>
    <s v="CAMPOS"/>
    <s v="CRUZ"/>
    <n v="204200632"/>
    <x v="130"/>
    <s v="MASCULINO"/>
    <d v="1966-08-28T00:00:00"/>
    <n v="55.189596167008901"/>
    <m/>
    <m/>
    <s v="Falla aguda sobre cronica"/>
    <n v="32"/>
    <s v="COSTA RICA"/>
    <s v="SAN JOSE"/>
    <s v="MORAVIA"/>
    <s v="SAN VICENTE"/>
    <m/>
    <m/>
    <m/>
    <m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1-11-05T00:00:00"/>
    <n v="0"/>
    <n v="1362"/>
    <n v="44.747433264887064"/>
    <n v="3.7289527720739222"/>
  </r>
  <r>
    <x v="1"/>
    <s v="UP2101 - HOSPITAL RAFAEL A. CALDERÓN GUARDIA"/>
    <m/>
    <s v="HIGADO"/>
    <x v="0"/>
    <m/>
    <m/>
    <m/>
    <n v="121.8507871321013"/>
    <m/>
    <s v="AURA MARIA"/>
    <s v="GUTIERREZ"/>
    <s v="ZAMBRANA"/>
    <n v="503510496"/>
    <x v="131"/>
    <s v="FEMENINA"/>
    <d v="1986-04-28T00:00:00"/>
    <n v="35.526351813826146"/>
    <m/>
    <m/>
    <s v="AUTOINMUNE"/>
    <n v="23"/>
    <s v="COSTA RICA"/>
    <s v="LIMON"/>
    <s v="GUACIMO"/>
    <s v="RIO JIMENEZ"/>
    <m/>
    <m/>
    <m/>
    <m/>
    <m/>
    <m/>
    <m/>
    <m/>
    <m/>
    <m/>
    <m/>
    <m/>
    <x v="1"/>
    <m/>
    <m/>
    <m/>
    <m/>
    <m/>
    <m/>
    <m/>
    <m/>
    <m/>
    <m/>
    <m/>
    <s v="NO"/>
    <m/>
    <m/>
    <m/>
    <m/>
    <m/>
    <m/>
    <m/>
    <m/>
    <m/>
    <m/>
    <m/>
    <m/>
    <m/>
    <m/>
    <m/>
    <m/>
    <m/>
    <m/>
    <m/>
    <d v="2021-11-06T00:00:00"/>
    <n v="0"/>
    <n v="1361"/>
    <n v="44.714579055441476"/>
    <n v="3.7262149212867897"/>
  </r>
  <r>
    <x v="1"/>
    <s v="UP2101 - HOSPITAL RAFAEL A. CALDERÓN GUARDIA"/>
    <s v="DF.01.2022"/>
    <s v="HIGADO"/>
    <x v="0"/>
    <m/>
    <m/>
    <n v="39805"/>
    <n v="13.043121149897331"/>
    <s v="CADAVÉRICO"/>
    <s v="HIGINIA MARICEL"/>
    <s v="NAJERA"/>
    <s v="ORTIZ"/>
    <n v="601640959"/>
    <x v="132"/>
    <s v="FEMENINA"/>
    <d v="1962-01-24T00:00:00"/>
    <n v="59.956194387405887"/>
    <s v="O+"/>
    <n v="44565.57916666667"/>
    <s v="HEPATITIS AUTOINMUNE"/>
    <n v="35"/>
    <s v="COSTA RICA"/>
    <s v="SAN JOSE"/>
    <s v="CURRIDABAT"/>
    <s v="GRANADILLA"/>
    <m/>
    <m/>
    <m/>
    <n v="9"/>
    <m/>
    <s v="VIVO"/>
    <s v="VIVO"/>
    <s v="VIVO"/>
    <s v="VIVO"/>
    <s v="VIVO"/>
    <s v="NA "/>
    <m/>
    <x v="1"/>
    <s v="NA"/>
    <s v="NA"/>
    <m/>
    <s v="FUNCIONAL"/>
    <m/>
    <m/>
    <m/>
    <m/>
    <s v="NO"/>
    <m/>
    <m/>
    <s v="NO"/>
    <m/>
    <m/>
    <m/>
    <m/>
    <m/>
    <m/>
    <m/>
    <m/>
    <m/>
    <m/>
    <m/>
    <m/>
    <m/>
    <m/>
    <m/>
    <n v="209130284"/>
    <s v="MASCULINO"/>
    <s v="COSTA RICA"/>
    <m/>
    <d v="2022-01-08T00:00:00"/>
    <n v="0"/>
    <n v="1298"/>
    <n v="42.644763860369608"/>
    <n v="3.5537303216974676"/>
  </r>
  <r>
    <x v="1"/>
    <s v="UP2101 - HOSPITAL RAFAEL A. CALDERÓN GUARDIA"/>
    <s v="DF.02.2022"/>
    <s v="HIGADO"/>
    <x v="0"/>
    <m/>
    <m/>
    <n v="35649"/>
    <n v="24.438056125941138"/>
    <s v="CADAVÉRICO"/>
    <s v="BOLIVAR"/>
    <s v="TORRES"/>
    <s v="QUINTERO"/>
    <n v="601540018"/>
    <x v="133"/>
    <s v="MASCULINO"/>
    <d v="1960-07-10T00:00:00"/>
    <n v="61.51403148528405"/>
    <s v="A+"/>
    <n v="44335.833333333336"/>
    <s v="CIRROSIS CRIPTOGENICA"/>
    <n v="23"/>
    <s v="COSTA RICA"/>
    <s v="LIMON"/>
    <s v="POCOSI"/>
    <s v="RITA"/>
    <m/>
    <m/>
    <m/>
    <n v="13"/>
    <m/>
    <s v="VIVO"/>
    <s v="VIVO"/>
    <s v="VIVO"/>
    <s v="VIVO"/>
    <s v="VIVO"/>
    <s v="NA "/>
    <m/>
    <x v="1"/>
    <s v="NA"/>
    <s v="NA"/>
    <m/>
    <s v="FUNCIONAL"/>
    <m/>
    <m/>
    <m/>
    <m/>
    <s v="NO"/>
    <m/>
    <m/>
    <s v="NO"/>
    <m/>
    <m/>
    <m/>
    <m/>
    <m/>
    <m/>
    <m/>
    <m/>
    <m/>
    <m/>
    <m/>
    <m/>
    <m/>
    <m/>
    <m/>
    <n v="116850947"/>
    <s v="FEMENINA"/>
    <s v="COSTA RICA"/>
    <m/>
    <d v="2022-01-14T00:00:00"/>
    <n v="0"/>
    <n v="1292"/>
    <n v="42.447638603696099"/>
    <n v="3.5373032169746748"/>
  </r>
  <r>
    <x v="1"/>
    <s v="UP2101 - HOSPITAL RAFAEL A. CALDERÓN GUARDIA"/>
    <s v="DF.03.2022"/>
    <s v="HIGADO"/>
    <x v="0"/>
    <m/>
    <m/>
    <m/>
    <n v="122.04517453798768"/>
    <s v="CADAVÉRICO"/>
    <s v="DEYANIRA DE JESUS"/>
    <s v="GARCIA"/>
    <s v="VILLEGAS"/>
    <n v="106160108"/>
    <x v="134"/>
    <s v="FEMENINA"/>
    <d v="1963-11-03T00:00:00"/>
    <n v="58.203969883641342"/>
    <s v="A+"/>
    <n v="43626"/>
    <s v="NASH"/>
    <n v="17"/>
    <s v="COSTA RICA"/>
    <s v="SAN JOSE"/>
    <s v="ALAJUELITA"/>
    <s v="ALAJUELITA"/>
    <m/>
    <m/>
    <m/>
    <n v="30"/>
    <m/>
    <s v="VIVO"/>
    <s v="VIVO"/>
    <s v="VIVO"/>
    <s v="VIVO"/>
    <s v="VIVO"/>
    <s v="NA "/>
    <m/>
    <x v="1"/>
    <s v="NA"/>
    <s v="NA"/>
    <m/>
    <s v="FUNCIONAL"/>
    <m/>
    <m/>
    <m/>
    <m/>
    <s v="NO"/>
    <m/>
    <m/>
    <s v="NO"/>
    <m/>
    <m/>
    <m/>
    <m/>
    <m/>
    <m/>
    <m/>
    <m/>
    <m/>
    <m/>
    <m/>
    <m/>
    <m/>
    <m/>
    <m/>
    <m/>
    <m/>
    <m/>
    <m/>
    <d v="2022-01-16T00:00:00"/>
    <n v="0"/>
    <n v="1290"/>
    <n v="42.381930184804929"/>
    <n v="3.5318275154004106"/>
  </r>
  <r>
    <x v="2"/>
    <s v="UP2103 - HOSPITAL NACIONAL DE NIÑOS"/>
    <m/>
    <s v="HIGADO"/>
    <x v="1"/>
    <m/>
    <s v="O+"/>
    <n v="35626"/>
    <n v="24.629705681040384"/>
    <s v="RELACIONADO CONSANGUINEO"/>
    <s v="ELIAN DAVID"/>
    <s v="FONSECA"/>
    <s v="QUIROS"/>
    <n v="122790534"/>
    <x v="135"/>
    <s v="MASCULINO"/>
    <d v="2017-04-20T00:00:00"/>
    <n v="4.8651608487337441"/>
    <s v="O+"/>
    <m/>
    <s v="Disfunción del injerto hepático"/>
    <n v="39"/>
    <s v="COSTA RICA"/>
    <s v="SAN JOSE"/>
    <s v="PEREZ ZELEDON"/>
    <s v="DANIEL FLORES"/>
    <m/>
    <m/>
    <m/>
    <m/>
    <m/>
    <s v="FALLECIDO"/>
    <m/>
    <m/>
    <m/>
    <m/>
    <m/>
    <m/>
    <x v="0"/>
    <d v="2022-03-02T00:00:00"/>
    <s v="falla orgánica múltiple, CID_x000a_transquirúrgica"/>
    <m/>
    <s v="NO FUNCIONAL"/>
    <m/>
    <m/>
    <m/>
    <m/>
    <m/>
    <m/>
    <m/>
    <s v="SI"/>
    <m/>
    <m/>
    <m/>
    <m/>
    <m/>
    <m/>
    <m/>
    <m/>
    <m/>
    <m/>
    <m/>
    <m/>
    <m/>
    <m/>
    <m/>
    <s v="702530765"/>
    <s v="FEMENINA"/>
    <s v="COSTA RICA"/>
    <m/>
    <d v="2022-03-02T00:00:00"/>
    <n v="1"/>
    <n v="0"/>
    <n v="0"/>
    <n v="0"/>
  </r>
  <r>
    <x v="1"/>
    <s v="UP2101 - HOSPITAL RAFAEL A. CALDERÓN GUARDIA"/>
    <s v="DF.06.2022"/>
    <s v="HIGADO"/>
    <x v="0"/>
    <m/>
    <m/>
    <n v="22073"/>
    <n v="61.768651608487339"/>
    <s v="CADAVÉRICO"/>
    <s v="GABELO JOSE"/>
    <s v="VARGAS"/>
    <s v="CAMPOS"/>
    <n v="203440716"/>
    <x v="136"/>
    <s v="MASCULINO"/>
    <d v="1959-10-30T00:00:00"/>
    <n v="62.370978781656397"/>
    <s v="O+"/>
    <n v="44508.339583333334"/>
    <s v="HEPATOCARCINOMA + NASH"/>
    <n v="34"/>
    <s v="COSTA RICA"/>
    <s v="SAN JOSE"/>
    <s v="GOICOECHEA"/>
    <s v="MATA DE PLATANO"/>
    <m/>
    <m/>
    <m/>
    <n v="7"/>
    <m/>
    <s v="VIVO"/>
    <s v="VIVO"/>
    <s v="VIVO"/>
    <s v="VIVO"/>
    <s v="VIVO"/>
    <s v="NA "/>
    <m/>
    <x v="1"/>
    <s v="NA"/>
    <s v="NA"/>
    <m/>
    <s v="FUNCIONAL"/>
    <m/>
    <m/>
    <m/>
    <m/>
    <s v="NO"/>
    <m/>
    <m/>
    <s v="NO"/>
    <m/>
    <m/>
    <m/>
    <m/>
    <m/>
    <m/>
    <m/>
    <m/>
    <m/>
    <m/>
    <m/>
    <m/>
    <m/>
    <m/>
    <m/>
    <n v="302410005"/>
    <s v="MASCULINO"/>
    <s v="COSTA RICA"/>
    <m/>
    <d v="2022-03-14T00:00:00"/>
    <n v="0"/>
    <n v="1233"/>
    <n v="40.50924024640657"/>
    <n v="3.375770020533881"/>
  </r>
  <r>
    <x v="1"/>
    <s v="UP2101 - HOSPITAL RAFAEL A. CALDERÓN GUARDIA"/>
    <s v="D.F.07.2022"/>
    <s v="HIGADO"/>
    <x v="0"/>
    <m/>
    <m/>
    <n v="24264"/>
    <n v="55.852156057494867"/>
    <s v="CADAVÉRICO"/>
    <s v="MARIA YAMILETH DE LOS ANGELES"/>
    <s v="MONGE"/>
    <s v="GONZALEZ"/>
    <n v="106830282"/>
    <x v="137"/>
    <s v="FEMENINA"/>
    <d v="1966-08-27T00:00:00"/>
    <n v="55.627652292950032"/>
    <s v="A+"/>
    <n v="44586.29583333333"/>
    <s v="HEPATITIS AUTOINMUNE"/>
    <n v="19"/>
    <s v="COSTA RICA"/>
    <s v="SAN JOSE"/>
    <s v="GOICOECHEA"/>
    <s v="GUADALUPE"/>
    <m/>
    <m/>
    <m/>
    <n v="7"/>
    <m/>
    <s v="VIVO"/>
    <s v="VIVO"/>
    <s v="VIVO"/>
    <s v="VIVO"/>
    <s v="VIVO"/>
    <s v="NA "/>
    <m/>
    <x v="1"/>
    <s v="NA"/>
    <s v="NA"/>
    <m/>
    <s v="FUNCIONAL"/>
    <m/>
    <m/>
    <m/>
    <m/>
    <s v="NO"/>
    <m/>
    <m/>
    <s v="NO"/>
    <m/>
    <m/>
    <m/>
    <m/>
    <m/>
    <m/>
    <m/>
    <m/>
    <m/>
    <m/>
    <m/>
    <m/>
    <m/>
    <m/>
    <m/>
    <n v="106760614"/>
    <s v="FEMENINA"/>
    <s v="COSTA RICA"/>
    <m/>
    <d v="2022-04-13T00:00:00"/>
    <n v="0"/>
    <n v="1203"/>
    <n v="39.523613963039011"/>
    <n v="3.2936344969199181"/>
  </r>
  <r>
    <x v="0"/>
    <m/>
    <s v="D.F.08.22"/>
    <s v="HIGADO"/>
    <x v="0"/>
    <m/>
    <s v="A+"/>
    <m/>
    <n v="122.38193018480493"/>
    <s v="CADAVÉRICO"/>
    <s v="FLOR DE MARIA SOCORRO"/>
    <s v="ROJAS"/>
    <s v="ESQUIVEL"/>
    <n v="203620712"/>
    <x v="138"/>
    <s v="FEMENINA"/>
    <d v="1961-08-04T00:00:00"/>
    <n v="60.788501026694043"/>
    <s v="A+"/>
    <m/>
    <s v="hepatopatia cronica evoluciona NASH"/>
    <n v="22"/>
    <s v="COSTA RICA"/>
    <s v="PUNTARENAS"/>
    <s v="ESPARZA"/>
    <s v="ESPIRITU SANTO"/>
    <m/>
    <m/>
    <m/>
    <m/>
    <m/>
    <s v="PACIENTE ESTA SIENDO REINTERVENIDO, LAP EXPLORATORIA"/>
    <m/>
    <m/>
    <m/>
    <m/>
    <m/>
    <m/>
    <x v="0"/>
    <d v="2022-06-04T00:00:00"/>
    <m/>
    <m/>
    <s v="FUNCIONAL"/>
    <m/>
    <m/>
    <m/>
    <m/>
    <m/>
    <m/>
    <m/>
    <m/>
    <m/>
    <m/>
    <m/>
    <m/>
    <m/>
    <m/>
    <m/>
    <m/>
    <m/>
    <m/>
    <m/>
    <m/>
    <m/>
    <m/>
    <m/>
    <s v="109080585"/>
    <s v="FEMENINA"/>
    <s v="COSTA RICA"/>
    <m/>
    <d v="2022-05-19T00:00:00"/>
    <n v="1"/>
    <n v="16"/>
    <n v="0.52566735112936347"/>
    <n v="4.380561259411362E-2"/>
  </r>
  <r>
    <x v="1"/>
    <s v="UP2101 - HOSPITAL RAFAEL A. CALDERÓN GUARDIA"/>
    <s v="D.F.092022"/>
    <s v="HIGADO"/>
    <x v="0"/>
    <m/>
    <m/>
    <n v="20224"/>
    <n v="67.011635865845307"/>
    <s v="CADAVÉRICO"/>
    <s v="JENNY CRISTINA"/>
    <s v="ARAGON"/>
    <s v="VARGAS"/>
    <n v="107720128"/>
    <x v="138"/>
    <s v="FEMENINA"/>
    <d v="1970-05-06T00:00:00"/>
    <n v="52.035592060232716"/>
    <s v="O+"/>
    <n v="42801"/>
    <s v="CIRROSIS BILIAR PRIMARIA"/>
    <n v="29"/>
    <s v="COSTA RICA"/>
    <s v="SAN JOSE"/>
    <s v="SAN JOSE"/>
    <s v="CARMEN"/>
    <m/>
    <m/>
    <m/>
    <n v="7"/>
    <m/>
    <s v="VIVO"/>
    <s v="VIVO"/>
    <s v="FALLECIDO"/>
    <s v="FALLECIDO"/>
    <s v="FALLECIDO"/>
    <s v="FALLECIDO"/>
    <m/>
    <x v="0"/>
    <d v="2022-07-20T00:00:00"/>
    <s v="PCR CAUSA DESCONOCIDA /HAKEO NO SE PUEDE VERIFICAR ACTA"/>
    <m/>
    <s v="FUNCIONAL"/>
    <m/>
    <m/>
    <m/>
    <m/>
    <s v="NO"/>
    <m/>
    <m/>
    <s v="NO"/>
    <m/>
    <m/>
    <m/>
    <m/>
    <m/>
    <m/>
    <m/>
    <m/>
    <m/>
    <m/>
    <m/>
    <m/>
    <m/>
    <m/>
    <m/>
    <n v="7005400750"/>
    <s v="MASCULINO"/>
    <s v="COSTA RICA"/>
    <m/>
    <d v="2022-05-19T00:00:00"/>
    <n v="1"/>
    <n v="62"/>
    <n v="2.0369609856262834"/>
    <n v="0.16974674880219029"/>
  </r>
  <r>
    <x v="1"/>
    <s v="UP2101 - HOSPITAL RAFAEL A. CALDERÓN GUARDIA"/>
    <s v="DF.11.2022"/>
    <s v="HIGADO"/>
    <x v="0"/>
    <m/>
    <m/>
    <n v="36109"/>
    <n v="23.605749486652979"/>
    <s v="CADAVÉRICO"/>
    <s v="DAYANNA CRISTINA"/>
    <s v="ZAMORA"/>
    <s v="ANDERSON"/>
    <n v="304520304"/>
    <x v="139"/>
    <s v="FEMENINA"/>
    <d v="1991-03-02T00:00:00"/>
    <n v="31.299110198494184"/>
    <s v="O+"/>
    <n v="44427.480555555558"/>
    <s v="HEPATITIS AUTOINMUNE"/>
    <n v="23"/>
    <s v="COSTA RICA"/>
    <s v="CARTAGO"/>
    <s v="JIMENEZ"/>
    <s v="TUCURRIQUE"/>
    <m/>
    <m/>
    <m/>
    <s v="HACKEO"/>
    <m/>
    <s v="VIVO"/>
    <s v="VIVO"/>
    <s v="VIVO"/>
    <s v="VIVO"/>
    <s v="VIVO"/>
    <s v="NA "/>
    <m/>
    <x v="1"/>
    <s v="NA"/>
    <s v="NA"/>
    <m/>
    <s v="FUNCIONAL"/>
    <m/>
    <m/>
    <m/>
    <m/>
    <s v="NO"/>
    <m/>
    <m/>
    <s v="NO"/>
    <m/>
    <m/>
    <m/>
    <m/>
    <m/>
    <m/>
    <m/>
    <m/>
    <m/>
    <m/>
    <m/>
    <m/>
    <m/>
    <m/>
    <m/>
    <n v="702640605"/>
    <s v="MASCULINO"/>
    <s v="COSTA RICA"/>
    <m/>
    <d v="2022-06-19T00:00:00"/>
    <n v="0"/>
    <n v="1136"/>
    <n v="37.322381930184804"/>
    <n v="3.1101984941820673"/>
  </r>
  <r>
    <x v="1"/>
    <s v="UP2101 - HOSPITAL RAFAEL A. CALDERÓN GUARDIA"/>
    <s v="DF.12.2022"/>
    <s v="HIGADO"/>
    <x v="0"/>
    <m/>
    <m/>
    <n v="36657"/>
    <n v="22.113620807665981"/>
    <s v="CADAVÉRICO"/>
    <s v="XINIA MARIA"/>
    <s v="GUTIERREZ"/>
    <s v="SOTO"/>
    <n v="106160488"/>
    <x v="140"/>
    <s v="FEMENINA"/>
    <d v="1963-11-25T00:00:00"/>
    <n v="58.573579739904176"/>
    <s v="A+"/>
    <n v="44698.67291666667"/>
    <s v="NASH"/>
    <n v="17"/>
    <s v="COSTA RICA"/>
    <s v="SAN JOSE"/>
    <s v="VAZQUEZ DE CORONADO"/>
    <s v="DULCE NOMBRE"/>
    <m/>
    <m/>
    <m/>
    <s v="HACKEO"/>
    <m/>
    <s v="VIVO"/>
    <s v="VIVO"/>
    <s v="VIVO"/>
    <s v="VIVO"/>
    <s v="VIVO"/>
    <s v="NA "/>
    <m/>
    <x v="1"/>
    <s v="NA"/>
    <s v="NA"/>
    <m/>
    <s v="FUNCIONAL"/>
    <m/>
    <m/>
    <m/>
    <m/>
    <s v="NO"/>
    <m/>
    <m/>
    <s v="NO"/>
    <m/>
    <m/>
    <m/>
    <m/>
    <m/>
    <m/>
    <m/>
    <m/>
    <m/>
    <m/>
    <m/>
    <m/>
    <m/>
    <m/>
    <m/>
    <n v="402470179"/>
    <s v="MASCULINO"/>
    <s v="COSTA RICA"/>
    <m/>
    <d v="2022-06-22T00:00:00"/>
    <n v="0"/>
    <n v="1133"/>
    <n v="37.223819301848046"/>
    <n v="3.1019849418206706"/>
  </r>
  <r>
    <x v="1"/>
    <s v="UP2101 - HOSPITAL RAFAEL A. CALDERÓN GUARDIA"/>
    <s v="DF.16.2022"/>
    <s v="HIGADO"/>
    <x v="0"/>
    <m/>
    <m/>
    <n v="24460"/>
    <n v="55.567419575633132"/>
    <s v="CADAVÉRICO"/>
    <s v="OMAR MAURICIO"/>
    <s v="ROJAS"/>
    <s v="LUNA"/>
    <n v="302920574"/>
    <x v="141"/>
    <s v="MASCULINO"/>
    <d v="1967-10-20T00:00:00"/>
    <n v="54.732375085557834"/>
    <s v="O+"/>
    <n v="43227"/>
    <s v="NASH"/>
    <n v="21"/>
    <s v="COSTA RICA"/>
    <s v="CARTAGO"/>
    <s v="EL GUARCO"/>
    <s v="TOBOSI"/>
    <m/>
    <m/>
    <m/>
    <s v="HACKEO"/>
    <m/>
    <s v="VIVO"/>
    <s v="VIVO"/>
    <s v="VIVO"/>
    <s v="VIVO"/>
    <s v="NA"/>
    <s v="NA "/>
    <m/>
    <x v="1"/>
    <s v="NA"/>
    <s v="NA"/>
    <m/>
    <s v="FUNCIONAL"/>
    <m/>
    <m/>
    <m/>
    <m/>
    <s v="NO"/>
    <m/>
    <m/>
    <s v="NO"/>
    <m/>
    <m/>
    <m/>
    <m/>
    <m/>
    <m/>
    <m/>
    <m/>
    <m/>
    <m/>
    <m/>
    <m/>
    <m/>
    <m/>
    <m/>
    <n v="21010022000481"/>
    <s v="FEMENINA"/>
    <s v="NICARAGUA"/>
    <m/>
    <d v="2022-07-14T00:00:00"/>
    <n v="0"/>
    <n v="1111"/>
    <n v="36.501026694045173"/>
    <n v="3.0417522245037647"/>
  </r>
  <r>
    <x v="1"/>
    <s v="UP2101 - HOSPITAL RAFAEL A. CALDERÓN GUARDIA"/>
    <s v="DF.17.2022"/>
    <s v="HIGADO"/>
    <x v="0"/>
    <m/>
    <m/>
    <n v="28598"/>
    <n v="44.279260780287473"/>
    <s v="CADAVÉRICO"/>
    <s v="ANGIE ALEJANDRA"/>
    <s v="BERMUDEZ"/>
    <s v="CERDAS"/>
    <n v="110830813"/>
    <x v="142"/>
    <s v="FEMENINA"/>
    <d v="1980-10-12T00:00:00"/>
    <n v="41.793292265571523"/>
    <s v="B -"/>
    <n v="44417.599305555559"/>
    <s v="CIRROSIS  SECUNDARIA A  DEPOSITOS DE ESTERES "/>
    <n v="18"/>
    <s v="COSTA RICA"/>
    <s v="SAN JOSE"/>
    <s v="SAN JOSE"/>
    <s v="SAN SEBASTIAN"/>
    <m/>
    <m/>
    <m/>
    <s v="HACKEO"/>
    <m/>
    <s v="VIVO"/>
    <s v="VIVO"/>
    <s v="VIVO"/>
    <s v="VIVO"/>
    <s v="NA"/>
    <s v="NA "/>
    <m/>
    <x v="1"/>
    <s v="NA"/>
    <s v="NA"/>
    <m/>
    <s v="FUNCIONAL"/>
    <m/>
    <m/>
    <m/>
    <m/>
    <s v="NO"/>
    <m/>
    <m/>
    <s v="NO"/>
    <m/>
    <m/>
    <m/>
    <m/>
    <m/>
    <m/>
    <m/>
    <m/>
    <m/>
    <m/>
    <m/>
    <m/>
    <m/>
    <m/>
    <m/>
    <n v="110000261"/>
    <s v="FEMENINA"/>
    <s v="COSTA RICA"/>
    <m/>
    <d v="2022-07-29T00:00:00"/>
    <n v="0"/>
    <n v="1096"/>
    <n v="36.008213552361397"/>
    <n v="3.0006844626967832"/>
  </r>
  <r>
    <x v="0"/>
    <m/>
    <s v="D.F.19.22"/>
    <s v="HIGADO"/>
    <x v="0"/>
    <m/>
    <s v="O+"/>
    <m/>
    <n v="122.61738535249829"/>
    <s v="CADAVÉRICO"/>
    <s v="ALFONSO JESUS"/>
    <s v="MONTOYA"/>
    <s v="VARGAS"/>
    <n v="104570374"/>
    <x v="143"/>
    <s v="MASCULINO"/>
    <d v="1955-11-10T00:00:00"/>
    <n v="66.757015742642025"/>
    <s v="O+"/>
    <m/>
    <s v="cIRROSIS Y hepatocarcinoma"/>
    <n v="14"/>
    <s v="COSTA RICA"/>
    <s v="SAN JOSE"/>
    <s v="CENTRAL"/>
    <s v="CARMEN"/>
    <m/>
    <m/>
    <m/>
    <m/>
    <m/>
    <s v="bien"/>
    <m/>
    <m/>
    <m/>
    <m/>
    <m/>
    <m/>
    <x v="0"/>
    <d v="2022-12-10T00:00:00"/>
    <s v="post paro y post TEP MASIVO"/>
    <m/>
    <s v="FUNCIONAL"/>
    <m/>
    <m/>
    <m/>
    <m/>
    <m/>
    <m/>
    <m/>
    <m/>
    <m/>
    <m/>
    <m/>
    <m/>
    <m/>
    <m/>
    <m/>
    <m/>
    <m/>
    <m/>
    <m/>
    <m/>
    <m/>
    <m/>
    <m/>
    <s v="106470983"/>
    <s v="FEMENINA"/>
    <s v="COSTA RICA"/>
    <m/>
    <d v="2022-08-13T00:00:00"/>
    <n v="1"/>
    <n v="119"/>
    <n v="3.9096509240246409"/>
    <n v="0.32580424366872007"/>
  </r>
  <r>
    <x v="2"/>
    <s v="UP2103 - HOSPITAL NACIONAL DE NIÑOS"/>
    <m/>
    <s v="HIGADO"/>
    <x v="1"/>
    <m/>
    <s v="O+"/>
    <m/>
    <n v="122.62559890485969"/>
    <s v="RELACIONADO CONSANGUINEO"/>
    <s v="JESSICA VALERIA"/>
    <s v="FAJARDO"/>
    <s v="MIRANDA"/>
    <n v="504910182"/>
    <x v="144"/>
    <s v="FEMENINA"/>
    <d v="2010-08-03T00:00:00"/>
    <n v="12.035592060232718"/>
    <s v="O+"/>
    <m/>
    <s v="COLANGITIS ESCLEROSANTE PRIMARIA"/>
    <n v="15"/>
    <s v="COSTA RICA"/>
    <s v="GUANACASTE"/>
    <s v="LIBERIA"/>
    <s v="LIBERIA"/>
    <m/>
    <m/>
    <m/>
    <m/>
    <m/>
    <s v="ADECUADA"/>
    <m/>
    <m/>
    <m/>
    <m/>
    <m/>
    <m/>
    <x v="1"/>
    <m/>
    <m/>
    <m/>
    <s v="FUNCIONAL"/>
    <m/>
    <m/>
    <m/>
    <m/>
    <m/>
    <m/>
    <m/>
    <s v="NO"/>
    <m/>
    <m/>
    <m/>
    <m/>
    <m/>
    <m/>
    <m/>
    <m/>
    <m/>
    <m/>
    <m/>
    <m/>
    <m/>
    <m/>
    <m/>
    <s v="503990946"/>
    <s v="FEMENINA"/>
    <s v="COSTA RICA"/>
    <m/>
    <d v="2022-08-16T00:00:00"/>
    <n v="0"/>
    <n v="1078"/>
    <n v="35.416837782340863"/>
    <n v="2.9514031485284051"/>
  </r>
  <r>
    <x v="2"/>
    <s v="UP2103 - HOSPITAL NACIONAL DE NIÑOS"/>
    <s v="DF.23.2022"/>
    <s v="HIGADO"/>
    <x v="0"/>
    <m/>
    <s v="O+"/>
    <n v="34755"/>
    <n v="27.66050650239562"/>
    <s v="CADAVÉRICO"/>
    <s v="MARIAM CELESTE"/>
    <s v="REYES"/>
    <s v="FERNANDEZ"/>
    <n v="209440488"/>
    <x v="145"/>
    <s v="FEMENINA"/>
    <d v="2011-05-06T00:00:00"/>
    <n v="11.468856947296372"/>
    <s v="O+"/>
    <n v="44760"/>
    <s v="Hepatocarcinoma"/>
    <n v="55"/>
    <s v="COSTA RICA"/>
    <s v="ALAJUELA"/>
    <s v="ALAJUELA"/>
    <s v="Alajuela"/>
    <m/>
    <m/>
    <m/>
    <m/>
    <m/>
    <s v="DELICADA"/>
    <m/>
    <m/>
    <m/>
    <m/>
    <m/>
    <m/>
    <x v="0"/>
    <d v="2023-06-30T00:00:00"/>
    <s v="Necrosis hemorrágica masiva del injerto"/>
    <m/>
    <s v="FUNCIONAL"/>
    <m/>
    <m/>
    <m/>
    <m/>
    <m/>
    <m/>
    <m/>
    <s v="NO"/>
    <m/>
    <m/>
    <m/>
    <m/>
    <m/>
    <m/>
    <m/>
    <m/>
    <m/>
    <m/>
    <m/>
    <m/>
    <m/>
    <m/>
    <m/>
    <s v="702340152"/>
    <s v="FEMENINA"/>
    <s v="COSTA RICA"/>
    <m/>
    <d v="2022-10-24T00:00:00"/>
    <n v="1"/>
    <n v="249"/>
    <n v="8.1806981519507183"/>
    <n v="0.68172484599589322"/>
  </r>
  <r>
    <x v="0"/>
    <m/>
    <s v="D.F.24.22"/>
    <s v="HIGADO"/>
    <x v="0"/>
    <m/>
    <s v="O+"/>
    <m/>
    <n v="122.839151266256"/>
    <s v="CADAVÉRICO"/>
    <s v="LUIS FERNANDO"/>
    <s v="CAMPOS"/>
    <s v="MONTES"/>
    <n v="106160788"/>
    <x v="146"/>
    <s v="MASCULINO"/>
    <d v="1963-10-30T00:00:00"/>
    <n v="59.008898015058179"/>
    <s v="B+"/>
    <m/>
    <s v="HCE"/>
    <n v="34"/>
    <s v="COSTA RICA"/>
    <s v="ALAJUELA"/>
    <s v="CENTRAL"/>
    <s v="ALAJUELA"/>
    <m/>
    <m/>
    <m/>
    <m/>
    <m/>
    <s v="fallecio"/>
    <m/>
    <m/>
    <m/>
    <m/>
    <m/>
    <m/>
    <x v="0"/>
    <d v="2022-11-03T00:00:00"/>
    <s v="trombosis"/>
    <m/>
    <s v="FUNCIONAL"/>
    <m/>
    <m/>
    <m/>
    <m/>
    <m/>
    <m/>
    <m/>
    <m/>
    <m/>
    <m/>
    <m/>
    <m/>
    <m/>
    <m/>
    <m/>
    <m/>
    <m/>
    <m/>
    <m/>
    <m/>
    <m/>
    <m/>
    <m/>
    <s v="207180432"/>
    <s v="FEMENINA"/>
    <s v="COSTA RICA"/>
    <m/>
    <d v="2022-11-02T00:00:00"/>
    <n v="1"/>
    <n v="1"/>
    <n v="3.2854209445585217E-2"/>
    <n v="2.7378507871321013E-3"/>
  </r>
  <r>
    <x v="0"/>
    <m/>
    <s v="D.F.25.22"/>
    <s v="HIGADO"/>
    <x v="0"/>
    <m/>
    <s v="B+"/>
    <m/>
    <n v="122.84736481861738"/>
    <s v="CADAVÉRICO"/>
    <s v="FROILAN DE JESUS"/>
    <s v="UMAÑA"/>
    <s v="ZAMORA"/>
    <n v="107050008"/>
    <x v="147"/>
    <s v="MASCULINO"/>
    <d v="1967-07-18T00:00:00"/>
    <n v="55.301848049281311"/>
    <s v="B+"/>
    <m/>
    <s v="ECV POR VIRUS HCV"/>
    <n v="37"/>
    <s v="COSTA RICA"/>
    <s v="ALAJUELA"/>
    <s v="SAN CARLOS"/>
    <s v="TIGRA"/>
    <m/>
    <m/>
    <m/>
    <m/>
    <m/>
    <m/>
    <m/>
    <m/>
    <m/>
    <m/>
    <m/>
    <m/>
    <x v="0"/>
    <d v="2022-12-31T00:00:00"/>
    <m/>
    <m/>
    <s v="FUNCIONAL"/>
    <m/>
    <m/>
    <m/>
    <m/>
    <m/>
    <m/>
    <m/>
    <m/>
    <m/>
    <m/>
    <m/>
    <m/>
    <m/>
    <m/>
    <m/>
    <m/>
    <m/>
    <m/>
    <m/>
    <m/>
    <m/>
    <m/>
    <m/>
    <s v="503710257"/>
    <s v="MASCULINO"/>
    <s v="COSTA RICA"/>
    <m/>
    <d v="2022-11-05T00:00:00"/>
    <n v="1"/>
    <n v="56"/>
    <n v="1.839835728952772"/>
    <n v="0.15331964407939766"/>
  </r>
  <r>
    <x v="0"/>
    <m/>
    <s v="D.F.26.22"/>
    <s v="HIGADO"/>
    <x v="0"/>
    <m/>
    <s v="B+"/>
    <m/>
    <n v="122.90485968514716"/>
    <s v="CADAVÉRICO"/>
    <s v="ABELARDO GERARDO DEL SOCORRO"/>
    <s v="GONZALEZ"/>
    <s v="PEREZ"/>
    <n v="106690589"/>
    <x v="148"/>
    <s v="MASCULINO"/>
    <d v="1965-11-26T00:00:00"/>
    <n v="56.999315537303218"/>
    <s v="B+"/>
    <m/>
    <s v="CIRROSIS HEPATICA, HBV OBSRVACION POR DILI"/>
    <n v="23"/>
    <s v="COSTA RICA"/>
    <s v="SAN JOSE"/>
    <s v="PEREZ ZELEDON"/>
    <s v="DANIEL FLORES"/>
    <m/>
    <m/>
    <m/>
    <m/>
    <m/>
    <s v="PACIENTE EN LA UTI"/>
    <m/>
    <m/>
    <m/>
    <m/>
    <m/>
    <m/>
    <x v="0"/>
    <d v="2023-01-10T00:00:00"/>
    <m/>
    <m/>
    <s v="FUNCIONAL"/>
    <m/>
    <m/>
    <m/>
    <m/>
    <m/>
    <m/>
    <m/>
    <m/>
    <m/>
    <m/>
    <m/>
    <m/>
    <m/>
    <m/>
    <m/>
    <m/>
    <m/>
    <m/>
    <m/>
    <m/>
    <m/>
    <m/>
    <m/>
    <s v="206230335"/>
    <s v="MASCULINO"/>
    <s v="COSTA RICA"/>
    <m/>
    <d v="2022-11-26T00:00:00"/>
    <n v="1"/>
    <n v="45"/>
    <n v="1.4784394250513346"/>
    <n v="0.12320328542094455"/>
  </r>
  <r>
    <x v="1"/>
    <s v="UP2101 - HOSPITAL RAFAEL A. CALDERÓN GUARDIA"/>
    <s v="DF.27.2022"/>
    <s v="HIGADO"/>
    <x v="0"/>
    <m/>
    <m/>
    <n v="31627"/>
    <n v="36.317590691307323"/>
    <s v="CADAVÉRICO"/>
    <s v="RUTH"/>
    <s v="ESTRADA"/>
    <s v="UREÑA"/>
    <n v="119670807"/>
    <x v="149"/>
    <s v="FEMENINA"/>
    <d v="2006-06-24T00:00:00"/>
    <n v="16.427104722792606"/>
    <s v="O+"/>
    <n v="44889.338888888888"/>
    <s v="ESTATUS 1 A / ENF DE WILSON"/>
    <n v="37"/>
    <s v="COSTA RICA"/>
    <s v="SAN JOSE"/>
    <s v="PEREZ ZELEDON"/>
    <s v="CAJON"/>
    <m/>
    <m/>
    <m/>
    <n v="10"/>
    <m/>
    <s v="VIVO"/>
    <s v="VIVO"/>
    <s v="VIVO"/>
    <s v="VIVO"/>
    <s v="NA"/>
    <s v="NA "/>
    <m/>
    <x v="1"/>
    <s v="NA"/>
    <s v="NA"/>
    <m/>
    <s v="FUNCIONAL"/>
    <m/>
    <m/>
    <m/>
    <m/>
    <s v="NO"/>
    <m/>
    <m/>
    <s v="NO"/>
    <m/>
    <m/>
    <m/>
    <m/>
    <m/>
    <m/>
    <m/>
    <m/>
    <m/>
    <m/>
    <m/>
    <m/>
    <m/>
    <m/>
    <m/>
    <n v="206230335"/>
    <s v="MASCULINO"/>
    <s v="COSTA RICA"/>
    <m/>
    <d v="2022-11-27T00:00:00"/>
    <n v="0"/>
    <n v="975"/>
    <n v="32.032854209445588"/>
    <n v="2.6694045174537986"/>
  </r>
  <r>
    <x v="0"/>
    <m/>
    <s v="D.F.28.22"/>
    <s v="HIGADO"/>
    <x v="0"/>
    <m/>
    <s v="A+"/>
    <m/>
    <n v="122.91854893908283"/>
    <s v="CADAVÉRICO"/>
    <s v="MARIO GERARDO"/>
    <s v="CESPEDES"/>
    <s v="SANCHEZ"/>
    <n v="108010001"/>
    <x v="150"/>
    <s v="MASCULINO"/>
    <d v="1967-04-29T00:00:00"/>
    <n v="55.592060232717316"/>
    <s v="A+"/>
    <m/>
    <s v="HEPATOCARCINOMA"/>
    <n v="34"/>
    <s v="COSTA RICA"/>
    <s v="SAN JOSE"/>
    <s v="CORONADO"/>
    <s v="SAN ISIDRO"/>
    <m/>
    <m/>
    <m/>
    <m/>
    <m/>
    <s v="bien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s v="701950352"/>
    <s v="MASCULINO"/>
    <s v="COSTA RICA"/>
    <m/>
    <d v="2022-12-01T00:00:00"/>
    <n v="0"/>
    <n v="971"/>
    <n v="31.901437371663246"/>
    <n v="2.6584531143052703"/>
  </r>
  <r>
    <x v="1"/>
    <s v="UP2101 - HOSPITAL RAFAEL A. CALDERÓN GUARDIA"/>
    <s v="DF.29.2022"/>
    <s v="HIGADO"/>
    <x v="0"/>
    <m/>
    <m/>
    <n v="38138"/>
    <n v="18.543463381245722"/>
    <s v="CADAVÉRICO"/>
    <s v="GREIVIN GILBERTO"/>
    <s v="SALAS"/>
    <s v="CASTILLO"/>
    <n v="104840959"/>
    <x v="151"/>
    <s v="MASCULINO"/>
    <d v="1957-03-16T00:00:00"/>
    <n v="65.752224503764552"/>
    <s v="B+"/>
    <n v="44565.643750000003"/>
    <s v="NASH"/>
    <n v="16"/>
    <s v="COSTA RICA"/>
    <s v="SAN JOSE"/>
    <s v="MORAVIA"/>
    <s v="SAN VICENTE"/>
    <m/>
    <m/>
    <m/>
    <n v="12"/>
    <m/>
    <s v="VIVO"/>
    <s v="VIVO"/>
    <s v="VIVO"/>
    <s v="VIVO"/>
    <s v="NA"/>
    <s v="NA "/>
    <m/>
    <x v="1"/>
    <s v="NA"/>
    <s v="NA"/>
    <m/>
    <s v="FUNCIONAL"/>
    <m/>
    <m/>
    <m/>
    <m/>
    <s v="NO"/>
    <m/>
    <m/>
    <s v="NO"/>
    <m/>
    <m/>
    <m/>
    <m/>
    <m/>
    <m/>
    <m/>
    <m/>
    <m/>
    <m/>
    <m/>
    <m/>
    <m/>
    <m/>
    <m/>
    <n v="604860773"/>
    <s v="MASCULINO"/>
    <s v="COSTA RICA"/>
    <m/>
    <d v="2022-12-16T00:00:00"/>
    <n v="0"/>
    <n v="956"/>
    <n v="31.408624229979466"/>
    <n v="2.6173853524982889"/>
  </r>
  <r>
    <x v="1"/>
    <s v="UP2101 - HOSPITAL RAFAEL A. CALDERÓN GUARDIA"/>
    <s v="DF.30.2022"/>
    <s v="HIGADO"/>
    <x v="0"/>
    <m/>
    <m/>
    <n v="34699"/>
    <n v="27.983572895277206"/>
    <s v="CADAVÉRICO"/>
    <s v="ENRIQUE JOSE"/>
    <s v="QUANT"/>
    <s v="CHONG"/>
    <n v="1560100891"/>
    <x v="152"/>
    <s v="MASCULINO"/>
    <d v="1956-08-19T00:00:00"/>
    <n v="66.349075975359341"/>
    <s v="O+"/>
    <n v="44420.444444444445"/>
    <s v="NASH"/>
    <n v="24"/>
    <s v="CHINA"/>
    <s v="SAN JOSE"/>
    <s v="MONTES DE OCA"/>
    <s v="SAN PEDRO"/>
    <m/>
    <m/>
    <m/>
    <n v="9"/>
    <m/>
    <s v="VIVO"/>
    <s v="VIVO"/>
    <s v="VIVO"/>
    <s v="VIVO"/>
    <s v="NA"/>
    <s v="NA "/>
    <m/>
    <x v="1"/>
    <s v="NA"/>
    <s v="NA"/>
    <m/>
    <s v="FUNCIONAL"/>
    <m/>
    <m/>
    <m/>
    <m/>
    <s v="NO"/>
    <m/>
    <m/>
    <s v="NO"/>
    <m/>
    <m/>
    <m/>
    <m/>
    <m/>
    <m/>
    <m/>
    <m/>
    <m/>
    <m/>
    <m/>
    <m/>
    <m/>
    <m/>
    <m/>
    <n v="702330385"/>
    <s v="MASCULINO"/>
    <s v="COSTA RICA"/>
    <m/>
    <d v="2022-12-25T00:00:00"/>
    <n v="0"/>
    <n v="947"/>
    <n v="31.112936344969199"/>
    <n v="2.5927446954140998"/>
  </r>
  <r>
    <x v="2"/>
    <s v="UP2103 - HOSPITAL NACIONAL DE NIÑOS"/>
    <n v="44929"/>
    <s v="HIGADO"/>
    <x v="0"/>
    <s v="NO"/>
    <s v="O+"/>
    <n v="42641"/>
    <n v="6.2642026009582477"/>
    <s v="CADAVÉRICO"/>
    <s v="MARIAM CELESTE"/>
    <s v="REYES"/>
    <s v="FERNANDEZ"/>
    <n v="209440488"/>
    <x v="153"/>
    <s v="FEMENINA"/>
    <d v="2011-05-06T00:00:00"/>
    <n v="11.663244353182751"/>
    <s v="O+"/>
    <n v="44929"/>
    <s v="FALLO DE INJERTO"/>
    <n v="25"/>
    <s v="COSTA RICA"/>
    <s v="ALAJUELA"/>
    <s v="ALAJUELA"/>
    <s v="Alajuela"/>
    <m/>
    <m/>
    <m/>
    <m/>
    <m/>
    <s v="DELICADA"/>
    <m/>
    <m/>
    <m/>
    <m/>
    <m/>
    <m/>
    <x v="0"/>
    <d v="2023-06-30T00:00:00"/>
    <s v="Necrosis hemorrágica masiva del injerto"/>
    <s v="NO"/>
    <s v="FUNCIONAL"/>
    <m/>
    <m/>
    <m/>
    <m/>
    <m/>
    <m/>
    <m/>
    <s v="NO"/>
    <m/>
    <m/>
    <m/>
    <m/>
    <m/>
    <m/>
    <m/>
    <m/>
    <m/>
    <m/>
    <m/>
    <m/>
    <m/>
    <m/>
    <m/>
    <s v="702340152"/>
    <s v="FEMENINA"/>
    <s v="COSTA RICA"/>
    <m/>
    <d v="2023-01-03T00:00:00"/>
    <n v="1"/>
    <n v="178"/>
    <n v="5.848049281314168"/>
    <n v="0.48733744010951402"/>
  </r>
  <r>
    <x v="0"/>
    <m/>
    <s v="DF.02.2023"/>
    <s v="HIGADO"/>
    <x v="0"/>
    <m/>
    <m/>
    <m/>
    <n v="123.0561259411362"/>
    <s v="CADAVÉRICO"/>
    <s v="CARLOS FRANCISCO"/>
    <s v="GUTIERREZ"/>
    <s v="BONILLA"/>
    <n v="105650607"/>
    <x v="154"/>
    <s v="MASCULINO"/>
    <d v="1961-09-19T00:00:00"/>
    <n v="61.336755646817245"/>
    <s v="A+"/>
    <m/>
    <s v="hepatocarcinoma"/>
    <n v="24"/>
    <s v="COSTA RICA"/>
    <s v="SAN JOSE"/>
    <s v="CENTRAL"/>
    <s v="CARMEN"/>
    <m/>
    <m/>
    <m/>
    <m/>
    <m/>
    <s v="bien paciente salio extubado de sala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m/>
    <m/>
    <m/>
    <m/>
    <d v="2023-01-20T06:00:00"/>
    <n v="0"/>
    <n v="920.75"/>
    <n v="30.250513347022586"/>
    <n v="2.5208761122518824"/>
  </r>
  <r>
    <x v="1"/>
    <s v="UP2101 - HOSPITAL RAFAEL A. CALDERÓN GUARDIA"/>
    <s v="DF.03.2023"/>
    <s v="HIGADO"/>
    <x v="0"/>
    <m/>
    <m/>
    <m/>
    <n v="123.08624229979466"/>
    <s v="CADAVÉRICO"/>
    <s v="GIOVANNI"/>
    <s v="SERRANO"/>
    <s v="MARIN"/>
    <n v="700910994"/>
    <x v="155"/>
    <s v="MASCULINO"/>
    <d v="1968-11-02T06:00:00"/>
    <n v="54.245037645448321"/>
    <s v="A+"/>
    <n v="44888.634027777778"/>
    <s v="NASH"/>
    <n v="15"/>
    <s v="COSTA RICA"/>
    <s v="CARTAGO"/>
    <s v="CARTAGO"/>
    <s v="AGUACALIENTE (SAN FRANCISCO)"/>
    <m/>
    <m/>
    <m/>
    <n v="9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m/>
    <m/>
    <m/>
    <m/>
    <d v="2023-01-31T06:00:00"/>
    <n v="0"/>
    <n v="909.75"/>
    <n v="29.88911704312115"/>
    <n v="2.4907597535934292"/>
  </r>
  <r>
    <x v="1"/>
    <s v="UP2101 - HOSPITAL RAFAEL A. CALDERÓN GUARDIA"/>
    <s v="DF.04.2023"/>
    <s v="HIGADO"/>
    <x v="0"/>
    <m/>
    <m/>
    <m/>
    <n v="123.11909650924025"/>
    <s v="CADAVÉRICO"/>
    <s v="SIGIFREDO DEL CARMEN"/>
    <s v="RODRIGUEZ"/>
    <s v="OVIEDO"/>
    <n v="105360599"/>
    <x v="156"/>
    <s v="MASCULINO"/>
    <d v="1960-08-04T06:00:00"/>
    <n v="62.5242984257358"/>
    <s v="O+"/>
    <n v="44852.402777777781"/>
    <s v="HEPATOCARCINOMA + OH"/>
    <n v="34"/>
    <s v="COSTA RICA"/>
    <s v="SAN JOSE"/>
    <s v="SAN JOSE"/>
    <s v="SAN SEBASTIAN"/>
    <m/>
    <m/>
    <m/>
    <n v="7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m/>
    <m/>
    <m/>
    <m/>
    <d v="2023-02-12T06:00:00"/>
    <n v="0"/>
    <n v="897.75"/>
    <n v="29.494866529774129"/>
    <n v="2.4579055441478439"/>
  </r>
  <r>
    <x v="2"/>
    <s v="UP2103 - HOSPITAL NACIONAL DE NIÑOS"/>
    <s v="DF.06.2023"/>
    <s v="HIGADO"/>
    <x v="0"/>
    <m/>
    <m/>
    <m/>
    <n v="123.16563997262149"/>
    <s v="CADAVÉRICO"/>
    <s v="ISAIAS"/>
    <s v="BONILLA"/>
    <s v="GAMAZO"/>
    <n v="403460181"/>
    <x v="157"/>
    <s v="MASCULINO"/>
    <d v="2022-08-26T00:00:00"/>
    <n v="0.51266255989048592"/>
    <s v="O+"/>
    <m/>
    <s v="Probable Atresia de vías biliares "/>
    <n v="15"/>
    <s v="COSTA RICA"/>
    <s v="HEREDIA"/>
    <s v="SAN JOAQUIN DE FLORES"/>
    <s v="SAN JOAQUIN DE FLORES"/>
    <m/>
    <m/>
    <m/>
    <n v="3"/>
    <m/>
    <s v="ADECUADA"/>
    <m/>
    <m/>
    <m/>
    <m/>
    <m/>
    <m/>
    <x v="0"/>
    <d v="2023-03-03T00:00:00"/>
    <s v="hemorragia pulmonar_x000a_bilateral extensa, CID, necrosis isquémica en más del 95 % del parénquima del injerto injerto hepático (trombosis de VP y AH)"/>
    <m/>
    <s v="FUNCIONAL"/>
    <m/>
    <m/>
    <m/>
    <m/>
    <m/>
    <m/>
    <m/>
    <s v="NO"/>
    <m/>
    <m/>
    <m/>
    <m/>
    <m/>
    <m/>
    <m/>
    <m/>
    <m/>
    <m/>
    <m/>
    <m/>
    <m/>
    <m/>
    <m/>
    <m/>
    <m/>
    <m/>
    <m/>
    <d v="2023-03-01T06:00:00"/>
    <n v="1"/>
    <n v="1.75"/>
    <n v="5.7494866529774126E-2"/>
    <n v="4.7912388774811769E-3"/>
  </r>
  <r>
    <x v="1"/>
    <s v="UP2101 - HOSPITAL RAFAEL A. CALDERÓN GUARDIA"/>
    <s v="DF.07.2023"/>
    <s v="HIGADO"/>
    <x v="0"/>
    <m/>
    <m/>
    <m/>
    <n v="123.20670773442848"/>
    <s v="CADAVÉRICO"/>
    <s v="JOSE RICARDO"/>
    <s v="SOLIS"/>
    <s v="ALPIZAR"/>
    <n v="105750945"/>
    <x v="158"/>
    <s v="MASCULINO"/>
    <d v="1962-03-30T06:00:00"/>
    <n v="60.960985626283367"/>
    <s v="AB+"/>
    <n v="44967.505555555559"/>
    <s v="NASH"/>
    <n v="18"/>
    <s v="COSTA RICA"/>
    <s v="SAN JOSE"/>
    <s v="MONTES DE OCA"/>
    <s v="SAN PEDRO"/>
    <m/>
    <m/>
    <m/>
    <n v="5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m/>
    <m/>
    <m/>
    <m/>
    <d v="2023-03-16T06:00:00"/>
    <n v="0"/>
    <n v="865.75"/>
    <n v="28.4435318275154"/>
    <n v="2.3702943189596168"/>
  </r>
  <r>
    <x v="1"/>
    <s v="UP2101 - HOSPITAL RAFAEL A. CALDERÓN GUARDIA"/>
    <s v="NA"/>
    <s v="HIGADO"/>
    <x v="1"/>
    <m/>
    <s v="A+"/>
    <n v="33206.25"/>
    <n v="32.364134154688571"/>
    <s v="RELACIONADO CONSANGUINEO"/>
    <s v="JEANNETTE"/>
    <s v="LORIO"/>
    <s v="DEL CASTILLO"/>
    <n v="800590278"/>
    <x v="159"/>
    <s v="FEMENINA"/>
    <d v="1962-06-29T06:00:00"/>
    <n v="60.78302532511978"/>
    <s v="A+"/>
    <n v="44802.414583333331"/>
    <s v="HEPATITIS AUTOINMUNE"/>
    <n v="17"/>
    <s v="COSTA RICA"/>
    <s v="SAN JOSE"/>
    <s v="SAN JOSE"/>
    <s v="SAN SEBASTIAN"/>
    <m/>
    <m/>
    <m/>
    <n v="6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n v="114480667"/>
    <s v="FEMENINA"/>
    <s v="COSTA RICA"/>
    <m/>
    <d v="2023-04-11T06:00:00"/>
    <n v="0"/>
    <n v="839.75"/>
    <n v="27.589322381930184"/>
    <n v="2.2991101984941822"/>
  </r>
  <r>
    <x v="1"/>
    <s v="UP2101 - HOSPITAL RAFAEL A. CALDERÓN GUARDIA"/>
    <s v="DF.08.2023"/>
    <s v="HIGADO"/>
    <x v="0"/>
    <m/>
    <m/>
    <m/>
    <n v="123.31622176591375"/>
    <s v="CADAVÉRICO"/>
    <s v="JULIO ALFREDO"/>
    <s v="PORRAS"/>
    <s v="MORA"/>
    <n v="111370504"/>
    <x v="160"/>
    <s v="MASCULINO"/>
    <d v="1982-04-19T06:00:00"/>
    <n v="41.015742642026012"/>
    <s v="O+"/>
    <n v="45008.427083333336"/>
    <s v="HEPATITIS AUTOINMUNE TRASLAPE"/>
    <n v="22"/>
    <s v="COSTA RICA"/>
    <s v="SAN JOSE"/>
    <s v="PURISCAL"/>
    <s v="SAN ANTONIO"/>
    <m/>
    <m/>
    <m/>
    <n v="6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m/>
    <m/>
    <m/>
    <m/>
    <d v="2023-04-25T06:00:00"/>
    <n v="0"/>
    <n v="825.75"/>
    <n v="27.129363449691994"/>
    <n v="2.2607802874743328"/>
  </r>
  <r>
    <x v="2"/>
    <s v="UP2103 - HOSPITAL NACIONAL DE NIÑOS"/>
    <m/>
    <s v="HIGADO"/>
    <x v="1"/>
    <m/>
    <s v="O+"/>
    <n v="32095.25"/>
    <n v="35.449691991786445"/>
    <s v="RELACIONADO CONSANGUINEO"/>
    <s v="KARIM GAEL"/>
    <s v="SALAS"/>
    <s v="CORDERO"/>
    <n v="123560686"/>
    <x v="161"/>
    <s v="MASCULINO"/>
    <d v="2020-07-21T00:00:00"/>
    <n v="2.7659137577002055"/>
    <s v="O+"/>
    <m/>
    <s v="TROMBOSIS VENA PORTA +HIPERTENSIÓN PORTAL INTRAHEPÁTICA SEVERA"/>
    <n v="-3"/>
    <s v="COSTA RICA"/>
    <s v="SAN JOSE"/>
    <s v="PEREZ ZELEDON"/>
    <s v="SAN ISIDRO DEL GENERAL"/>
    <m/>
    <m/>
    <m/>
    <n v="10"/>
    <m/>
    <s v="ADECUADA"/>
    <m/>
    <m/>
    <m/>
    <m/>
    <m/>
    <m/>
    <x v="1"/>
    <m/>
    <m/>
    <m/>
    <s v="FUNCIONAL"/>
    <m/>
    <m/>
    <m/>
    <m/>
    <m/>
    <m/>
    <m/>
    <s v="NO"/>
    <m/>
    <m/>
    <m/>
    <m/>
    <m/>
    <m/>
    <m/>
    <m/>
    <m/>
    <m/>
    <m/>
    <m/>
    <m/>
    <m/>
    <m/>
    <n v="113360604"/>
    <s v="MASCULINO"/>
    <s v="COSTA RICA"/>
    <m/>
    <d v="2023-04-27T06:00:00"/>
    <n v="0"/>
    <n v="823.75"/>
    <n v="27.06365503080082"/>
    <n v="2.2553045859000687"/>
  </r>
  <r>
    <x v="0"/>
    <m/>
    <s v="D.F.09.23"/>
    <s v="HIGADO"/>
    <x v="0"/>
    <m/>
    <m/>
    <m/>
    <n v="123.35728952772074"/>
    <s v="CADAVÉRICO"/>
    <s v="RIGOBERTO "/>
    <s v="MAYORGA "/>
    <s v="FAJARDO"/>
    <n v="504230919"/>
    <x v="162"/>
    <s v="MASCULINO"/>
    <d v="1998-09-20T06:00:00"/>
    <n v="24.635181382614647"/>
    <s v="A+"/>
    <m/>
    <s v="HEPATITIS AUTOINMUNE, CIRROSIS"/>
    <n v="25"/>
    <m/>
    <s v="GUANACASTE"/>
    <s v="NICOYA"/>
    <s v="BELEN DE NOSARITA"/>
    <m/>
    <m/>
    <m/>
    <m/>
    <m/>
    <s v="bien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m/>
    <m/>
    <m/>
    <m/>
    <d v="2023-05-10T06:00:00"/>
    <n v="0"/>
    <n v="810.75"/>
    <n v="26.636550308008214"/>
    <n v="2.2197125256673513"/>
  </r>
  <r>
    <x v="1"/>
    <s v="UP2101 - HOSPITAL RAFAEL A. CALDERÓN GUARDIA"/>
    <s v="DF.12.2023"/>
    <s v="HIGADO"/>
    <x v="0"/>
    <m/>
    <m/>
    <m/>
    <n v="123.46406570841889"/>
    <s v="CADAVÉRICO"/>
    <s v="EDGAR MARTIN"/>
    <s v="MADRIGAL"/>
    <s v="CASTRO"/>
    <n v="106570235"/>
    <x v="163"/>
    <s v="MASCULINO"/>
    <d v="1967-06-16T06:00:00"/>
    <n v="56.005475701574262"/>
    <s v="A-"/>
    <n v="44978.817361111112"/>
    <s v="HEPATOCARCINOMA + OH"/>
    <n v="28"/>
    <s v="COSTA RICA"/>
    <s v="SAN JOSE"/>
    <s v="SAN JOSE "/>
    <s v="ZAPOTE"/>
    <m/>
    <m/>
    <m/>
    <n v="6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m/>
    <m/>
    <m/>
    <m/>
    <d v="2023-06-18T06:00:00"/>
    <n v="0"/>
    <n v="771.75"/>
    <n v="25.355236139630389"/>
    <n v="2.1129363449691994"/>
  </r>
  <r>
    <x v="1"/>
    <s v="UP2101 - HOSPITAL RAFAEL A. CALDERÓN GUARDIA"/>
    <s v="DF.14.2023"/>
    <s v="HIGADO"/>
    <x v="0"/>
    <m/>
    <m/>
    <m/>
    <n v="123.53798767967146"/>
    <s v="CADAVÉRICO"/>
    <s v="CARLOS FRANCISCO"/>
    <s v="GUARDIA"/>
    <s v="MARIN"/>
    <n v="109570767"/>
    <x v="164"/>
    <s v="MASCULINO"/>
    <d v="1977-01-03T06:00:00"/>
    <n v="46.527036276522928"/>
    <s v="O+"/>
    <n v="45106.645138888889"/>
    <s v="CIRROSIS ALCOHOLICA"/>
    <n v="31"/>
    <s v="COSTA RICA"/>
    <s v="SAN JOSE"/>
    <s v="SAN JOSE"/>
    <s v="PAVAS"/>
    <m/>
    <m/>
    <m/>
    <n v="10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m/>
    <m/>
    <m/>
    <m/>
    <d v="2023-07-15T06:00:00"/>
    <n v="0"/>
    <n v="744.75"/>
    <n v="24.468172484599588"/>
    <n v="2.0390143737166326"/>
  </r>
  <r>
    <x v="1"/>
    <s v="UP2101 - HOSPITAL RAFAEL A. CALDERÓN GUARDIA"/>
    <s v="DF.15.2023"/>
    <s v="HIGADO"/>
    <x v="0"/>
    <m/>
    <m/>
    <m/>
    <n v="123.64202600958248"/>
    <s v="CADAVÉRICO"/>
    <s v="MARICELA ROCIO"/>
    <s v="MORALES"/>
    <s v="MATA"/>
    <n v="106980890"/>
    <x v="165"/>
    <s v="FEMENINA"/>
    <d v="1967-05-21T06:00:00"/>
    <n v="56.254620123203289"/>
    <s v="B-"/>
    <n v="45159.806944444441"/>
    <s v="DILI / NASH"/>
    <n v="25"/>
    <s v="COSTA RICA"/>
    <s v="CARTAGO"/>
    <s v="OREAMUNO"/>
    <s v="SAN RAFAEL "/>
    <m/>
    <m/>
    <m/>
    <n v="2"/>
    <m/>
    <s v="FALLECIDO"/>
    <s v="FALLECIDO"/>
    <s v="FALLECIDO"/>
    <s v="FALLECIDO"/>
    <s v="NA"/>
    <s v="NA "/>
    <m/>
    <x v="0"/>
    <d v="2023-08-24T06:00:00"/>
    <s v="SHOCK MIXTO,  VASOPLEJIA POST TRASPLANTE HEPATICO"/>
    <m/>
    <s v="FUNCIONAL"/>
    <m/>
    <m/>
    <m/>
    <m/>
    <s v="NO"/>
    <m/>
    <m/>
    <s v="NO"/>
    <m/>
    <m/>
    <m/>
    <m/>
    <m/>
    <m/>
    <m/>
    <m/>
    <m/>
    <m/>
    <m/>
    <m/>
    <m/>
    <m/>
    <m/>
    <m/>
    <m/>
    <m/>
    <m/>
    <d v="2023-08-22T06:00:00"/>
    <n v="1"/>
    <n v="2"/>
    <n v="6.5708418891170434E-2"/>
    <n v="5.4757015742642025E-3"/>
  </r>
  <r>
    <x v="2"/>
    <s v="UP2103 - HOSPITAL NACIONAL DE NIÑOS"/>
    <m/>
    <s v="HIGADO"/>
    <x v="1"/>
    <m/>
    <s v="O+"/>
    <n v="36074.25"/>
    <n v="24.881587953456538"/>
    <s v="RELACIONADO CONSANGUINEO"/>
    <s v="RAISSA ANGELINE"/>
    <s v="MONTES"/>
    <s v="GARCIA"/>
    <n v="306550854"/>
    <x v="166"/>
    <s v="FEMENINA"/>
    <d v="2020-01-26T00:00:00"/>
    <n v="3.5763175906913074"/>
    <s v="O+"/>
    <m/>
    <s v="Glucogenosis tipo II"/>
    <n v="17"/>
    <s v="COSTA RICA"/>
    <s v="CARTAGO"/>
    <s v="LA UNION"/>
    <s v="SAN DIEGO"/>
    <m/>
    <m/>
    <m/>
    <n v="10"/>
    <m/>
    <s v="ADECUADA"/>
    <m/>
    <m/>
    <m/>
    <m/>
    <m/>
    <m/>
    <x v="1"/>
    <m/>
    <m/>
    <m/>
    <s v="FUNCIONAL"/>
    <m/>
    <m/>
    <m/>
    <m/>
    <m/>
    <m/>
    <m/>
    <s v="NO"/>
    <m/>
    <m/>
    <m/>
    <m/>
    <m/>
    <m/>
    <m/>
    <m/>
    <m/>
    <m/>
    <m/>
    <m/>
    <m/>
    <m/>
    <m/>
    <n v="117220706"/>
    <s v="MASCULINO"/>
    <s v="COSTA RICA"/>
    <m/>
    <d v="2023-08-24T06:00:00"/>
    <n v="0"/>
    <n v="704.75"/>
    <n v="23.154004106776181"/>
    <n v="1.9295003422313484"/>
  </r>
  <r>
    <x v="1"/>
    <s v="UP2101 - HOSPITAL RAFAEL A. CALDERÓN GUARDIA"/>
    <s v="DF.17.2023 HEP 03/10/2023"/>
    <s v="HIGADO"/>
    <x v="0"/>
    <m/>
    <m/>
    <m/>
    <n v="123.75975359342915"/>
    <s v="CADAVÉRICO"/>
    <s v="IRENE SALOME"/>
    <s v="AZOFEIFA"/>
    <s v="ALTAMIRANO"/>
    <n v="118730796"/>
    <x v="167"/>
    <s v="FEMENINA"/>
    <d v="2003-04-25T06:00:00"/>
    <n v="20.4435318275154"/>
    <s v="O-"/>
    <n v="45174.349305555559"/>
    <s v="ESTATUS 1 A / ENF DE WILSON"/>
    <n v="36"/>
    <s v="COSTA RICA"/>
    <s v="CARTAGO"/>
    <s v="CARTAGO"/>
    <s v="ORIENTAL"/>
    <m/>
    <m/>
    <m/>
    <n v="37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m/>
    <m/>
    <m/>
    <m/>
    <d v="2023-10-04T06:00:00"/>
    <n v="0"/>
    <n v="663.75"/>
    <n v="21.806981519507186"/>
    <n v="1.8172484599589322"/>
  </r>
  <r>
    <x v="2"/>
    <s v="UP2103 - HOSPITAL NACIONAL DE NIÑOS"/>
    <m/>
    <s v="HIGADO"/>
    <x v="1"/>
    <m/>
    <s v="O+"/>
    <n v="31755.25"/>
    <n v="36.917180013689254"/>
    <s v="EMOCIONALMENTE RELACIONADO"/>
    <s v="YEIRON ALEXIS"/>
    <s v="CAMACHO"/>
    <s v="MARTINEZ"/>
    <n v="122860483"/>
    <x v="168"/>
    <s v="MASCULINO"/>
    <d v="2017-08-01T00:00:00"/>
    <n v="6.2731006160164275"/>
    <s v="O+"/>
    <m/>
    <s v="HEPATOPATÍA CRÓNICA EVOLUCIONADA POR ATRESIA DE VÍAS BILIARES"/>
    <n v="21"/>
    <s v="COSTA RICA"/>
    <s v="SAN JOSE"/>
    <s v="TIBAS"/>
    <s v="LEON XIII"/>
    <m/>
    <m/>
    <m/>
    <n v="27"/>
    <m/>
    <s v="ADECUADA"/>
    <m/>
    <m/>
    <m/>
    <m/>
    <m/>
    <m/>
    <x v="0"/>
    <d v="2023-12-05T00:00:00"/>
    <s v="FALLO MULTIORGÁNICO. TROMBOSIS PARCIAL DE VENA PORTA"/>
    <m/>
    <s v="FUNCIONAL"/>
    <m/>
    <m/>
    <m/>
    <m/>
    <m/>
    <m/>
    <m/>
    <s v="SI"/>
    <m/>
    <m/>
    <m/>
    <m/>
    <m/>
    <m/>
    <m/>
    <m/>
    <m/>
    <m/>
    <m/>
    <m/>
    <m/>
    <m/>
    <m/>
    <n v="603600063"/>
    <s v="MASCULINO"/>
    <s v="COSTA RICA"/>
    <m/>
    <d v="2023-11-09T06:00:00"/>
    <n v="1"/>
    <n v="25.75"/>
    <n v="0.8459958932238193"/>
    <n v="7.0499657768651608E-2"/>
  </r>
  <r>
    <x v="1"/>
    <s v="UP2101 - HOSPITAL RAFAEL A. CALDERÓN GUARDIA"/>
    <s v="DF. 21.2023 HSJD"/>
    <s v="HIGADO"/>
    <x v="0"/>
    <m/>
    <m/>
    <m/>
    <n v="123.88569472963724"/>
    <s v="CADAVÉRICO"/>
    <s v="OSCAR LUIS DE LA TRINIDAD"/>
    <s v="HERNANDEZ"/>
    <s v="BARQUERO"/>
    <n v="401280705"/>
    <x v="169"/>
    <s v="MASCULINO"/>
    <d v="1962-02-03T06:00:00"/>
    <n v="61.790554414784395"/>
    <s v="O+"/>
    <n v="44999.530555555553"/>
    <s v="HEPATOCARCINOMA + NASH"/>
    <n v="31"/>
    <s v="COSTA RICA"/>
    <s v="HEREDIA"/>
    <s v="HEREDIA"/>
    <s v="MERCEDES"/>
    <m/>
    <m/>
    <m/>
    <n v="8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m/>
    <m/>
    <m/>
    <m/>
    <d v="2023-11-19T06:00:00"/>
    <n v="0"/>
    <n v="617.75"/>
    <n v="20.295687885010267"/>
    <n v="1.6913073237508556"/>
  </r>
  <r>
    <x v="1"/>
    <s v="UP2101 - HOSPITAL RAFAEL A. CALDERÓN GUARDIA"/>
    <s v="DF..22.2023"/>
    <s v="HIGADO"/>
    <x v="0"/>
    <m/>
    <m/>
    <m/>
    <n v="123.89938398357289"/>
    <s v="CADAVÉRICO"/>
    <s v="MARIA ISABEL DE LAS PIEDADES"/>
    <s v="ESQUIVEL"/>
    <s v="AGUILAR"/>
    <n v="601470977"/>
    <x v="170"/>
    <s v="FEMENINA"/>
    <d v="1959-11-05T06:00:00"/>
    <n v="64.05201916495551"/>
    <s v="B+"/>
    <n v="44699.907638888886"/>
    <s v="CIRROSIS BILIAR PRIMARIA"/>
    <n v="16"/>
    <s v="COSTA RICA"/>
    <s v="ALAJUELA"/>
    <s v="SAN RAMON"/>
    <s v="SAN JUAN"/>
    <m/>
    <m/>
    <m/>
    <n v="10"/>
    <m/>
    <s v="VIVO"/>
    <s v="VIVO"/>
    <s v="VIVO"/>
    <s v="VIVO"/>
    <s v="NA"/>
    <s v="NA "/>
    <m/>
    <x v="0"/>
    <d v="2024-12-27T00:00:00"/>
    <s v="NA"/>
    <m/>
    <s v="FUNCIONAL"/>
    <m/>
    <m/>
    <m/>
    <m/>
    <s v="NO"/>
    <m/>
    <m/>
    <s v="NO"/>
    <m/>
    <m/>
    <m/>
    <m/>
    <m/>
    <m/>
    <m/>
    <m/>
    <m/>
    <m/>
    <m/>
    <m/>
    <m/>
    <m/>
    <m/>
    <m/>
    <m/>
    <m/>
    <m/>
    <d v="2023-11-24T06:00:00"/>
    <n v="1"/>
    <n v="398.75"/>
    <n v="13.100616016427105"/>
    <n v="1.0917180013689254"/>
  </r>
  <r>
    <x v="1"/>
    <s v="UP2101 - HOSPITAL RAFAEL A. CALDERÓN GUARDIA"/>
    <s v="DF..23.2023 HSJD"/>
    <s v="HIGADO"/>
    <x v="0"/>
    <m/>
    <m/>
    <m/>
    <n v="123.93702943189597"/>
    <s v="CADAVÉRICO"/>
    <s v="NAOMY ISABEL "/>
    <s v="RODRIGUEZ "/>
    <s v="DELGADO"/>
    <n v="305710534"/>
    <x v="171"/>
    <s v="FEMENINA"/>
    <d v="2007-04-13T00:00:00"/>
    <n v="16.654346338124572"/>
    <s v="A+"/>
    <n v="45262.854861111111"/>
    <s v="ESTATUS 1 A PEDIATRICO / ENF DE WILSON"/>
    <n v="25"/>
    <s v="COSTA RICA"/>
    <s v="CARTAGO"/>
    <s v="CARTAGO"/>
    <s v="AGUA CALIENTE"/>
    <m/>
    <m/>
    <m/>
    <n v="6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m/>
    <m/>
    <m/>
    <m/>
    <d v="2023-12-08T00:00:00"/>
    <n v="0"/>
    <n v="599"/>
    <n v="19.679671457905545"/>
    <n v="1.6399726214921286"/>
  </r>
  <r>
    <x v="2"/>
    <s v="UP2103 - HOSPITAL NACIONAL DE NIÑOS"/>
    <m/>
    <s v="HIGADO"/>
    <x v="1"/>
    <m/>
    <s v="O+"/>
    <n v="34113.25"/>
    <n v="30.543463381245722"/>
    <s v="RELACIONADO CONSANGUINEO"/>
    <s v="EVONNY ZHARICK"/>
    <s v="CHAVES"/>
    <s v="CHACON"/>
    <n v="209400260"/>
    <x v="172"/>
    <s v="FEMENINA"/>
    <d v="2010-12-18T00:00:00"/>
    <n v="12.975359342915811"/>
    <s v="O+"/>
    <m/>
    <s v="HEPATOCARCINOMA"/>
    <n v="28"/>
    <s v="COSTA RICA"/>
    <s v="ALAJUELA"/>
    <s v="SAN CARLOS"/>
    <s v="VENECIA"/>
    <m/>
    <m/>
    <m/>
    <n v="20"/>
    <m/>
    <s v="ADECUADA"/>
    <m/>
    <m/>
    <m/>
    <m/>
    <m/>
    <m/>
    <x v="0"/>
    <d v="2024-01-17T00:00:00"/>
    <m/>
    <m/>
    <s v="FUNCIONAL"/>
    <m/>
    <m/>
    <m/>
    <m/>
    <m/>
    <m/>
    <m/>
    <s v="NO"/>
    <m/>
    <m/>
    <m/>
    <m/>
    <m/>
    <m/>
    <m/>
    <m/>
    <m/>
    <m/>
    <m/>
    <m/>
    <m/>
    <m/>
    <m/>
    <n v="207140262"/>
    <s v="FEMENINA"/>
    <s v="COSTA RICA"/>
    <m/>
    <d v="2023-12-09T06:00:00"/>
    <n v="1"/>
    <n v="38.75"/>
    <n v="1.2731006160164271"/>
    <n v="0.10609171800136892"/>
  </r>
  <r>
    <x v="0"/>
    <m/>
    <s v="DF.24.23"/>
    <s v="HIGADO"/>
    <x v="0"/>
    <m/>
    <m/>
    <m/>
    <n v="123.96988364134155"/>
    <s v="CADAVÉRICO"/>
    <s v="NORBERTO WILLIAM"/>
    <s v="BARRANTES"/>
    <s v="QUESADA"/>
    <n v="204100347"/>
    <x v="173"/>
    <s v="MASCULINO"/>
    <d v="1965-09-24T00:00:00"/>
    <n v="58.236824093086923"/>
    <s v="A+"/>
    <m/>
    <s v="hepatopata cronica en fase cirrotica compensada por nash+ OH con hipertesion portal e hiperesplenismo"/>
    <n v="14"/>
    <s v="COSTA RICA"/>
    <s v="ALAJUELA"/>
    <s v="GRECIA"/>
    <s v="SAN JOSE"/>
    <m/>
    <m/>
    <m/>
    <m/>
    <m/>
    <s v="BIEN 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m/>
    <m/>
    <m/>
    <m/>
    <d v="2023-12-20T00:00:00"/>
    <n v="0"/>
    <n v="587"/>
    <n v="19.285420944558521"/>
    <n v="1.6071184120465434"/>
  </r>
  <r>
    <x v="1"/>
    <s v="UP2101 - HOSPITAL RAFAEL A. CALDERÓN GUARDIA"/>
    <s v="DF.02.2024 HCG 05/01/2024"/>
    <s v="HIGADO"/>
    <x v="0"/>
    <s v="NO"/>
    <s v="O+"/>
    <n v="34389"/>
    <n v="29.865160848733744"/>
    <s v="CADAVÉRICO"/>
    <s v="ADRIAN"/>
    <s v="MARTINEZ"/>
    <s v="VILLALOBOS"/>
    <n v="502300607"/>
    <x v="174"/>
    <s v="MASCULINO"/>
    <d v="1966-03-18T06:00:00"/>
    <n v="57.804243668720055"/>
    <s v="O+"/>
    <n v="45051.405555555553"/>
    <s v="HEPATOCARCINOMA  CRIPTOGENICA VS NASH"/>
    <n v="28"/>
    <s v="COSTA RICA"/>
    <s v="SAN JOSE"/>
    <s v="TIBAS"/>
    <s v="COLIMA"/>
    <m/>
    <m/>
    <m/>
    <n v="6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n v="1940107555"/>
    <s v="MASCULINO"/>
    <s v="NICARAGUA"/>
    <m/>
    <d v="2024-01-06T06:00:00"/>
    <n v="0"/>
    <n v="569.75"/>
    <n v="18.718685831622178"/>
    <n v="1.5598904859685148"/>
  </r>
  <r>
    <x v="1"/>
    <s v="UP2101 - HOSPITAL RAFAEL A. CALDERÓN GUARDIA"/>
    <m/>
    <s v="HIGADO"/>
    <x v="1"/>
    <s v="NO"/>
    <s v="O+"/>
    <n v="37324.25"/>
    <n v="21.856262833675565"/>
    <s v="RELACIONADO CONSANGUINEO"/>
    <s v="ANA LORENA"/>
    <s v="ZAMORA"/>
    <s v="GONZALEZ"/>
    <n v="601460756"/>
    <x v="175"/>
    <s v="FEMENINA"/>
    <d v="1959-07-17T06:00:00"/>
    <n v="64.50102669404518"/>
    <s v="O+"/>
    <n v="45253.683333333334"/>
    <s v="HEPATOCARCINOMA + HEPATITIS AUTOINMUNE"/>
    <n v="9"/>
    <s v="COSTA RICA"/>
    <s v="SAN JOSE"/>
    <s v="MORAVIA"/>
    <s v="SAN VICENTE"/>
    <m/>
    <m/>
    <m/>
    <n v="13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n v="118440408"/>
    <s v="MASCULINO"/>
    <s v="COSTA RICA"/>
    <s v="SOBRINO"/>
    <d v="2024-01-16T06:00:00"/>
    <n v="0"/>
    <n v="559.75"/>
    <n v="18.390143737166323"/>
    <n v="1.5325119780971936"/>
  </r>
  <r>
    <x v="1"/>
    <s v="UP2101 - HOSPITAL RAFAEL A. CALDERÓN GUARDIA"/>
    <s v="DF.03.2024 HSJD"/>
    <s v="HIGADO"/>
    <x v="0"/>
    <s v="NO"/>
    <s v="O+"/>
    <n v="30966"/>
    <n v="39.291581108829568"/>
    <s v="CADAVÉRICO"/>
    <s v="JORGE EDUARDO"/>
    <s v="GRANADOS"/>
    <s v="RIVERA"/>
    <n v="302920146"/>
    <x v="176"/>
    <s v="MASCULINO"/>
    <d v="1967-09-03T06:00:00"/>
    <n v="56.396988364134153"/>
    <s v="O+"/>
    <n v="45183.447222222225"/>
    <s v="HEPATOCARCINOMA + NASH"/>
    <n v="28"/>
    <s v="COSTA RICA"/>
    <s v="PUNTARENAS"/>
    <s v="COTO BRUS"/>
    <s v="SAN VITO"/>
    <m/>
    <m/>
    <m/>
    <n v="7"/>
    <m/>
    <s v="VIVO"/>
    <s v="FALLECIDO"/>
    <s v="FALLECIDO"/>
    <s v="FALLECIDO"/>
    <s v="NA"/>
    <s v="NA "/>
    <m/>
    <x v="0"/>
    <d v="2024-02-07T06:00:00"/>
    <s v="FALLA MULTIORGANICA / COVID"/>
    <m/>
    <s v="FUNCIONAL"/>
    <m/>
    <m/>
    <m/>
    <m/>
    <s v="NO"/>
    <m/>
    <m/>
    <s v="NO"/>
    <m/>
    <m/>
    <m/>
    <m/>
    <m/>
    <m/>
    <m/>
    <m/>
    <m/>
    <m/>
    <m/>
    <m/>
    <m/>
    <m/>
    <m/>
    <n v="112310677"/>
    <s v="FEMENINA"/>
    <s v="COSTA RICA"/>
    <m/>
    <d v="2024-01-26T06:00:00"/>
    <n v="1"/>
    <n v="12"/>
    <n v="0.3942505133470226"/>
    <n v="3.2854209445585217E-2"/>
  </r>
  <r>
    <x v="1"/>
    <s v="UP2101 - HOSPITAL RAFAEL A. CALDERÓN GUARDIA"/>
    <s v="DF.04.2024 HCG"/>
    <s v="HIGADO"/>
    <x v="0"/>
    <s v="NO"/>
    <s v="O+"/>
    <n v="35542"/>
    <n v="26.768651608487339"/>
    <s v="CADAVÉRICO"/>
    <s v="MARIO ALBERTO DEL CARMEN"/>
    <s v="CALVO"/>
    <s v="SOTO"/>
    <n v="106070811"/>
    <x v="177"/>
    <s v="MASCULINO"/>
    <d v="1963-07-09T06:00:00"/>
    <n v="60.555783709787818"/>
    <s v="O+"/>
    <n v="45279.322916666664"/>
    <s v="HEPATOCARCINOMA + OH"/>
    <n v="24"/>
    <s v="COSTA RICA"/>
    <s v="SAN JOSE"/>
    <s v="ALAJUELITA"/>
    <s v="ALAJUELITA"/>
    <m/>
    <m/>
    <m/>
    <n v="9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n v="116740380"/>
    <s v="MASCULINO"/>
    <s v="COSTA RICA"/>
    <m/>
    <d v="2024-01-28T06:00:00"/>
    <n v="0"/>
    <n v="547.75"/>
    <n v="17.995893223819301"/>
    <n v="1.4996577686516084"/>
  </r>
  <r>
    <x v="1"/>
    <s v="UP2101 - HOSPITAL RAFAEL A. CALDERÓN GUARDIA"/>
    <s v="DF.05.2024 HSJD "/>
    <s v="HIGADO"/>
    <x v="0"/>
    <s v="SI"/>
    <s v="A+"/>
    <n v="28825"/>
    <n v="45.164271047227928"/>
    <s v="CADAVÉRICO"/>
    <s v="OSCAR GERARDO"/>
    <s v="AGUILAR"/>
    <s v="GOMEZ"/>
    <n v="303040275"/>
    <x v="178"/>
    <s v="MASCULINO"/>
    <d v="1969-07-23T06:00:00"/>
    <n v="54.521560574948666"/>
    <s v="A+"/>
    <n v="45280.756944444445"/>
    <s v="CIRROSIS ALCOHOLICA + NASH"/>
    <n v="22"/>
    <s v="COSTA RICA"/>
    <s v="CARTAGO"/>
    <s v="PARAISO"/>
    <s v="PARAISO"/>
    <m/>
    <m/>
    <m/>
    <n v="22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n v="2780103503"/>
    <s v="FEMENINA"/>
    <s v="BRASIL"/>
    <m/>
    <d v="2024-01-30T06:00:00"/>
    <n v="0"/>
    <n v="545.75"/>
    <n v="17.930184804928132"/>
    <n v="1.4941820670773442"/>
  </r>
  <r>
    <x v="1"/>
    <s v="UP2101 - HOSPITAL RAFAEL A. CALDERÓN GUARDIA"/>
    <s v="DF.07.2024 HMP"/>
    <s v="HIGADO"/>
    <x v="0"/>
    <s v="NO"/>
    <s v="O+"/>
    <n v="29811"/>
    <n v="42.486652977412732"/>
    <s v="CADAVÉRICO"/>
    <s v="MIRIAM"/>
    <s v="GARCIA"/>
    <s v="MENCHU"/>
    <n v="800670136"/>
    <x v="179"/>
    <s v="FEMENINA"/>
    <d v="1958-11-21T06:00:00"/>
    <n v="65.212867898699514"/>
    <s v="O+"/>
    <n v="44918.628472222219"/>
    <s v="HEPATOCARCINOMA + NASH"/>
    <n v="24"/>
    <s v="GUATEMALA"/>
    <s v="SAN JOSE"/>
    <s v="SAN JOSE"/>
    <s v="URUCA"/>
    <m/>
    <m/>
    <m/>
    <n v="8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n v="111110631"/>
    <s v="MASCULINO"/>
    <s v="COSTA RICA"/>
    <m/>
    <d v="2024-02-07T06:00:00"/>
    <n v="0"/>
    <n v="537.75"/>
    <n v="17.66735112936345"/>
    <n v="1.4722792607802875"/>
  </r>
  <r>
    <x v="1"/>
    <s v="UP2101 - HOSPITAL RAFAEL A. CALDERÓN GUARDIA"/>
    <s v="DF.10.2024 HSJD"/>
    <s v="HIGADO"/>
    <x v="0"/>
    <s v="NO"/>
    <s v="O+"/>
    <n v="30520"/>
    <n v="40.663244353182755"/>
    <s v="CADAVÉRICO"/>
    <s v="ISABEL MARLENE DEL CARMEN"/>
    <s v="PORTUGUEZ"/>
    <s v="BRENES"/>
    <n v="302430957"/>
    <x v="180"/>
    <s v="FEMENINA"/>
    <d v="1960-11-09T06:00:00"/>
    <n v="63.362080766598218"/>
    <s v="O+"/>
    <n v="45337.470138888886"/>
    <s v="CIRROSIS CRIPTOGENICA"/>
    <n v="22"/>
    <s v="COSTA RICA"/>
    <s v="CARTAGO"/>
    <s v="OREAMUNO"/>
    <s v="COT"/>
    <m/>
    <m/>
    <m/>
    <n v="5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n v="111790146"/>
    <s v="FEMENINA"/>
    <s v="COSTA RICA"/>
    <m/>
    <d v="2024-03-21T06:00:00"/>
    <n v="0"/>
    <n v="494.75"/>
    <n v="16.254620123203285"/>
    <n v="1.3545516769336072"/>
  </r>
  <r>
    <x v="1"/>
    <s v="UP2101 - HOSPITAL RAFAEL A. CALDERÓN GUARDIA"/>
    <s v="DF.11.2024 HM"/>
    <s v="HIGADO"/>
    <x v="0"/>
    <s v="NO"/>
    <s v="O+"/>
    <n v="26142"/>
    <n v="52.66050650239562"/>
    <s v="CADAVÉRICO"/>
    <s v="RONALD VINICIO"/>
    <s v="CUBERO"/>
    <s v="MENA"/>
    <n v="303050609"/>
    <x v="181"/>
    <s v="MASCULINO"/>
    <d v="1969-11-15T06:00:00"/>
    <n v="54.357289527720738"/>
    <s v="O+"/>
    <n v="44754.998611111114"/>
    <s v="CIRROSIS CRIPTOGÉNICA"/>
    <n v="23"/>
    <s v="COSTA RICA"/>
    <s v="SAN JOSE"/>
    <s v="SANTA ANA"/>
    <s v="PIEDADES"/>
    <m/>
    <m/>
    <m/>
    <n v="7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n v="17125091"/>
    <s v="MASCULINO"/>
    <s v="NICARAGUA"/>
    <m/>
    <d v="2024-03-25T06:00:00"/>
    <n v="0"/>
    <n v="490.75"/>
    <n v="16.123203285420946"/>
    <n v="1.3436002737850787"/>
  </r>
  <r>
    <x v="0"/>
    <s v="UP2104 - HOSPITAL MÉXICO"/>
    <s v="DF.12.24"/>
    <s v="HIGADO"/>
    <x v="0"/>
    <s v="NO"/>
    <s v="A+"/>
    <n v="39706"/>
    <n v="15.526351813826146"/>
    <s v="CADAVÉRICO"/>
    <s v="LUIS RUBEN"/>
    <s v="CAMACHO"/>
    <s v="CAMACHO"/>
    <n v="203810539"/>
    <x v="182"/>
    <s v="MASCULINO"/>
    <d v="1962-01-08T00:00:00"/>
    <n v="62.212183436002739"/>
    <s v="A+"/>
    <m/>
    <s v="HCE X OH + NASH"/>
    <n v="9"/>
    <s v="COSTA RICA"/>
    <s v="ALAJUELA"/>
    <s v="CENTRAL"/>
    <s v="SAN JOSE"/>
    <m/>
    <m/>
    <m/>
    <m/>
    <m/>
    <s v="bien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n v="120340940"/>
    <s v="MASCULINO"/>
    <s v="COSTA RICA"/>
    <m/>
    <d v="2024-03-26T00:00:00"/>
    <n v="0"/>
    <n v="490"/>
    <n v="16.098562628336754"/>
    <n v="1.3415468856947297"/>
  </r>
  <r>
    <x v="1"/>
    <s v="UP2101 - HOSPITAL RAFAEL A. CALDERÓN GUARDIA"/>
    <s v="DF.13.2024 HCG"/>
    <s v="HIGADO"/>
    <x v="0"/>
    <s v="NO"/>
    <s v="A+"/>
    <n v="34459"/>
    <n v="30.056125941136209"/>
    <s v="CADAVÉRICO"/>
    <s v="GREGORIO"/>
    <s v="MUSMANNI"/>
    <s v="QUINTANA"/>
    <n v="106260267"/>
    <x v="183"/>
    <s v="MASCULINO"/>
    <d v="1964-04-17T00:00:00"/>
    <n v="60.10403832991102"/>
    <s v="A+"/>
    <n v="45268.083333333336"/>
    <s v="HEPATOCARCINOMA + NASH"/>
    <n v="28"/>
    <s v="COSTA RICA"/>
    <s v="SAN JOSE"/>
    <s v="SANTA ANA"/>
    <s v="SANTA ANA"/>
    <m/>
    <m/>
    <m/>
    <n v="6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n v="115690348"/>
    <s v="MASCULINO"/>
    <s v="COSTA RICA"/>
    <m/>
    <d v="2024-05-25T00:00:00"/>
    <n v="0"/>
    <n v="430"/>
    <n v="14.127310061601642"/>
    <n v="1.1772758384668036"/>
  </r>
  <r>
    <x v="1"/>
    <s v="UP2101 - HOSPITAL RAFAEL A. CALDERÓN GUARDIA"/>
    <s v="DF.14.2024 08 JUNIO HM"/>
    <s v="HIGADO"/>
    <x v="0"/>
    <s v="NO"/>
    <s v="O+"/>
    <n v="31328"/>
    <n v="38.670088980150581"/>
    <s v="CADAVÉRICO"/>
    <s v="ALICIA MARIA"/>
    <s v="GONZALEZ"/>
    <s v="CARRANZA"/>
    <n v="108980167"/>
    <x v="184"/>
    <s v="FEMENINA"/>
    <d v="1974-11-23T06:00:00"/>
    <n v="49.544147843942504"/>
    <s v="O+"/>
    <n v="42005"/>
    <s v="HEPATOCARCINOMA + CBP"/>
    <n v="28"/>
    <s v="COSTA RICA"/>
    <s v="ALAJUELA"/>
    <s v="LOS CHILES"/>
    <s v="SAN JORGE"/>
    <m/>
    <m/>
    <m/>
    <n v="6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n v="112560769"/>
    <s v="FEMENINA"/>
    <s v="COSTA RICA"/>
    <m/>
    <d v="2024-06-09T06:00:00"/>
    <n v="0"/>
    <n v="414.75"/>
    <n v="13.626283367556468"/>
    <n v="1.1355236139630389"/>
  </r>
  <r>
    <x v="1"/>
    <s v="UP2101 - HOSPITAL RAFAEL A. CALDERÓN GUARDIA"/>
    <s v="DF.15.2024 10 JUNIO HSJD"/>
    <s v="HIGADO"/>
    <x v="0"/>
    <s v="NO"/>
    <s v="O+"/>
    <n v="32320"/>
    <n v="35.959616700889804"/>
    <s v="CADAVÉRICO"/>
    <s v="MARVIN CORONADO"/>
    <s v="MARIN"/>
    <s v="PORRAS"/>
    <n v="601720936"/>
    <x v="185"/>
    <s v="MASCULINO"/>
    <d v="1963-03-20T06:00:00"/>
    <n v="61.229295003422315"/>
    <s v="AB+"/>
    <n v="45302.529861111114"/>
    <s v="HEPATOCARCINOMA + VHB + OH"/>
    <n v="28"/>
    <s v="COSTA RICA"/>
    <s v="PUNTARENAS"/>
    <s v="COTO BRUS"/>
    <s v="SAN VITO"/>
    <m/>
    <m/>
    <m/>
    <n v="6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n v="603720543"/>
    <s v="MASCULINO"/>
    <s v="COSTA RICA"/>
    <m/>
    <d v="2024-06-11T06:00:00"/>
    <n v="0"/>
    <n v="412.75"/>
    <n v="13.560574948665298"/>
    <n v="1.1300479123887748"/>
  </r>
  <r>
    <x v="1"/>
    <s v="UP2101 - HOSPITAL RAFAEL A. CALDERÓN GUARDIA"/>
    <s v="DF.17.2024 HCG"/>
    <s v="HIGADO"/>
    <x v="0"/>
    <s v="NO"/>
    <s v="B+"/>
    <n v="31693"/>
    <n v="37.713894592744694"/>
    <s v="CADAVÉRICO"/>
    <s v="RONALD FELIPE"/>
    <s v="ROJAS"/>
    <s v="LUNA"/>
    <n v="303060935"/>
    <x v="186"/>
    <s v="MASCULINO"/>
    <d v="1970-02-06T00:00:00"/>
    <n v="54.381930184804929"/>
    <s v="B+"/>
    <n v="45063.53402777778"/>
    <s v="HEPATOCARFCINOMA + NASH"/>
    <n v="28"/>
    <s v="COSTA RICA"/>
    <s v="CARTAGO"/>
    <s v="CARTAGO"/>
    <s v="QUEBRADILLA"/>
    <m/>
    <m/>
    <m/>
    <n v="10"/>
    <m/>
    <s v="VIVO"/>
    <s v="VIVO"/>
    <s v="VIVO"/>
    <s v="VIVO"/>
    <s v="NA"/>
    <s v="NA "/>
    <m/>
    <x v="1"/>
    <m/>
    <m/>
    <m/>
    <s v="FUNCIONAL"/>
    <m/>
    <m/>
    <m/>
    <m/>
    <s v="NO"/>
    <m/>
    <m/>
    <s v="NO"/>
    <m/>
    <m/>
    <m/>
    <m/>
    <m/>
    <m/>
    <m/>
    <m/>
    <m/>
    <m/>
    <m/>
    <m/>
    <m/>
    <m/>
    <m/>
    <n v="701750374"/>
    <s v="FEMENINA"/>
    <s v="COSTA RICA"/>
    <m/>
    <d v="2024-06-25T00:00:00"/>
    <n v="0"/>
    <n v="399"/>
    <n v="13.108829568788501"/>
    <n v="1.0924024640657084"/>
  </r>
  <r>
    <x v="1"/>
    <s v="UP2101 - HOSPITAL RAFAEL A. CALDERÓN GUARDIA"/>
    <s v="DF.18.2024 HCG 29-06-2024"/>
    <s v="HIGADO"/>
    <x v="0"/>
    <s v="NO"/>
    <s v="O+"/>
    <n v="32976"/>
    <n v="34.214921286789867"/>
    <s v="CADAVÉRICO"/>
    <s v="MAYRA LUCIA "/>
    <s v="RAMIREZ "/>
    <s v="BONILLA"/>
    <n v="105100828"/>
    <x v="187"/>
    <s v="FEMENINA"/>
    <d v="1959-06-07T00:00:00"/>
    <n v="65.065023956194381"/>
    <s v="A+"/>
    <n v="45377"/>
    <s v="HEPATITIS AUTOINMUNE"/>
    <n v="20"/>
    <s v="COSTA RICA"/>
    <s v="SAN JOSE"/>
    <s v="SAN JOSE"/>
    <s v="HATILLO"/>
    <m/>
    <m/>
    <m/>
    <m/>
    <m/>
    <s v="EXCELENTE EVOLUCION CLINICA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n v="22120023796165"/>
    <s v="FEMENINA"/>
    <s v="NICARAGUA"/>
    <m/>
    <d v="2024-06-30T00:00:00"/>
    <n v="0"/>
    <n v="394"/>
    <n v="12.944558521560575"/>
    <n v="1.0787132101300478"/>
  </r>
  <r>
    <x v="1"/>
    <s v="UP2101 - HOSPITAL RAFAEL A. CALDERÓN GUARDIA"/>
    <s v="DF.19.2025 HM 05-07-2024"/>
    <s v="HIGADO"/>
    <x v="0"/>
    <s v="SI"/>
    <s v="O+"/>
    <n v="32853"/>
    <n v="34.568104038329913"/>
    <s v="CADAVÉRICO"/>
    <s v="JAVIER"/>
    <s v="VIQUEZ"/>
    <s v="PINEDA"/>
    <n v="204220355"/>
    <x v="188"/>
    <s v="MASCULINO"/>
    <d v="1966-11-08T00:00:00"/>
    <n v="57.659137577002056"/>
    <s v="O+"/>
    <n v="45453"/>
    <s v="CIRROSIS"/>
    <n v="23"/>
    <s v="COSTA RICA"/>
    <s v="ALAJUELA"/>
    <s v="ALAJUELA"/>
    <s v="DESAMPARADOS"/>
    <m/>
    <m/>
    <m/>
    <m/>
    <m/>
    <s v="TORPIDA EVOLUCION CLINICA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n v="114140049"/>
    <s v="MASCULINO"/>
    <s v="COSTA RICA"/>
    <m/>
    <d v="2024-07-06T00:00:00"/>
    <n v="0"/>
    <n v="388"/>
    <n v="12.747433264887064"/>
    <n v="1.0622861054072552"/>
  </r>
  <r>
    <x v="1"/>
    <s v="UP2101 - HOSPITAL RAFAEL A. CALDERÓN GUARDIA"/>
    <s v="DF.20.2024 HCH 08-07-2024"/>
    <s v="HIGADO"/>
    <x v="0"/>
    <s v="NO"/>
    <s v="A+"/>
    <n v="26988"/>
    <n v="50.633812457221083"/>
    <s v="CADAVÉRICO"/>
    <s v="JUAN CARLOS"/>
    <s v="RODRIGUEZ"/>
    <s v="CHAVES"/>
    <n v="106970341"/>
    <x v="189"/>
    <s v="MASCULINO"/>
    <d v="1967-04-21T00:00:00"/>
    <n v="57.218343600273784"/>
    <s v="A+"/>
    <n v="45429"/>
    <s v="HEPATOCARCINOMA"/>
    <n v="18"/>
    <s v="COSTA RICA"/>
    <s v="SAN JOSE"/>
    <s v="SAN JOSE"/>
    <s v="HATILLO"/>
    <m/>
    <m/>
    <m/>
    <m/>
    <m/>
    <s v="EXCELENETE EVOLUCION CLINICA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n v="401590240"/>
    <s v="FEMENINA"/>
    <s v="COSTA RICA"/>
    <m/>
    <d v="2024-07-09T00:00:00"/>
    <n v="0"/>
    <n v="385"/>
    <n v="12.648870636550308"/>
    <n v="1.054072553045859"/>
  </r>
  <r>
    <x v="0"/>
    <s v="UP2104 - HOSPITAL MÉXICO"/>
    <s v="DF.21.24"/>
    <s v="HIGADO"/>
    <x v="0"/>
    <s v="NO"/>
    <s v="O+"/>
    <n v="36179"/>
    <n v="25.494866529774129"/>
    <s v="CADAVÉRICO"/>
    <s v="TERESA DE LOS ANGELES"/>
    <s v="LOPEZ"/>
    <s v="GOMEZ"/>
    <n v="204720261"/>
    <x v="190"/>
    <s v="FEMENINA"/>
    <d v="1971-10-03T00:00:00"/>
    <n v="52.791238877481177"/>
    <s v="O+"/>
    <n v="45282"/>
    <s v="HCE X NASH"/>
    <n v="33"/>
    <s v="COSTA RICA"/>
    <s v="ALAJUELA"/>
    <s v="UPALA"/>
    <s v="SAN JOSE"/>
    <m/>
    <m/>
    <m/>
    <m/>
    <m/>
    <s v="bien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n v="117320791"/>
    <s v="MASCULINO"/>
    <s v="COSTA RICA"/>
    <m/>
    <d v="2024-07-18T00:00:00"/>
    <n v="0"/>
    <n v="376"/>
    <n v="12.353182751540041"/>
    <n v="1.0294318959616702"/>
  </r>
  <r>
    <x v="0"/>
    <s v="UP2104 - HOSPITAL MÉXICO"/>
    <s v="DF.23.24"/>
    <s v="HIGADO"/>
    <x v="0"/>
    <s v="SI"/>
    <s v="O+"/>
    <n v="33827"/>
    <n v="31.942505133470227"/>
    <s v="CADAVÉRICO"/>
    <s v="GREGORY"/>
    <s v="JIMENEZ"/>
    <s v="SOTO"/>
    <n v="205240195"/>
    <x v="191"/>
    <s v="MASCULINO"/>
    <d v="1977-11-04T00:00:00"/>
    <n v="46.710472279260777"/>
    <s v="O+"/>
    <n v="45313"/>
    <s v="HCE X OH "/>
    <n v="19"/>
    <s v="COSTA RICA"/>
    <s v="ALAJUELA"/>
    <s v="GRECIA"/>
    <s v="PUENTE DE PIEDRA"/>
    <m/>
    <m/>
    <m/>
    <m/>
    <m/>
    <s v="bien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n v="115270580"/>
    <s v="FEMENINA"/>
    <s v="COSTA RICA"/>
    <m/>
    <d v="2024-07-21T00:00:00"/>
    <n v="0"/>
    <n v="373"/>
    <n v="12.254620123203285"/>
    <n v="1.0212183436002737"/>
  </r>
  <r>
    <x v="1"/>
    <s v="UP2101 - HOSPITAL RAFAEL A. CALDERÓN GUARDIA"/>
    <s v="DF.22.2024 HCG 20/07/2024"/>
    <s v="HIGADO"/>
    <x v="0"/>
    <s v="SI"/>
    <s v="O+"/>
    <n v="20577"/>
    <n v="68.219028062970565"/>
    <s v="CADAVÉRICO"/>
    <s v="HERBERT"/>
    <s v="MARIN"/>
    <s v="GONZALEZ"/>
    <n v="602030335"/>
    <x v="191"/>
    <s v="MASCULINO"/>
    <d v="1966-10-22T00:00:00"/>
    <n v="57.746748802190282"/>
    <s v="O+"/>
    <n v="45485"/>
    <s v="HCA POR MASLD"/>
    <n v="22"/>
    <s v="COSTA RICA"/>
    <s v="PUNTARENAS"/>
    <s v="COTO BRUS"/>
    <s v="SABALITO"/>
    <m/>
    <m/>
    <m/>
    <m/>
    <m/>
    <s v="EXCELENTE EVOLUCION CLINICA"/>
    <m/>
    <m/>
    <m/>
    <m/>
    <m/>
    <m/>
    <x v="0"/>
    <d v="2025-01-19T00:00:00"/>
    <m/>
    <m/>
    <s v="FUNCIONAL"/>
    <m/>
    <m/>
    <m/>
    <m/>
    <m/>
    <m/>
    <m/>
    <m/>
    <m/>
    <m/>
    <m/>
    <m/>
    <m/>
    <m/>
    <m/>
    <m/>
    <m/>
    <m/>
    <m/>
    <m/>
    <m/>
    <m/>
    <m/>
    <n v="104720138"/>
    <s v="FEMENINA"/>
    <s v="COSTA RICA"/>
    <m/>
    <d v="2024-07-21T00:00:00"/>
    <n v="1"/>
    <n v="182"/>
    <n v="5.979466119096509"/>
    <n v="0.49828884325804246"/>
  </r>
  <r>
    <x v="1"/>
    <s v="UP2101 - HOSPITAL RAFAEL A. CALDERÓN GUARDIA"/>
    <s v="DF.24.2024 HSJD 25/07/2024"/>
    <s v="HIGADO"/>
    <x v="0"/>
    <s v="NO"/>
    <s v="O+"/>
    <n v="36525"/>
    <n v="24.569472963723477"/>
    <s v="CADAVÉRICO"/>
    <s v="DAGOBERTO"/>
    <s v="CALVO"/>
    <s v="NUÑEZ"/>
    <n v="111360049"/>
    <x v="192"/>
    <s v="FEMENINA"/>
    <d v="1982-04-07T00:00:00"/>
    <n v="42.3025325119781"/>
    <s v="A+"/>
    <n v="45481"/>
    <s v="CIRROSIS HEPATICA"/>
    <n v="23"/>
    <s v="COSTA RICA"/>
    <s v="SAN JOSE"/>
    <s v="DESAMPARADOS"/>
    <s v="SAN MIGUEL"/>
    <m/>
    <m/>
    <m/>
    <m/>
    <m/>
    <s v="EXCELENTE EVOLUCION CLINICA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n v="117650754"/>
    <s v="FEMENINA"/>
    <s v="COSTA RICA"/>
    <m/>
    <d v="2024-07-26T00:00:00"/>
    <n v="0"/>
    <n v="368"/>
    <n v="12.090349075975359"/>
    <n v="1.0075290896646132"/>
  </r>
  <r>
    <x v="1"/>
    <s v="UP2101 - HOSPITAL RAFAEL A. CALDERÓN GUARDIA"/>
    <s v="DF.25.2024 HSJD 30/07/2024"/>
    <s v="HIGADO"/>
    <x v="0"/>
    <s v="NO"/>
    <s v="B+"/>
    <n v="30552"/>
    <n v="40.936344969199176"/>
    <s v="CADAVÉRICO"/>
    <s v="SERGIO DE JESUS"/>
    <s v="GARRO"/>
    <s v="AGUILAR"/>
    <n v="601860911"/>
    <x v="193"/>
    <s v="MASCULINO"/>
    <d v="1964-01-22T00:00:00"/>
    <n v="60.522929500342229"/>
    <s v="B+"/>
    <n v="45406"/>
    <s v="CIRROSIS HEPATICA"/>
    <n v="28"/>
    <s v="COSTA RICA"/>
    <s v="SAN JOSE"/>
    <s v="CURRIDABAT"/>
    <s v="CURRIDABAT"/>
    <m/>
    <m/>
    <m/>
    <m/>
    <m/>
    <s v="EXCELENTE EVOLUCION CLINICA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n v="603330944"/>
    <s v="FEMENINA"/>
    <s v="COSTA RICA"/>
    <m/>
    <d v="2024-07-31T00:00:00"/>
    <n v="0"/>
    <n v="363"/>
    <n v="11.926078028747433"/>
    <n v="0.99383983572895274"/>
  </r>
  <r>
    <x v="1"/>
    <s v="UP2101 - HOSPITAL RAFAEL A. CALDERÓN GUARDIA"/>
    <s v="DF.26.2024 HSJD 31/07/2024"/>
    <s v="HIGADO"/>
    <x v="0"/>
    <s v="NO"/>
    <s v="O+"/>
    <n v="30723"/>
    <n v="40.470910335386719"/>
    <s v="CADAVÉRICO"/>
    <s v="JOAQUIN"/>
    <s v="RAMIREZ"/>
    <s v="ZUÑIGA"/>
    <n v="501820217"/>
    <x v="194"/>
    <s v="MASCULINO"/>
    <d v="1959-09-19T00:00:00"/>
    <n v="64.867898699520879"/>
    <s v="A+"/>
    <n v="45407"/>
    <s v="CIRROSIS HEPATICA "/>
    <n v="28"/>
    <s v="COSTA RICA"/>
    <s v="CARTAGO"/>
    <s v="PARAISO"/>
    <s v="LLANOS DE SANTA LUCIA"/>
    <m/>
    <m/>
    <m/>
    <m/>
    <m/>
    <s v="EXCELENTE EVOLUCION CLINICA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n v="23870023870822"/>
    <s v="FEMENINA"/>
    <s v="NICARAGUA"/>
    <m/>
    <d v="2024-08-01T00:00:00"/>
    <n v="0"/>
    <n v="362"/>
    <n v="11.893223819301848"/>
    <n v="0.99110198494182067"/>
  </r>
  <r>
    <x v="1"/>
    <s v="UP2101 - HOSPITAL RAFAEL A. CALDERÓN GUARDIA"/>
    <s v="DF.27.2024 20 SEP HSJD"/>
    <s v="HIGADO"/>
    <x v="0"/>
    <s v="NO"/>
    <s v="O+"/>
    <n v="38605"/>
    <n v="19.030800821355236"/>
    <s v="CADAVÉRICO"/>
    <s v="GILBERTO"/>
    <s v="UMAÑA"/>
    <s v="CAMPOS"/>
    <n v="107210252"/>
    <x v="195"/>
    <s v="MASCULINO"/>
    <d v="1968-04-05T00:00:00"/>
    <n v="56.462696783025322"/>
    <s v="AB+"/>
    <n v="45384"/>
    <s v="CIRROSIS"/>
    <n v="28"/>
    <s v="COSTA RICA"/>
    <s v="SAN JOSE"/>
    <s v="MORAVIA"/>
    <s v="SAN VICENTE"/>
    <m/>
    <m/>
    <m/>
    <m/>
    <m/>
    <s v="EXCELENTE EVOLUCION CLINICA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n v="119450385"/>
    <s v="MASCULINO"/>
    <s v="COSTA RICA"/>
    <m/>
    <d v="2024-09-21T00:00:00"/>
    <n v="0"/>
    <n v="311"/>
    <n v="10.217659137577002"/>
    <n v="0.85147159479808354"/>
  </r>
  <r>
    <x v="1"/>
    <s v="UP2101 - HOSPITAL RAFAEL A. CALDERÓN GUARDIA"/>
    <s v="DF.28.2024 HM"/>
    <s v="HIGADO"/>
    <x v="0"/>
    <s v="SI"/>
    <s v="O+"/>
    <n v="24004"/>
    <n v="59.039014373716633"/>
    <s v="CADAVÉRICO"/>
    <s v="ANTONIO ENRIQUE"/>
    <s v="RODRIGUEZ"/>
    <s v="BUSTOS"/>
    <n v="105100746"/>
    <x v="196"/>
    <s v="MASCULINO"/>
    <d v="1959-06-11T00:00:00"/>
    <n v="65.314168377823407"/>
    <s v="O+"/>
    <n v="45087"/>
    <s v="EHCA POR NASH"/>
    <n v="28"/>
    <s v="COSTA RICA"/>
    <s v="SAN JOSE"/>
    <s v="MORAVIA"/>
    <s v="SAN VICENTE"/>
    <m/>
    <m/>
    <m/>
    <m/>
    <m/>
    <s v="EXCELENTE EVOLUCION"/>
    <m/>
    <m/>
    <m/>
    <m/>
    <m/>
    <m/>
    <x v="0"/>
    <d v="2024-11-29T00:00:00"/>
    <m/>
    <m/>
    <s v="FUNCIONAL"/>
    <m/>
    <m/>
    <m/>
    <m/>
    <m/>
    <m/>
    <m/>
    <m/>
    <m/>
    <m/>
    <m/>
    <m/>
    <m/>
    <m/>
    <m/>
    <m/>
    <m/>
    <m/>
    <m/>
    <m/>
    <m/>
    <m/>
    <m/>
    <n v="401390934"/>
    <s v="FEMENINA"/>
    <s v="COSTA RICA"/>
    <m/>
    <d v="2024-10-03T00:00:00"/>
    <n v="1"/>
    <n v="57"/>
    <n v="1.8726899383983573"/>
    <n v="0.15605749486652978"/>
  </r>
  <r>
    <x v="1"/>
    <s v="UP2101 - HOSPITAL RAFAEL A. CALDERÓN GUARDIA"/>
    <s v="DF.29.2024 HSJD"/>
    <s v="HIGADO"/>
    <x v="0"/>
    <s v="SI"/>
    <s v="O+"/>
    <n v="33012"/>
    <n v="34.447638603696099"/>
    <s v="CADAVÉRICO"/>
    <s v="OSCAR MARIANO"/>
    <s v="MELENDEZ"/>
    <s v="MARIN"/>
    <n v="105260679"/>
    <x v="197"/>
    <s v="MASCULINO"/>
    <d v="1960-01-22T00:00:00"/>
    <n v="64.769336071184114"/>
    <s v="A+"/>
    <n v="45583"/>
    <s v="CIRROSIS POR METALD +CHC BCLC"/>
    <m/>
    <s v="COSTA RICA"/>
    <s v="SAN JOSE"/>
    <s v="VAZQUEZ DE CORONADO"/>
    <s v="PATALILLO"/>
    <m/>
    <m/>
    <m/>
    <m/>
    <m/>
    <s v="EXCELENTE EVOLUCION CLINICA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n v="114370288"/>
    <s v="MASCULINO"/>
    <s v="COSTA RICA"/>
    <m/>
    <d v="2024-10-29T00:00:00"/>
    <n v="0"/>
    <n v="273"/>
    <n v="8.9691991786447645"/>
    <n v="0.74743326488706363"/>
  </r>
  <r>
    <x v="1"/>
    <s v="UP2101 - HOSPITAL RAFAEL A. CALDERÓN GUARDIA"/>
    <s v="DF.30.2024 HCG"/>
    <s v="HIGADO"/>
    <x v="0"/>
    <s v="SI"/>
    <s v="A+"/>
    <n v="25254"/>
    <n v="55.832991101984945"/>
    <s v="CADAVÉRICO"/>
    <s v="ALEXIS HUMBERTO"/>
    <s v="MADRIGAL"/>
    <s v="GAMBOA"/>
    <n v="107150601"/>
    <x v="198"/>
    <s v="MASCULINO"/>
    <d v="1968-02-14T00:00:00"/>
    <n v="56.851471594798085"/>
    <s v="A+"/>
    <n v="45638"/>
    <s v="EHAD PROBABLEMENTEMETABOLICA"/>
    <m/>
    <s v="COSTA RICA"/>
    <s v="CARTAGO"/>
    <s v="CARTAGO"/>
    <s v="CARMEN"/>
    <m/>
    <m/>
    <m/>
    <m/>
    <m/>
    <s v="EXECELENTE EVOLUCION CLINICA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n v="204460170"/>
    <s v="MASCULINO"/>
    <s v="COSTA RICA"/>
    <m/>
    <d v="2024-12-21T00:00:00"/>
    <n v="0"/>
    <n v="220"/>
    <n v="7.2279260780287471"/>
    <n v="0.60232717316906226"/>
  </r>
  <r>
    <x v="2"/>
    <s v="UP2103 - HOSPITAL NACIONAL DE NIÑOS"/>
    <s v="DF.31.2024 HCG"/>
    <s v="HIGADO"/>
    <x v="0"/>
    <s v="NO"/>
    <s v="B+"/>
    <n v="32344"/>
    <n v="36.440793976728266"/>
    <s v="CADAVÉRICO"/>
    <s v="LAURA MARÍA"/>
    <s v="PONCE"/>
    <s v="CÓRDOBA"/>
    <n v="305820648"/>
    <x v="199"/>
    <s v="FEMENINA"/>
    <d v="2008-11-19T00:00:00"/>
    <n v="16.106776180698152"/>
    <s v="B+"/>
    <n v="45363"/>
    <s v="DEGENERACIÓN CAVERNOMATOSA DE VENA PORTA"/>
    <m/>
    <s v="COSTA RICA"/>
    <s v="ALAJUELA"/>
    <s v="SAN CARLOS"/>
    <s v="POCOSOL"/>
    <m/>
    <m/>
    <m/>
    <m/>
    <m/>
    <s v="INADECUADA"/>
    <s v="FALLECIDO"/>
    <m/>
    <m/>
    <m/>
    <m/>
    <m/>
    <x v="0"/>
    <d v="2024-12-31T00:00:00"/>
    <s v="SANGRADO MASIVO"/>
    <s v="NO"/>
    <s v="FALLECIDO"/>
    <m/>
    <m/>
    <m/>
    <m/>
    <m/>
    <m/>
    <m/>
    <m/>
    <m/>
    <m/>
    <m/>
    <m/>
    <m/>
    <m/>
    <m/>
    <m/>
    <m/>
    <m/>
    <m/>
    <m/>
    <m/>
    <m/>
    <m/>
    <n v="113580559"/>
    <s v="MASCULINO"/>
    <s v="COSTA RICA"/>
    <m/>
    <d v="2024-12-28T00:00:00"/>
    <n v="1"/>
    <n v="3"/>
    <n v="9.856262833675565E-2"/>
    <n v="8.2135523613963042E-3"/>
  </r>
  <r>
    <x v="0"/>
    <s v="UP2104 - HOSPITAL MÉXICO"/>
    <s v="DF.01.2025"/>
    <s v="HIGADO"/>
    <x v="0"/>
    <s v="NO"/>
    <s v="A+"/>
    <n v="38398"/>
    <n v="19.909650924024639"/>
    <s v="CADAVÉRICO"/>
    <s v="ANTONIO MIGUEL GERARDO"/>
    <s v="COTO"/>
    <s v="GONZALEZ"/>
    <n v="401510411"/>
    <x v="200"/>
    <s v="MASCULINO"/>
    <d v="1970-02-13T00:00:00"/>
    <n v="54.91581108829569"/>
    <s v="A+"/>
    <n v="45604"/>
    <s v="HCE X OH "/>
    <m/>
    <s v="COSTA RICA"/>
    <s v="HEREDIA"/>
    <s v="SAN PABLO"/>
    <s v="SAN PABLO"/>
    <m/>
    <m/>
    <m/>
    <m/>
    <m/>
    <m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n v="119270999"/>
    <s v="FEMENINA"/>
    <s v="COSTA RICA"/>
    <m/>
    <d v="2025-01-13T00:00:00"/>
    <n v="0"/>
    <n v="197"/>
    <n v="6.4722792607802875"/>
    <n v="0.53935660506502392"/>
  </r>
  <r>
    <x v="1"/>
    <s v="UP2101 - HOSPITAL RAFAEL A. CALDERÓN GUARDIA"/>
    <s v="DF.02.2025 24 ENERO HM"/>
    <s v="HIGADO"/>
    <x v="0"/>
    <s v="SI"/>
    <s v="O+"/>
    <n v="21000"/>
    <n v="67.575633127994521"/>
    <s v="CADAVÉRICO"/>
    <s v="PAULO CESAR"/>
    <s v="HERNÁNDEZ"/>
    <s v="GOMEZ"/>
    <n v="112130992"/>
    <x v="201"/>
    <s v="MASCULINO"/>
    <d v="1984-08-10T00:00:00"/>
    <n v="40.459958932238195"/>
    <s v="O+"/>
    <n v="45525"/>
    <s v="HEPATITIS AUTOINMUNE"/>
    <n v="28"/>
    <s v="COSTA RICA"/>
    <s v="SAN JOSE"/>
    <s v="GOICOECHEA"/>
    <s v="GUADALUPE"/>
    <m/>
    <m/>
    <m/>
    <m/>
    <m/>
    <m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n v="601330675"/>
    <s v="FEMENINA"/>
    <s v="COSTA RICA"/>
    <m/>
    <d v="2025-01-25T00:00:00"/>
    <n v="0"/>
    <n v="185"/>
    <n v="6.0780287474332653"/>
    <n v="0.50650239561943877"/>
  </r>
  <r>
    <x v="1"/>
    <s v="UP2101 - HOSPITAL RAFAEL A. CALDERÓN GUARDIA"/>
    <s v="DF.04.2025 06 FEBRERO HCG"/>
    <s v="HIGADO"/>
    <x v="0"/>
    <s v="NO"/>
    <s v="AB+"/>
    <n v="35609"/>
    <n v="27.613963039014372"/>
    <s v="CADAVÉRICO"/>
    <s v="FRANCISCO JAVIER"/>
    <s v="CHAVES"/>
    <s v="CORRALES"/>
    <n v="105900844"/>
    <x v="202"/>
    <s v="MASCULINO"/>
    <d v="1962-10-31T00:00:00"/>
    <n v="62.272416153319647"/>
    <s v="AB+"/>
    <n v="45463"/>
    <s v="ESTEATOHEPATITIS NO ALCOHOLICA"/>
    <n v="9"/>
    <s v="COSTA RICA"/>
    <s v="HEREDIA"/>
    <s v="HEREDIA"/>
    <s v="HEREDIA"/>
    <m/>
    <m/>
    <m/>
    <m/>
    <m/>
    <s v="EXCELENTE EVOLUCION CLINICA"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n v="116790988"/>
    <s v="MASCULINO"/>
    <s v="COSTA RICA"/>
    <m/>
    <d v="2025-02-07T00:00:00"/>
    <n v="0"/>
    <n v="172"/>
    <n v="5.6509240246406574"/>
    <n v="0.47091033538672145"/>
  </r>
  <r>
    <x v="1"/>
    <s v="UP2101 - HOSPITAL RAFAEL A. CALDERÓN GUARDIA"/>
    <s v="DF.05.2025"/>
    <s v="HIGADO"/>
    <x v="0"/>
    <s v="SI"/>
    <s v="A+"/>
    <n v="21343"/>
    <n v="66.683093771389466"/>
    <s v="CADAVÉRICO"/>
    <s v="PAULO CESAR"/>
    <s v="HERNANDEZ"/>
    <s v="GOMEZ"/>
    <n v="117530124"/>
    <x v="203"/>
    <s v="MASCULINO"/>
    <d v="1999-08-27T00:00:00"/>
    <n v="25.462012320328544"/>
    <s v="A+"/>
    <n v="45546"/>
    <s v="ENFERMEDAD DE WILSON"/>
    <n v="15"/>
    <s v="COSTA RICA"/>
    <s v="SAN JOSE"/>
    <s v="ESCAZU"/>
    <s v="SAN ANTONIO"/>
    <m/>
    <m/>
    <m/>
    <m/>
    <m/>
    <m/>
    <m/>
    <m/>
    <m/>
    <m/>
    <m/>
    <m/>
    <x v="1"/>
    <m/>
    <m/>
    <m/>
    <s v="FUNCIONAL"/>
    <m/>
    <m/>
    <m/>
    <m/>
    <m/>
    <m/>
    <m/>
    <m/>
    <m/>
    <m/>
    <m/>
    <m/>
    <m/>
    <m/>
    <m/>
    <m/>
    <m/>
    <m/>
    <m/>
    <m/>
    <m/>
    <m/>
    <m/>
    <n v="105080101"/>
    <s v="MASCULINO"/>
    <s v="COSTA RICA"/>
    <m/>
    <d v="2025-02-11T00:00:00"/>
    <n v="0"/>
    <n v="168"/>
    <n v="5.5195071868583163"/>
    <n v="0.45995893223819301"/>
  </r>
  <r>
    <x v="1"/>
    <s v="UP2101 - HOSPITAL RAFAEL A. CALDERÓN GUARDIA"/>
    <s v="DF.07.2025"/>
    <s v="HIGADO"/>
    <x v="0"/>
    <s v="SI"/>
    <s v="O+"/>
    <n v="21440"/>
    <n v="66.445699292721869"/>
    <s v="CADAVÉRICO"/>
    <s v="PAULA ELENA"/>
    <s v="CHACON"/>
    <s v="LEITON"/>
    <n v="110370962"/>
    <x v="204"/>
    <s v="FEMENINA"/>
    <d v="1979-06-18T00:00:00"/>
    <n v="45.681838923112117"/>
    <s v="B-"/>
    <n v="45573"/>
    <s v="HEPATOCARCINOMA"/>
    <n v="28"/>
    <s v="COSTA RICA"/>
    <s v="SAN JOSE"/>
    <s v="MORAVIA"/>
    <s v="SAN VICENTE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n v="203330580"/>
    <s v="FEMENINA"/>
    <s v="COSTA RICA"/>
    <m/>
    <d v="2025-02-21T07:00:00"/>
    <n v="0"/>
    <n v="157.70833333329938"/>
    <n v="5.1813826146463864"/>
    <n v="0.43178188455386551"/>
  </r>
  <r>
    <x v="1"/>
    <s v="UP2101 - HOSPITAL RAFAEL A. CALDERÓN GUARDIA"/>
    <s v="DF.08.2025"/>
    <s v="HIGADO"/>
    <x v="0"/>
    <s v="SI"/>
    <s v="A+"/>
    <n v="29349"/>
    <n v="44.819358886607354"/>
    <s v="CADAVÉRICO"/>
    <s v="MARCOS HUMBERTO"/>
    <s v="MARIN"/>
    <s v="RAMIREZ"/>
    <n v="303310815"/>
    <x v="205"/>
    <s v="MASCULINO"/>
    <d v="1974-09-03T00:00:00"/>
    <n v="50.497661419119233"/>
    <s v="A+"/>
    <n v="45197"/>
    <s v="Esteatohepatitis no alchólica"/>
    <n v="23"/>
    <s v="COSTA RICA"/>
    <s v="SAN JOSE"/>
    <s v="GOICOECHEA"/>
    <s v="IPIS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n v="303660146"/>
    <s v="FEMENINA"/>
    <s v="COSTA RICA"/>
    <m/>
    <d v="2025-03-03T06:30:00"/>
    <n v="0"/>
    <n v="147.72916666670062"/>
    <n v="4.8535249828895477"/>
    <n v="0.40446041524079568"/>
  </r>
  <r>
    <x v="1"/>
    <s v="UP2101 - HOSPITAL RAFAEL A. CALDERÓN GUARDIA"/>
    <s v="DF.09.2025"/>
    <s v="HIGADO"/>
    <x v="0"/>
    <s v="NO"/>
    <s v="O+"/>
    <n v="23725"/>
    <n v="60.219826602783478"/>
    <s v="CADAVÉRICO"/>
    <s v="MANUEL BENITO"/>
    <s v="SANCHEZ"/>
    <s v="SANCHEZ"/>
    <n v="106940721"/>
    <x v="206"/>
    <s v="MASCULINO"/>
    <d v="1965-03-21T00:00:00"/>
    <n v="59.954255076431764"/>
    <s v="O+"/>
    <n v="45673"/>
    <s v="Cirrosis alcohólica"/>
    <n v="26"/>
    <s v="COSTA RICA"/>
    <s v="SAN JOSE"/>
    <s v="PURISCAL"/>
    <s v="SAN RAFAEL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n v="106420176"/>
    <s v="MASCULINO"/>
    <s v="COSTA RICA"/>
    <m/>
    <d v="2025-03-04T07:00:00"/>
    <n v="0"/>
    <n v="146.70833333329938"/>
    <n v="4.819986310744949"/>
    <n v="0.40166552589541238"/>
  </r>
  <r>
    <x v="1"/>
    <s v="UP2101 - HOSPITAL RAFAEL A. CALDERÓN GUARDIA"/>
    <s v="DF.10.2025"/>
    <s v="HIGADO"/>
    <x v="0"/>
    <s v="SI"/>
    <s v="B+"/>
    <n v="21805"/>
    <n v="65.481947296372354"/>
    <s v="CADAVÉRICO"/>
    <s v="JEANNETTE"/>
    <s v="MURILLO"/>
    <s v="CALVO"/>
    <n v="303060822"/>
    <x v="207"/>
    <s v="FEMENINA"/>
    <d v="1970-01-28T00:00:00"/>
    <n v="55.102754962354553"/>
    <s v="B+"/>
    <n v="45681"/>
    <s v="COLANGITIS ESCLEROSANTE PRIMARIA"/>
    <n v="19"/>
    <s v="COSTA RICA"/>
    <s v="LIMON"/>
    <s v="GUACIMO"/>
    <s v="POCORA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n v="800590418"/>
    <s v="MASCULINO"/>
    <s v="NICARAGUA"/>
    <m/>
    <d v="2025-03-06T06:45:00"/>
    <n v="0"/>
    <n v="144.71875"/>
    <n v="4.7546201232032859"/>
    <n v="0.3962183436002738"/>
  </r>
  <r>
    <x v="0"/>
    <s v="UP2104 - HOSPITAL MÉXICO"/>
    <s v="DF.11.2025"/>
    <s v="HIGADO"/>
    <x v="0"/>
    <s v="SI"/>
    <s v="O+"/>
    <n v="28883"/>
    <n v="46.108088067533643"/>
    <s v="CADAVÉRICO"/>
    <s v="OSCAR"/>
    <s v="ORAMAS"/>
    <s v="RODRIGUEZ"/>
    <n v="16223654"/>
    <x v="208"/>
    <s v="MASCULINO"/>
    <d v="1962-02-20T00:00:00"/>
    <n v="63.044433036732926"/>
    <s v="A+"/>
    <n v="45706"/>
    <s v="Hepatocarcinoma"/>
    <n v="22"/>
    <s v="CUBA"/>
    <s v="ALAJUELA"/>
    <s v="OROTINA"/>
    <s v="EL MASTATE"/>
    <m/>
    <m/>
    <m/>
    <m/>
    <m/>
    <s v="VIVO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n v="110250661"/>
    <s v="FEMENINA"/>
    <s v="COSTA RICA"/>
    <m/>
    <d v="2025-03-07T23:30:00"/>
    <n v="0"/>
    <n v="143.02083333329938"/>
    <n v="4.6988364134143534"/>
    <n v="0.39156970111786277"/>
  </r>
  <r>
    <x v="1"/>
    <s v="UP2101 - HOSPITAL RAFAEL A. CALDERÓN GUARDIA"/>
    <s v="DF.15.2025"/>
    <s v="HIGADO"/>
    <x v="0"/>
    <s v="NO"/>
    <s v="B+"/>
    <n v="37884"/>
    <n v="21.517453798767967"/>
    <s v="CADAVÉRICO"/>
    <s v="MARIA CELESTE"/>
    <s v="TREJOS"/>
    <s v="MONTES"/>
    <n v="121060252"/>
    <x v="209"/>
    <s v="FEMENINA"/>
    <d v="2011-01-07T00:00:00"/>
    <n v="14.218343600273785"/>
    <s v="O+"/>
    <n v="45735"/>
    <s v="ENFERMEDAD DE WILSONS"/>
    <n v="37"/>
    <s v="COSTA RICA"/>
    <s v="SAN JOSE"/>
    <s v="PURISCAL"/>
    <s v="SAN ANTONIO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n v="118850621"/>
    <s v="FEMENINA"/>
    <s v="COSTA RICA"/>
    <m/>
    <d v="2025-03-27T06:00:00"/>
    <n v="0"/>
    <n v="123.75"/>
    <n v="4.0657084188911705"/>
    <n v="0.33880903490759756"/>
  </r>
  <r>
    <x v="1"/>
    <s v="UP2101 - HOSPITAL RAFAEL A. CALDERÓN GUARDIA"/>
    <s v="DF.16.2025"/>
    <s v="HIGADO"/>
    <x v="0"/>
    <s v="SI"/>
    <s v="A+"/>
    <n v="28985"/>
    <n v="45.887519963495315"/>
    <s v="CADAVÉRICO"/>
    <s v="JORGE ARTURO"/>
    <s v="MADRIGAL"/>
    <s v="GARCIA"/>
    <n v="900470153"/>
    <x v="210"/>
    <s v="MASCULINO"/>
    <d v="1961-03-29T00:00:00"/>
    <n v="64.001140771161403"/>
    <s v="A+"/>
    <n v="45595"/>
    <s v="ESTEATOHEPATITIS NO ALCOHOLICA"/>
    <n v="25"/>
    <s v="COSTA RICA"/>
    <s v="SAN JOSE"/>
    <s v="GOICOECHEA"/>
    <s v="GUADALUPE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n v="110360176"/>
    <s v="FEMENINA"/>
    <s v="COSTA RICA"/>
    <m/>
    <d v="2025-03-29T10:00:00"/>
    <n v="0"/>
    <n v="121.58333333329938"/>
    <n v="3.9945242984246203"/>
    <n v="0.33287702486871834"/>
  </r>
  <r>
    <x v="2"/>
    <s v="UP2103 - HOSPITAL NACIONAL DE NIÑOS"/>
    <s v="DF.19.2025"/>
    <s v="HIGADO"/>
    <x v="0"/>
    <s v="NO"/>
    <s v="B+"/>
    <n v="39288"/>
    <n v="17.709787816563999"/>
    <s v="CADAVÉRICO"/>
    <s v="SHEYLA ALLISON"/>
    <s v="RODRIGUEZ"/>
    <s v="VARELA"/>
    <n v="210340043"/>
    <x v="211"/>
    <s v="FEMENINA"/>
    <d v="2017-12-16T00:00:00"/>
    <n v="7.3141683778234086"/>
    <s v="B+"/>
    <n v="45573"/>
    <s v="Colestasis intrahepática familiar progresiva"/>
    <n v="9"/>
    <s v="COSTA RICA"/>
    <s v="ALAJUELA"/>
    <s v="SAN RAMON"/>
    <s v="ALFARO"/>
    <m/>
    <m/>
    <m/>
    <m/>
    <m/>
    <s v="VIVO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n v="120000268"/>
    <s v="FEMENINA"/>
    <s v="COSTA RICA"/>
    <m/>
    <d v="2025-04-09T12:00:00"/>
    <n v="0"/>
    <n v="110.5"/>
    <n v="3.6303901437371664"/>
    <n v="0.30253251197809722"/>
  </r>
  <r>
    <x v="1"/>
    <s v="UP2101 - HOSPITAL RAFAEL A. CALDERÓN GUARDIA"/>
    <s v="DF.20.2025"/>
    <s v="HIGADO"/>
    <x v="0"/>
    <s v="NO"/>
    <s v="O+"/>
    <n v="32001"/>
    <n v="37.676211118716246"/>
    <s v="CADAVÉRICO"/>
    <s v="EDWIN GERARDO"/>
    <s v="SOLIS"/>
    <s v="MARIN"/>
    <n v="602020587"/>
    <x v="212"/>
    <s v="MASCULINO"/>
    <d v="1966-04-09T00:00:00"/>
    <n v="59.017758004410958"/>
    <s v="O+"/>
    <n v="45750"/>
    <s v="ENFERMEDAD DE WILSON"/>
    <n v="25"/>
    <s v="COSTA RICA"/>
    <s v="PUNTARENAS"/>
    <s v="OSA"/>
    <s v="PUERTO CORTÉS"/>
    <m/>
    <m/>
    <m/>
    <m/>
    <m/>
    <s v="VIVO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n v="701790756"/>
    <s v="MASCULINO"/>
    <s v="COSTA RICA"/>
    <m/>
    <d v="2025-04-15T05:40:00"/>
    <n v="0"/>
    <n v="104.76388888889778"/>
    <n v="3.4419347478898654"/>
    <n v="0.28682789565748879"/>
  </r>
  <r>
    <x v="1"/>
    <s v="UP2101 - HOSPITAL RAFAEL A. CALDERÓN GUARDIA"/>
    <s v="DF.21.2025"/>
    <s v="HIGADO"/>
    <x v="0"/>
    <s v="SI"/>
    <s v="O+"/>
    <n v="25473"/>
    <n v="55.552831013765299"/>
    <s v="CADAVÉRICO"/>
    <s v="CARLOS DE LOS ANGELES"/>
    <s v="MONGE"/>
    <s v="SANABRIA"/>
    <n v="302730097"/>
    <x v="213"/>
    <s v="MASCULINO"/>
    <d v="1965-01-13T00:00:00"/>
    <n v="60.256458666058315"/>
    <s v="O+"/>
    <n v="45754"/>
    <s v="Esteatohepatitis no alchólica"/>
    <n v="20"/>
    <s v="COSTA RICA"/>
    <s v="SAN JOSE"/>
    <s v="SAN JOSE"/>
    <s v="SAN FRANCISCO DE DOS RIOS"/>
    <m/>
    <m/>
    <m/>
    <m/>
    <m/>
    <s v="VIVO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n v="602260675"/>
    <s v="MASCULINO"/>
    <s v="COSTA RICA"/>
    <m/>
    <d v="2025-04-16T16:07:00"/>
    <n v="0"/>
    <n v="103.32847222220153"/>
    <n v="3.3947752680805428"/>
    <n v="0.2828979390067119"/>
  </r>
  <r>
    <x v="1"/>
    <s v="UP2101 - HOSPITAL RAFAEL A. CALDERÓN GUARDIA"/>
    <s v="DF.25.2025"/>
    <s v="HIGADO"/>
    <x v="0"/>
    <s v="SI"/>
    <s v="O+"/>
    <n v="34222"/>
    <n v="31.635865845311429"/>
    <s v="CADAVÉRICO"/>
    <s v="FRANCISCO ORLANDO"/>
    <s v="FUENTES"/>
    <s v="BONILLA"/>
    <n v="801050412"/>
    <x v="214"/>
    <s v="MASCULINO"/>
    <d v="1961-08-26T00:00:00"/>
    <n v="63.676933607118414"/>
    <s v="A+"/>
    <n v="45679"/>
    <s v="HEPATOCARCINOMA"/>
    <n v="28"/>
    <s v="COSTA RICA"/>
    <s v="SAN JOSE"/>
    <s v="SAN JOSE"/>
    <s v="SAN SEBASTIAN"/>
    <m/>
    <m/>
    <m/>
    <m/>
    <m/>
    <s v="VIVO"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n v="115470763"/>
    <s v="MASCULINO"/>
    <s v="COSTA RICA"/>
    <m/>
    <d v="2025-04-30T00:00:00"/>
    <n v="0"/>
    <n v="90"/>
    <n v="2.9568788501026693"/>
    <n v="0.24640657084188911"/>
  </r>
  <r>
    <x v="1"/>
    <s v="UP2101 - HOSPITAL RAFAEL A. CALDERÓN GUARDIA"/>
    <s v="DF.26.2025"/>
    <s v="HIGADO"/>
    <x v="0"/>
    <s v="SI"/>
    <s v="O+"/>
    <n v="30690"/>
    <n v="41.314168377823407"/>
    <s v="CADAVÉRICO"/>
    <s v="KARLA MARIA"/>
    <s v="VANEGAS"/>
    <s v="AVILES"/>
    <n v="800550425"/>
    <x v="215"/>
    <s v="FEMENINA"/>
    <d v="1966-12-21T00:00:00"/>
    <n v="58.365503080082135"/>
    <s v="O+"/>
    <n v="44279"/>
    <s v="Esteatohepatitis no alchólica"/>
    <n v="16"/>
    <s v="COSTA RICA"/>
    <s v="SAN JOSE"/>
    <s v="SAN JOSE"/>
    <s v="SAN FRANCISCO DE DOS RIOS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n v="111950702"/>
    <s v="FEMENINA"/>
    <s v="COSTA RICA"/>
    <m/>
    <d v="2025-05-03T00:00:00"/>
    <n v="0"/>
    <n v="87"/>
    <n v="2.8583162217659139"/>
    <n v="0.23819301848049282"/>
  </r>
  <r>
    <x v="1"/>
    <s v="UP2101 - HOSPITAL RAFAEL A. CALDERÓN GUARDIA"/>
    <s v="DF.27.2025"/>
    <s v="HIGADO"/>
    <x v="0"/>
    <s v="SI"/>
    <s v="O+"/>
    <n v="34848"/>
    <n v="29.932922655715263"/>
    <s v="CADAVÉRICO"/>
    <s v="RODRIGO IVAN"/>
    <s v="PORTILLA"/>
    <s v="WIRTH"/>
    <n v="71690099924"/>
    <x v="216"/>
    <s v="MASCULINO"/>
    <d v="1969-06-24T00:00:00"/>
    <n v="55.860369609856264"/>
    <s v="O+"/>
    <n v="45772"/>
    <s v="HEPATOCARCINOMA"/>
    <n v="23"/>
    <m/>
    <s v="SAN JOSE"/>
    <s v="SAN JOSE"/>
    <s v="CARMEN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n v="702360032"/>
    <s v="MASCULINO"/>
    <s v="COSTA RICA"/>
    <m/>
    <d v="2025-05-04T00:00:00"/>
    <n v="0"/>
    <n v="86"/>
    <n v="2.8254620123203287"/>
    <n v="0.23545516769336072"/>
  </r>
  <r>
    <x v="1"/>
    <s v="UP2101 - HOSPITAL RAFAEL A. CALDERÓN GUARDIA"/>
    <s v="DF.28.2025"/>
    <s v="HIGADO"/>
    <x v="0"/>
    <s v="SI"/>
    <s v="A+"/>
    <n v="33040"/>
    <n v="34.893908281998634"/>
    <s v="CADAVÉRICO"/>
    <s v="DARWIN ALANDE"/>
    <s v="MARIN"/>
    <s v="ARANCIBIA"/>
    <n v="715962110"/>
    <x v="217"/>
    <s v="MASCULINO"/>
    <d v="1959-02-19T00:00:00"/>
    <n v="66.214921286789874"/>
    <s v="A+"/>
    <n v="45336"/>
    <s v="ESTEATOSIS HEPÁTICA NO ALCOHOLICA"/>
    <n v="10"/>
    <s v="COSTA RICA"/>
    <s v="SAN JOSE"/>
    <s v="GOICOECHEA"/>
    <s v="MATA DE PLATANO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n v="1900100695"/>
    <s v="MASCULINO"/>
    <s v="NICARAGUA"/>
    <m/>
    <d v="2025-05-08T00:00:00"/>
    <n v="0"/>
    <n v="82"/>
    <n v="2.6940451745379876"/>
    <n v="0.22450376454483231"/>
  </r>
  <r>
    <x v="1"/>
    <s v="UP2101 - HOSPITAL RAFAEL A. CALDERÓN GUARDIA"/>
    <s v="DF.29.2025"/>
    <s v="HIGADO"/>
    <x v="0"/>
    <s v="SI"/>
    <s v="O+"/>
    <n v="30713"/>
    <n v="41.267624914442166"/>
    <s v="CADAVÉRICO"/>
    <s v="CARLOS"/>
    <s v="BOLAÑOS"/>
    <s v="MURILLO"/>
    <n v="203170102"/>
    <x v="218"/>
    <s v="MASCULINO"/>
    <d v="1956-10-23T00:00:00"/>
    <n v="68.542094455852151"/>
    <s v="O+"/>
    <n v="44459"/>
    <s v="ESTEATOSIS HEPÁTICA NO ALCOHOLICA"/>
    <n v="24"/>
    <s v="COSTA RICA"/>
    <s v="SAN JOSE"/>
    <s v="GOICOECHEA"/>
    <s v="GUADALUPE"/>
    <m/>
    <m/>
    <m/>
    <m/>
    <m/>
    <m/>
    <m/>
    <m/>
    <m/>
    <m/>
    <m/>
    <m/>
    <x v="1"/>
    <m/>
    <m/>
    <m/>
    <s v="FUNCIONAL"/>
    <m/>
    <m/>
    <m/>
    <m/>
    <m/>
    <m/>
    <m/>
    <s v="NO"/>
    <m/>
    <m/>
    <m/>
    <m/>
    <m/>
    <m/>
    <m/>
    <m/>
    <m/>
    <m/>
    <m/>
    <m/>
    <m/>
    <m/>
    <m/>
    <n v="104930257"/>
    <s v="FEMENINA"/>
    <s v="COSTA RICA"/>
    <m/>
    <d v="2025-05-09T00:00:00"/>
    <n v="0"/>
    <n v="81"/>
    <n v="2.6611909650924024"/>
    <n v="0.22176591375770022"/>
  </r>
  <r>
    <x v="1"/>
    <s v="UP2101 - HOSPITAL RAFAEL A. CALDERÓN GUARDIA"/>
    <s v="DF.30.2025"/>
    <s v="HIGADO"/>
    <x v="0"/>
    <s v="SI"/>
    <s v="O+"/>
    <n v="38744"/>
    <n v="19.282683093771389"/>
    <s v="CADAVÉRICO"/>
    <s v="MARIA MARLENE"/>
    <s v="SANCHEZ"/>
    <s v="CORRALES"/>
    <n v="104930257"/>
    <x v="219"/>
    <s v="FEMENINA"/>
    <d v="1958-03-12T00:00:00"/>
    <n v="67.162217659137582"/>
    <s v="O+"/>
    <n v="44968"/>
    <s v="ESTEATOSIS HEPÁTICA NO ALCOHOLICA"/>
    <n v="14"/>
    <s v="COSTA RICA"/>
    <s v="SAN JOSE"/>
    <s v="DESAMPARADOS"/>
    <s v="SAN RAFAEL ARRIBA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n v="119560662"/>
    <s v="MASCULINO"/>
    <s v="COSTA RICA"/>
    <m/>
    <d v="2025-05-10T00:00:00"/>
    <n v="0"/>
    <n v="80"/>
    <n v="2.6283367556468171"/>
    <n v="0.21902806297056809"/>
  </r>
  <r>
    <x v="2"/>
    <s v="UP2103 - HOSPITAL NACIONAL DE NIÑOS"/>
    <s v="DF.13.25"/>
    <s v="HIGADO"/>
    <x v="0"/>
    <s v="NO"/>
    <s v="O+"/>
    <n v="39880"/>
    <n v="16.010951403148528"/>
    <s v="CADAVÉRICO"/>
    <s v="DYLAN JOSUÉ"/>
    <s v="ARIAS"/>
    <s v="ARIAS"/>
    <n v="210390369"/>
    <x v="220"/>
    <s v="MASCULINO"/>
    <d v="2018-05-11T00:00:00"/>
    <n v="6.8364134154688569"/>
    <s v="O+"/>
    <n v="45622"/>
    <s v="Colestasis intrahepática familiar progresiva"/>
    <n v="9"/>
    <s v="COSTA RICA"/>
    <s v="ALAJUELA"/>
    <s v="SAN RAMON"/>
    <s v="PIEDADES SUR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n v="120500017"/>
    <s v="MASCULINO"/>
    <s v="COSTA RICA"/>
    <m/>
    <d v="2025-03-12T00:00:00"/>
    <n v="0"/>
    <n v="139"/>
    <n v="4.5667351129363452"/>
    <n v="0.3805612594113621"/>
  </r>
  <r>
    <x v="0"/>
    <s v="UP2104 - HOSPITAL MÉXICO"/>
    <m/>
    <s v="HIGADO"/>
    <x v="0"/>
    <m/>
    <m/>
    <m/>
    <m/>
    <s v="CADAVÉRICO"/>
    <s v="FRANCISCO"/>
    <s v="FLORES"/>
    <s v="QUESADA"/>
    <n v="104980913"/>
    <x v="221"/>
    <s v="MASCULINO"/>
    <d v="1958-11-17T00:00:00"/>
    <n v="66.368240930869263"/>
    <s v="A-"/>
    <d v="2019-01-15T00:00:00"/>
    <m/>
    <n v="31"/>
    <s v="COSTA RICA"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3-31T00:00:00"/>
    <n v="0"/>
    <n v="120"/>
    <n v="3.9425051334702257"/>
    <n v="0.32854209445585214"/>
  </r>
  <r>
    <x v="0"/>
    <s v="UP2104 - HOSPITAL MÉXICO"/>
    <m/>
    <s v="HIGADO"/>
    <x v="0"/>
    <m/>
    <m/>
    <m/>
    <m/>
    <s v="CADAVÉRICO"/>
    <s v="XINIA MARÍA"/>
    <s v="ROJAS"/>
    <s v="SALAZAR"/>
    <n v="109230540"/>
    <x v="222"/>
    <s v="FEMENINA"/>
    <d v="1971-01-13T00:00:00"/>
    <n v="54.346338124572213"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5-19T00:00:00"/>
    <n v="0"/>
    <n v="71"/>
    <n v="2.3326488706365502"/>
    <n v="0.19438740588637921"/>
  </r>
  <r>
    <x v="0"/>
    <s v="UP2104 - HOSPITAL MÉXICO"/>
    <m/>
    <s v="HIGADO"/>
    <x v="0"/>
    <m/>
    <m/>
    <m/>
    <m/>
    <s v="CADAVÉRICO"/>
    <s v="CAROLINA SOFIA"/>
    <s v="GONZALEZ"/>
    <s v="MARIN"/>
    <n v="119450495"/>
    <x v="223"/>
    <s v="FEMENINA"/>
    <d v="2005-09-09T00:00:00"/>
    <n v="19.698836413415467"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5-22T00:00:00"/>
    <n v="0"/>
    <n v="68"/>
    <n v="2.2340862422997945"/>
    <n v="0.18617385352498289"/>
  </r>
  <r>
    <x v="1"/>
    <s v="UP2101 - HOSPITAL RAFAEL A. CALDERÓN GUARDIA"/>
    <s v="DF.31.2025  HSJD 16/05/2025"/>
    <s v="HIGADO"/>
    <x v="0"/>
    <m/>
    <m/>
    <m/>
    <m/>
    <s v="CADAVÉRICO"/>
    <s v="MARTIN"/>
    <s v="FERNANDEZ"/>
    <s v="MENDEZ"/>
    <n v="602020295"/>
    <x v="224"/>
    <s v="MASCULINO"/>
    <d v="1966-09-06T00:00:00"/>
    <n v="58.69404517453799"/>
    <s v="O+"/>
    <m/>
    <s v="CIRROSIS CRIPTOGENICO + ESCLEROSIS PORTAL"/>
    <m/>
    <s v="COSTA RICA"/>
    <s v="SAN JOSE"/>
    <s v="TIBAS"/>
    <s v="SAN JUAN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5-17T00:00:00"/>
    <n v="0"/>
    <n v="73"/>
    <n v="2.3983572895277208"/>
    <n v="0.1998631074606434"/>
  </r>
  <r>
    <x v="1"/>
    <s v="UP2101 - HOSPITAL RAFAEL A. CALDERÓN GUARDIA"/>
    <s v="DF.38.2025"/>
    <s v="HIGADO"/>
    <x v="0"/>
    <m/>
    <m/>
    <m/>
    <m/>
    <s v="CADAVÉRICO"/>
    <s v="PAULO CESAR"/>
    <s v="HERNANDEZ"/>
    <s v="GOMEZ"/>
    <n v="112130992"/>
    <x v="225"/>
    <s v="MASCULINO"/>
    <d v="1984-08-10T00:00:00"/>
    <n v="40.843258042436688"/>
    <s v="O+"/>
    <m/>
    <s v="HAI"/>
    <m/>
    <s v="COSTA RICA"/>
    <s v="SAN JOSE"/>
    <s v="GOICOECHEA"/>
    <s v="GUADALUPE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6-14T00:00:00"/>
    <n v="0"/>
    <n v="45"/>
    <n v="1.4784394250513346"/>
    <n v="0.12320328542094455"/>
  </r>
  <r>
    <x v="1"/>
    <s v="UP2101 - HOSPITAL RAFAEL A. CALDERÓN GUARDIA"/>
    <s v="DF.40.2025"/>
    <s v="HIGADO"/>
    <x v="0"/>
    <m/>
    <m/>
    <m/>
    <m/>
    <s v="CADAVÉRICO"/>
    <s v="SABINO GERARDO"/>
    <s v="VILLALOBOS"/>
    <s v="BARAHONA"/>
    <n v="601620240"/>
    <x v="226"/>
    <s v="MASCULINO"/>
    <d v="1961-08-03T00:00:00"/>
    <n v="63.88227241615332"/>
    <s v="O+"/>
    <n v="45635"/>
    <s v="HCE"/>
    <m/>
    <s v="COSTA RICA"/>
    <s v="SAN JOSE"/>
    <s v="GOICOECHEA"/>
    <s v="CALLE BLANCOS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6-21T00:00:00"/>
    <n v="0"/>
    <n v="38"/>
    <n v="1.2484599589322383"/>
    <n v="0.10403832991101986"/>
  </r>
  <r>
    <x v="1"/>
    <s v="UP2101 - HOSPITAL RAFAEL A. CALDERÓN GUARDIA"/>
    <s v="DF.41.2025"/>
    <s v="HIGADO"/>
    <x v="0"/>
    <m/>
    <m/>
    <m/>
    <m/>
    <s v="CADAVÉRICO"/>
    <s v="LUIS RODOLFO"/>
    <s v="NAVARRO"/>
    <s v="MONTERO"/>
    <n v="203980903"/>
    <x v="227"/>
    <s v="MASCULINO"/>
    <d v="1963-10-08T00:00:00"/>
    <n v="61.705681040383297"/>
    <s v="A+"/>
    <n v="45820"/>
    <s v="EHCA"/>
    <m/>
    <s v="COSTA RICA"/>
    <s v="ALAJUELA"/>
    <s v="GRECIA"/>
    <s v="BOLIVAR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6-22T00:00:00"/>
    <n v="0"/>
    <n v="37"/>
    <n v="1.215605749486653"/>
    <n v="0.10130047912388775"/>
  </r>
  <r>
    <x v="1"/>
    <s v="UP2101 - HOSPITAL RAFAEL A. CALDERÓN GUARDIA"/>
    <s v="DF.42.2025"/>
    <s v="HIGADO"/>
    <x v="0"/>
    <m/>
    <m/>
    <m/>
    <m/>
    <s v="CADAVÉRICO"/>
    <s v="GLORIANA"/>
    <s v="RAMIREZ"/>
    <s v="VIQUEZ"/>
    <n v="401980483"/>
    <x v="228"/>
    <s v="FEMENINA"/>
    <d v="1988-05-25T00:00:00"/>
    <n v="37.086926762491444"/>
    <s v="B+"/>
    <n v="45831"/>
    <s v="HEPATITIS AUTOINMUNE"/>
    <m/>
    <s v="COSTA RICA"/>
    <s v="SAN JOSE"/>
    <s v="CURRIDABAT"/>
    <s v="CURRIDABAT"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6-26T00:00:00"/>
    <n v="0"/>
    <n v="33"/>
    <n v="1.0841889117043122"/>
    <n v="9.034907597535935E-2"/>
  </r>
  <r>
    <x v="0"/>
    <s v="UP2104 - HOSPITAL MÉXICO"/>
    <m/>
    <s v="HIGADO"/>
    <x v="0"/>
    <m/>
    <m/>
    <m/>
    <m/>
    <s v="CADAVÉRICO"/>
    <s v="JAVIER ANTONIO"/>
    <s v="VINDAS"/>
    <s v="ESQUIVEL"/>
    <n v="203910595"/>
    <x v="229"/>
    <s v="MASCULINO"/>
    <d v="1964-04-03T00:00:00"/>
    <n v="61.13620807665982"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5-23T00:00:00"/>
    <n v="0"/>
    <n v="67"/>
    <n v="2.2012320328542097"/>
    <n v="0.1834360027378508"/>
  </r>
  <r>
    <x v="0"/>
    <s v="UP2104 - HOSPITAL MÉXICO"/>
    <m/>
    <s v="HIGADO"/>
    <x v="0"/>
    <m/>
    <m/>
    <m/>
    <m/>
    <s v="CADAVÉRICO"/>
    <s v="STEPHANIE ALEXANDRA"/>
    <s v="PALACIOS"/>
    <s v="MARIN"/>
    <n v="118250324"/>
    <x v="230"/>
    <s v="FEMENINA"/>
    <d v="2001-06-29T00:00:00"/>
    <n v="23.969883641341546"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6-18T00:00:00"/>
    <n v="0"/>
    <n v="41"/>
    <n v="1.3470225872689938"/>
    <n v="0.11225188227241616"/>
  </r>
  <r>
    <x v="0"/>
    <s v="UP2104 - HOSPITAL MÉXICO"/>
    <m/>
    <s v="HIGADO"/>
    <x v="0"/>
    <m/>
    <m/>
    <m/>
    <m/>
    <s v="CADAVÉRICO"/>
    <s v="MANUEL"/>
    <s v="VILLAGRA"/>
    <s v="SUAREZ"/>
    <n v="601540070"/>
    <x v="230"/>
    <s v="MASCULINO"/>
    <d v="1960-09-27T00:00:00"/>
    <n v="64.722792607802873"/>
    <m/>
    <m/>
    <m/>
    <m/>
    <m/>
    <m/>
    <m/>
    <m/>
    <m/>
    <m/>
    <m/>
    <m/>
    <m/>
    <m/>
    <m/>
    <m/>
    <m/>
    <m/>
    <m/>
    <m/>
    <x v="0"/>
    <d v="2025-06-23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6-18T00:00:00"/>
    <n v="1"/>
    <n v="5"/>
    <n v="0.16427104722792607"/>
    <n v="1.3689253935660506E-2"/>
  </r>
  <r>
    <x v="0"/>
    <s v="UP2104 - HOSPITAL MÉXICO"/>
    <m/>
    <s v="HIGADO"/>
    <x v="0"/>
    <m/>
    <m/>
    <m/>
    <m/>
    <s v="CADAVÉRICO"/>
    <s v="MAINOR"/>
    <s v="ACUÑA"/>
    <s v="CESPEDES"/>
    <n v="503740042"/>
    <x v="231"/>
    <s v="MASCULINO"/>
    <d v="1989-11-16T00:00:00"/>
    <n v="35.616700889801507"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6-29T00:00:00"/>
    <n v="0"/>
    <n v="30"/>
    <n v="0.98562628336755642"/>
    <n v="8.2135523613963035E-2"/>
  </r>
  <r>
    <x v="0"/>
    <s v="UP2104 - HOSPITAL MÉXICO"/>
    <m/>
    <s v="HIGADO"/>
    <x v="0"/>
    <m/>
    <m/>
    <m/>
    <m/>
    <s v="CADAVÉRICO"/>
    <s v="JUANA ESMERALDA"/>
    <s v="VEGA"/>
    <s v="JARQUÍN"/>
    <n v="204140683"/>
    <x v="232"/>
    <s v="FEMENINA"/>
    <d v="1966-02-17T00:00:00"/>
    <n v="59.392197125256672"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7-10T00:00:00"/>
    <n v="0"/>
    <n v="19"/>
    <s v="\"/>
    <n v="5.2019164955509928E-2"/>
  </r>
  <r>
    <x v="2"/>
    <m/>
    <m/>
    <s v="HIGADO"/>
    <x v="1"/>
    <m/>
    <m/>
    <m/>
    <m/>
    <s v="VIVO"/>
    <s v="LIANNE"/>
    <s v="ARAYA"/>
    <s v="LOAIZA"/>
    <n v="306690072"/>
    <x v="233"/>
    <s v="FEMENINA"/>
    <d v="2022-07-16T00:00:00"/>
    <n v="3.0006844626967832"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5-07-16T00:00:00"/>
    <n v="0"/>
    <n v="13"/>
    <n v="0.4271047227926078"/>
    <n v="3.5592060232717319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FAE77-FA56-6246-B75A-1EF77976E383}" name="TablaDinámica1" cacheId="1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8" indent="0" outline="1" outlineData="1" multipleFieldFilters="0">
  <location ref="A3:E14" firstHeaderRow="1" firstDataRow="3" firstDataCol="1"/>
  <pivotFields count="78"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2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20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9"/>
        <item x="223"/>
        <item x="222"/>
        <item x="221"/>
        <item x="224"/>
        <item x="225"/>
        <item x="226"/>
        <item x="227"/>
        <item x="228"/>
        <item x="230"/>
        <item x="231"/>
        <item x="232"/>
        <item x="2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x="0"/>
        <item x="5"/>
        <item t="default"/>
      </items>
    </pivotField>
    <pivotField axis="axisCol" showAll="0">
      <items count="18"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sd="0" x="13"/>
        <item sd="0" x="14"/>
        <item sd="0" x="15"/>
        <item h="1" x="0"/>
        <item h="1" x="16"/>
        <item t="default"/>
      </items>
    </pivotField>
  </pivotFields>
  <rowFields count="2">
    <field x="0"/>
    <field x="4"/>
  </rowFields>
  <rowItems count="9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t="grand">
      <x/>
    </i>
  </rowItems>
  <colFields count="2">
    <field x="77"/>
    <field x="38"/>
  </colFields>
  <colItems count="4">
    <i>
      <x v="12"/>
    </i>
    <i>
      <x v="13"/>
    </i>
    <i>
      <x v="14"/>
    </i>
    <i t="grand">
      <x/>
    </i>
  </colItems>
  <dataFields count="1">
    <dataField name="Cuenta de CEDULA/ID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DE9F7-8D9A-475B-AD28-B7CA9459CF65}" name="TablaDinámica1" cacheId="0" applyNumberFormats="0" applyBorderFormats="0" applyFontFormats="0" applyPatternFormats="0" applyAlignmentFormats="0" applyWidthHeightFormats="1" dataCaption="Valores" showMissing="0" updatedVersion="8" minRefreshableVersion="3" useAutoFormatting="1" itemPrintTitles="1" createdVersion="8" indent="0" outline="1" outlineData="1" multipleFieldFilters="0">
  <location ref="A5:D22" firstHeaderRow="1" firstDataRow="2" firstDataCol="1"/>
  <pivotFields count="78">
    <pivotField axis="axisRow" dataField="1" showAll="0">
      <items count="8">
        <item x="5"/>
        <item x="1"/>
        <item x="4"/>
        <item x="3"/>
        <item x="0"/>
        <item x="2"/>
        <item m="1" x="6"/>
        <item t="default"/>
      </items>
    </pivotField>
    <pivotField showAll="0"/>
    <pivotField showAll="0"/>
    <pivotField showAll="0"/>
    <pivotField axis="axisRow" multipleItemSelectionAllowed="1" showAll="0">
      <items count="4">
        <item x="0"/>
        <item x="1"/>
        <item h="1"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>
      <items count="5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30"/>
        <item x="422"/>
        <item x="423"/>
        <item m="1" x="543"/>
        <item x="425"/>
        <item m="1" x="544"/>
        <item x="538"/>
        <item m="1" x="545"/>
        <item x="428"/>
        <item x="427"/>
        <item x="447"/>
        <item x="429"/>
        <item x="421"/>
        <item x="431"/>
        <item x="432"/>
        <item x="433"/>
        <item x="487"/>
        <item x="434"/>
        <item x="435"/>
        <item x="436"/>
        <item x="437"/>
        <item x="438"/>
        <item x="439"/>
        <item x="424"/>
        <item x="441"/>
        <item x="537"/>
        <item x="443"/>
        <item x="444"/>
        <item x="445"/>
        <item x="446"/>
        <item x="442"/>
        <item x="460"/>
        <item x="449"/>
        <item x="450"/>
        <item x="540"/>
        <item x="452"/>
        <item x="453"/>
        <item x="541"/>
        <item x="454"/>
        <item x="455"/>
        <item x="456"/>
        <item x="457"/>
        <item x="458"/>
        <item x="488"/>
        <item x="536"/>
        <item x="486"/>
        <item x="461"/>
        <item x="462"/>
        <item x="463"/>
        <item x="473"/>
        <item x="472"/>
        <item x="440"/>
        <item x="465"/>
        <item x="426"/>
        <item x="466"/>
        <item x="467"/>
        <item x="468"/>
        <item x="469"/>
        <item x="470"/>
        <item x="471"/>
        <item x="451"/>
        <item x="474"/>
        <item x="475"/>
        <item x="476"/>
        <item x="448"/>
        <item x="477"/>
        <item x="478"/>
        <item x="479"/>
        <item x="480"/>
        <item x="481"/>
        <item x="482"/>
        <item x="483"/>
        <item x="535"/>
        <item x="484"/>
        <item x="485"/>
        <item x="459"/>
        <item x="464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m="1" x="546"/>
        <item x="511"/>
        <item x="512"/>
        <item x="513"/>
        <item x="514"/>
        <item x="515"/>
        <item x="516"/>
        <item x="517"/>
        <item x="518"/>
        <item x="519"/>
        <item x="520"/>
        <item x="528"/>
        <item x="521"/>
        <item x="522"/>
        <item x="533"/>
        <item x="526"/>
        <item x="529"/>
        <item x="524"/>
        <item x="530"/>
        <item x="531"/>
        <item x="525"/>
        <item x="523"/>
        <item x="527"/>
        <item x="534"/>
        <item x="532"/>
        <item x="539"/>
        <item x="5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4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x="10"/>
        <item x="11"/>
        <item h="1" sd="0" x="12"/>
        <item t="default"/>
      </items>
    </pivotField>
  </pivotFields>
  <rowFields count="2">
    <field x="0"/>
    <field x="4"/>
  </rowFields>
  <rowItems count="16"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 t="grand">
      <x/>
    </i>
  </rowItems>
  <colFields count="1">
    <field x="77"/>
  </colFields>
  <colItems count="3">
    <i>
      <x v="10"/>
    </i>
    <i>
      <x v="11"/>
    </i>
    <i t="grand">
      <x/>
    </i>
  </colItems>
  <dataFields count="1">
    <dataField name="Cuenta de UP_TRASPLANT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5CC84D-19F9-452C-B7E0-1F9AA0CC0CB6}" name="Tabla3" displayName="Tabla3" ref="A1:BS39" totalsRowShown="0">
  <autoFilter ref="A1:BS39" xr:uid="{1C5CC84D-19F9-452C-B7E0-1F9AA0CC0CB6}"/>
  <tableColumns count="71">
    <tableColumn id="1" xr3:uid="{CD47D390-93FB-4193-903B-90626CA8348C}" name="UP_TRASPLANTA"/>
    <tableColumn id="2" xr3:uid="{CAA19C34-59E3-433A-996A-487A114E04AA}" name="UP_ENLISTA"/>
    <tableColumn id="3" xr3:uid="{2562B5C9-0BF4-459A-803E-E8C36835ACFA}" name="NO_OPERATIVO"/>
    <tableColumn id="4" xr3:uid="{F4D9FB2A-D07F-4B8E-A0FC-74C89F6C5286}" name="ORGANO"/>
    <tableColumn id="5" xr3:uid="{1DEE0D10-417A-46C8-8128-421E457066C8}" name="TIPO_DONANTE"/>
    <tableColumn id="15" xr3:uid="{350A106E-B6E6-4D8F-BF62-7D6210CAD0B0}" name="FECHA_TRASPLANTE" dataDxfId="23"/>
    <tableColumn id="11" xr3:uid="{0B0B04B2-49D7-4ABC-B66B-F85FBB117C26}" name="NOMBRE"/>
    <tableColumn id="12" xr3:uid="{BF7FF389-8E43-42CB-9BA1-59B49D79AF27}" name="PRIMER_APELLIDO"/>
    <tableColumn id="13" xr3:uid="{77DE3C8F-C326-4911-BE30-544F30BD0246}" name="SEGUNDO_APELLIDO"/>
    <tableColumn id="14" xr3:uid="{C613582C-4E0F-4E5F-A5F0-5381F5A39C07}" name="CEDULA/ID"/>
    <tableColumn id="16" xr3:uid="{15C1CA0F-EC99-492F-B7A2-05833C658D8C}" name="SEXO"/>
    <tableColumn id="17" xr3:uid="{C622CF4E-BC88-4C89-9733-99240F037A1E}" name="FECHA_NAC" dataDxfId="22"/>
    <tableColumn id="18" xr3:uid="{50653DE7-C79A-4684-BFAB-045F409934DE}" name="EDAD"/>
    <tableColumn id="19" xr3:uid="{F86A7322-8265-46D7-B5AD-C536B01B4BE9}" name="GRUPO/RH"/>
    <tableColumn id="20" xr3:uid="{C5C8FC25-B6A8-4958-86D0-36118B501327}" name="INGRESO_LE" dataDxfId="21"/>
    <tableColumn id="21" xr3:uid="{95AACAEC-D1D8-487D-90C2-4A7CBE554C37}" name="DIAGNSTICO"/>
    <tableColumn id="24" xr3:uid="{B4191011-8A91-40B2-9188-22CA8A4EB39B}" name="NACIONALIDAD"/>
    <tableColumn id="25" xr3:uid="{15318ADE-C370-4FD7-995F-DA5357BA6409}" name="PROVINCIA"/>
    <tableColumn id="26" xr3:uid="{15F4CD29-7F94-4E58-AB73-3316DF962AE6}" name="CANTON"/>
    <tableColumn id="27" xr3:uid="{5B17B33E-2157-42E5-B40B-9A1752FA5F80}" name="DISTRITO"/>
    <tableColumn id="28" xr3:uid="{3F471BCB-6420-4A59-817D-DC902A2004A1}" name="TIEMPO ISQUEMIA FRIA (HORAS)"/>
    <tableColumn id="29" xr3:uid="{5436CDA1-EF63-4205-9F2E-D5DCD9E415FD}" name="TIEMPO DE CIRUGÍA DE BANCO (MINUTOS)"/>
    <tableColumn id="30" xr3:uid="{EE5D3A94-83DE-4401-82FF-E3974787BACF}" name="TIEMPO QUIRÚRGICO DEL TRASPLANTE (HORAS)"/>
    <tableColumn id="31" xr3:uid="{C55F4034-D51E-48C4-9FE6-C9158F34C588}" name="ESTANCIA EN UCI/ DIAS"/>
    <tableColumn id="32" xr3:uid="{E6005C3A-7A1B-4981-BDC3-F22F72B3DDD4}" name="FUNCIÓN RETARDADA DEL INJERTO (SI/N0)"/>
    <tableColumn id="33" xr3:uid="{9FF0D1C1-BDE2-42E5-AB23-06F985FC4C34}" name="EVOLUCION RECEPTOR MENOR A 48H"/>
    <tableColumn id="34" xr3:uid="{16D2571D-6010-45F7-BC6A-D6E12B5D320C}" name="EVOLUCIÓN RECEPTOR A 1 MES"/>
    <tableColumn id="35" xr3:uid="{FF80420A-1CD9-4B85-87D7-16150B6022FA}" name="EVOLUCIÓN RECEPTOR A 6 MESES"/>
    <tableColumn id="36" xr3:uid="{5440C2F5-E8AD-40DE-9D0A-761592B2A77C}" name="EVOLUCIÓN RECEPTOR A  1 AÑO"/>
    <tableColumn id="37" xr3:uid="{ECA58EC1-716A-4C05-8937-4FB2D30B0992}" name="EVOLUCIÓN RECEPTOR A 3 AÑOS"/>
    <tableColumn id="38" xr3:uid="{A0BE080D-A0B6-4254-A21C-4F8AA9D419F9}" name="EVOLUCIÓN RECEPTOR A 5 AÑOS"/>
    <tableColumn id="39" xr3:uid="{9189828F-142B-40E8-9020-BE7A0049D8CF}" name="EVOLUCIÓN RECEPTOR A 10 AÑOS"/>
    <tableColumn id="40" xr3:uid="{E1A3398F-76B1-44A3-B40D-5218DBEF54C6}" name="FALLECIDO SI/NO"/>
    <tableColumn id="41" xr3:uid="{88D45410-CF3A-439B-B2D4-D246DB5A6F30}" name="FECHA DE DEFUNCIÓN" dataDxfId="20"/>
    <tableColumn id="42" xr3:uid="{46698BCF-9199-4C87-9A92-458C1F5C09CC}" name="CAUSA MUERTE" dataDxfId="19"/>
    <tableColumn id="43" xr3:uid="{E071F182-8C69-4E98-9E05-79728F9ABAF4}" name="DEFUNCIÓN CON INJERTO FUNCIONAL SI/NO"/>
    <tableColumn id="44" xr3:uid="{8801DF2A-5212-4B9B-8A94-497512083AC0}" name="INJERTO FUNCIONAL A 1 MES"/>
    <tableColumn id="45" xr3:uid="{C971F71F-47CA-4A7E-A0E6-51BCE4FE2233}" name="INJERTO FUNCIONAL A 1 AÑO"/>
    <tableColumn id="46" xr3:uid="{8C5BF567-5F6A-435A-B1D5-99475287F31C}" name="INJERTO FUNCIONAL A 3 AÑOS"/>
    <tableColumn id="47" xr3:uid="{D822406E-B1CB-432A-8AF8-2560DF05B3DD}" name="INJERTO FUNCIONAL A 5 AÑOS"/>
    <tableColumn id="48" xr3:uid="{B71BF29E-9113-4A29-B195-E3F4657DA81F}" name="INJERTO FUNCIONAL A 1O AÑOS"/>
    <tableColumn id="49" xr3:uid="{7841BF20-5434-450F-9819-D3AB6FE9D2C2}" name="FECHA FALLO INJERTO"/>
    <tableColumn id="50" xr3:uid="{0ADA361A-DB4F-4100-A2C1-6F158776EC6D}" name="CAUSA DE FALLO DE INJERTO"/>
    <tableColumn id="51" xr3:uid="{99278EB7-393F-459C-A28A-86F909066C73}" name="DESENLACE"/>
    <tableColumn id="52" xr3:uid="{191F5DB0-8C74-456A-9A61-8B3281AC2280}" name="RECHAZO AGUDO"/>
    <tableColumn id="53" xr3:uid="{96B3650B-98F3-4EFA-AA87-A38AAEABB2F9}" name="FECHA RECHAZO AGUDO"/>
    <tableColumn id="57" xr3:uid="{0F5239F6-0179-43D1-B361-2D8C898FE7E7}" name="COMPLICACION QUIRÚRGICA POSTRASPLANTE"/>
    <tableColumn id="58" xr3:uid="{799394E7-8FD7-48BB-9C3A-F76F313428EA}" name="FECHA DE COMPLICACIÓN QUIRÚRGICA"/>
    <tableColumn id="59" xr3:uid="{3B0A363A-A10E-4C42-BF19-C8DCFED0AE0E}" name="TIPO DE COMPLICACIÓN  "/>
    <tableColumn id="60" xr3:uid="{F4AAE30E-17FE-4826-B09E-6FC56A6E3B48}" name="DESCRIPCIÓN DE LA COMPLICACIÓN"/>
    <tableColumn id="61" xr3:uid="{41DD6131-C15F-437A-9C1A-94DD58C0543C}" name="AMERITÓ REINTERVENCIÓN"/>
    <tableColumn id="62" xr3:uid="{2F362A7E-1FF6-4409-A8F4-A7663AC91701}" name="INFECCIÓN SI/NO"/>
    <tableColumn id="63" xr3:uid="{A599E718-E2E5-4D50-B4D8-2B6D98517426}" name="FECHA DE INFECCIÓN"/>
    <tableColumn id="64" xr3:uid="{A50900FE-E135-4372-AED5-5A7E25483FF4}" name="TIPO DE INFECCIÓN"/>
    <tableColumn id="65" xr3:uid="{97F4B4AD-0248-4383-9255-379D31911E44}" name="CÁNCER POSTRASPLANTE"/>
    <tableColumn id="66" xr3:uid="{B2E291BB-B306-40BB-96AF-EF1C99AD7E6A}" name="FECHA DE DETECCIÓN"/>
    <tableColumn id="67" xr3:uid="{568502DC-09E8-45E3-B978-D23E4D85CD4F}" name="TIPO DE CÁNCER"/>
    <tableColumn id="6" xr3:uid="{3AEE5F0E-9660-4196-9F00-0C69924D27A3}" name="DONANTE CRITERIOS EXTENDIDOS"/>
    <tableColumn id="68" xr3:uid="{A40B3B0E-2B00-4380-BF27-2320026A7DE1}" name="CEDULA/ID_D"/>
    <tableColumn id="69" xr3:uid="{B8B138DF-0142-4837-9173-2989D6CB01D5}" name="SEXO_D"/>
    <tableColumn id="70" xr3:uid="{67C26D6B-FD58-4DBA-8E3F-A71ECC9F69FD}" name="NACIONALIDAD_D"/>
    <tableColumn id="7" xr3:uid="{BCE8CF04-6F6C-45CB-AF9B-E077203C1B63}" name="GRUPO/RH_D"/>
    <tableColumn id="8" xr3:uid="{5F021B31-29A1-4F73-AD3E-B458CBD95309}" name="FECHA_NAC_D"/>
    <tableColumn id="9" xr3:uid="{41019259-05BB-4DE7-A459-4007DA7A5B54}" name="EDAD_D"/>
    <tableColumn id="10" xr3:uid="{D730D745-A8A9-46B3-A64C-AD9E0BA4BB47}" name="REL_RECEPTOR"/>
    <tableColumn id="71" xr3:uid="{822CF40D-FC1B-484E-BA2D-171337C473FB}" name="OBSERVACIONES"/>
    <tableColumn id="72" xr3:uid="{F67520A3-59E8-4036-951A-161D0A697B7A}" name="ANO_TRASPLANTE"/>
    <tableColumn id="73" xr3:uid="{B930D890-0F86-4551-9F29-0F345E8A6B34}" name="FALLECIDO_COD"/>
    <tableColumn id="74" xr3:uid="{C3300FCF-6BE3-4C3A-A2DD-165DCF46404D}" name="DIAS_SV"/>
    <tableColumn id="75" xr3:uid="{EF40DBBD-C711-45E6-8EC7-2E91055DB8FD}" name="MESES_SV"/>
    <tableColumn id="76" xr3:uid="{79D1E018-A946-4AF1-977D-D6DBA5094FD2}" name="ANOS_SV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23C88A-099C-EF4C-9AA3-87A97E3E33ED}" name="higado" displayName="higado" ref="A1:BW240" totalsRowShown="0">
  <autoFilter ref="A1:BW240" xr:uid="{969203B6-0A26-4D4F-B282-0AF7F9FDA430}"/>
  <tableColumns count="75">
    <tableColumn id="1" xr3:uid="{7F49C760-154E-7D40-B6C4-661EB6597C26}" name="UP_TRASPLANTA"/>
    <tableColumn id="2" xr3:uid="{52646F08-1BD6-CA45-9745-E908BE4BAD6B}" name="UP_ENLISTA"/>
    <tableColumn id="3" xr3:uid="{C597DDB0-281D-2546-9F33-5BB7B42054C1}" name="NO_OPERATIVO"/>
    <tableColumn id="4" xr3:uid="{D23D9BFD-82CF-6E4E-969A-C66E3853DB54}" name="ORGANO"/>
    <tableColumn id="5" xr3:uid="{9EC84A83-06AB-7240-943F-ECA269F92D60}" name="TIPO_DONANTE"/>
    <tableColumn id="6" xr3:uid="{EC3B6B58-3371-5746-A0C0-4F4B36484D54}" name="DONANTE CRITERIOS EXTENDIDOS"/>
    <tableColumn id="7" xr3:uid="{A5EF0ACE-C74E-2F4A-B4BB-6484C1CDDCA0}" name="GRUPO/RH_D"/>
    <tableColumn id="8" xr3:uid="{08187A7B-1BD4-7B43-BBB3-5E670B636458}" name="FECHA_NAC_D"/>
    <tableColumn id="9" xr3:uid="{E712BB83-D4CF-0F44-87B4-D15CA66FD657}" name="EDAD_D"/>
    <tableColumn id="10" xr3:uid="{8782BC84-DC2B-1B4A-A4AA-11AFE6760355}" name="REL_RECEPTOR"/>
    <tableColumn id="11" xr3:uid="{FA17F448-0F5D-6547-838E-207DE716328F}" name="NOMBRE"/>
    <tableColumn id="12" xr3:uid="{E6519493-3C28-F841-9740-1B77535EF6FA}" name="PRIMER_APELLIDO"/>
    <tableColumn id="13" xr3:uid="{9938E414-3025-5444-82C1-675F0F70BCF1}" name="SEGUNDO_APELLIDO"/>
    <tableColumn id="14" xr3:uid="{5C9ED6FC-5498-A64B-8332-5538D745DC6C}" name="CEDULA/ID"/>
    <tableColumn id="15" xr3:uid="{EBE97AED-2A30-DF48-9AF7-844220A36B0F}" name="FECHA_TRASPLANTE" dataDxfId="18"/>
    <tableColumn id="16" xr3:uid="{0F66340F-F5B0-144B-94FB-F4DEFCF5BB35}" name="SEXO"/>
    <tableColumn id="17" xr3:uid="{AB0B3283-69BC-B74C-B8F6-36CD222AC162}" name="FECHA_NAC" dataDxfId="17"/>
    <tableColumn id="18" xr3:uid="{1155965F-74D7-C04B-99F5-B98C59697BCB}" name="EDAD" dataDxfId="16">
      <calculatedColumnFormula>(higado[[#This Row],[FECHA_TRASPLANTE]]-higado[[#This Row],[FECHA_NAC]])/365.25</calculatedColumnFormula>
    </tableColumn>
    <tableColumn id="19" xr3:uid="{7873E3A4-B1B8-8D43-B11C-B406A02224F8}" name="GRUPO/RH"/>
    <tableColumn id="20" xr3:uid="{E1570207-A7FB-004F-9525-B5739AF2DFD9}" name="INGRESO_LE" dataDxfId="15"/>
    <tableColumn id="21" xr3:uid="{15112750-F77C-AE42-8556-D31824EB5ED9}" name="DIAGNSTICO"/>
    <tableColumn id="22" xr3:uid="{690F5B37-4FD6-584D-A947-D4BE542575CF}" name="MELD/PELD"/>
    <tableColumn id="23" xr3:uid="{D2798C7A-5A7C-6748-A787-E390F35766C3}" name="NACIONALIDAD"/>
    <tableColumn id="24" xr3:uid="{A05C8FC7-F35B-D049-8B64-4F8D55C6C61C}" name="PROVINCIA"/>
    <tableColumn id="25" xr3:uid="{3B05CF93-5FF2-2E4D-9C00-2B0F575B2D12}" name="CANTON"/>
    <tableColumn id="26" xr3:uid="{8643B689-077A-0F4C-ACF8-66CF34D0E2DE}" name="DISTRITO"/>
    <tableColumn id="27" xr3:uid="{97D63E96-8F03-5F44-ACA0-B6C0676FB7EB}" name="TIEMPO ISQUEMIA FRIA (HORAS)"/>
    <tableColumn id="28" xr3:uid="{5AB2D56B-DAE8-E248-87E3-488C7E6D8D2F}" name="TIEMPO DE CIRUGÍA DE BANCO (MINUTOS)"/>
    <tableColumn id="29" xr3:uid="{00130211-7E0E-B54A-9C52-9E553DCB40AE}" name="TIEMPO QUIRÚRGICO DEL TRASPLANTE (HORAS)"/>
    <tableColumn id="30" xr3:uid="{1E00D259-7E91-3347-95DD-445DAD7BF89D}" name="ESTANCIA EN UCI/ DIAS"/>
    <tableColumn id="31" xr3:uid="{212AC12F-214A-B142-A444-E7B8933B9EE6}" name="FUNCIÓN RETARDADA DEL INJERTO (SI/N0)"/>
    <tableColumn id="32" xr3:uid="{423B6950-162B-7C46-AE8C-70A439272010}" name="EVOLUCION RECEPTOR MENOR A 48H"/>
    <tableColumn id="33" xr3:uid="{FD2FE681-D21C-2348-ACCC-DBA3977D1368}" name="EVOLUCIÓN RECEPTOR A 1 MES"/>
    <tableColumn id="34" xr3:uid="{B41441A8-F029-C74F-A9A8-A4ACBC3E8521}" name="EVOLUCIÓN RECEPTOR A 6 MESES"/>
    <tableColumn id="35" xr3:uid="{390F4539-7330-6B46-963F-3C8E65A627FD}" name="EVOLUCIÓN RECEPTOR A  1 AÑO"/>
    <tableColumn id="36" xr3:uid="{989DE5A4-C8C3-4242-8748-8E7CEA5ED6A3}" name="EVOLUCIÓN RECEPTOR A 3 AÑOS"/>
    <tableColumn id="37" xr3:uid="{99946068-2EC9-AD48-AC89-8A71BE7E217B}" name="EVOLUCIÓN RECEPTOR A 5 AÑOS"/>
    <tableColumn id="38" xr3:uid="{F828BFF5-B805-DE4C-95D1-B719FFDBEA9D}" name="EVOLUCIÓN RECEPTOR A 10 AÑOS"/>
    <tableColumn id="39" xr3:uid="{6E28B64E-814C-694F-AE3A-288C7981787B}" name="FALLECIDO SI/NO"/>
    <tableColumn id="40" xr3:uid="{EA95A12F-ED2E-E344-A1D2-57EA9EE869B1}" name="FECHA DE DEFUNCIÓN" dataDxfId="14"/>
    <tableColumn id="41" xr3:uid="{0B171118-7829-F34A-B1F7-6A5080F4C92A}" name="CAUSA MUERTE"/>
    <tableColumn id="42" xr3:uid="{A436CC00-778B-4D4C-9341-1D18044054C1}" name="DEFUNCIÓN CON INJERTO FUNCIONAL SI/NO"/>
    <tableColumn id="43" xr3:uid="{8F1DA0AA-D489-624E-8066-FEEF9DAC917C}" name="INJERTO FUNCIONAL A 1 MES"/>
    <tableColumn id="44" xr3:uid="{7A4054C8-F49D-C049-A042-0FB043C688E6}" name="INJERTO FUNCIONAL A 1 AÑO"/>
    <tableColumn id="45" xr3:uid="{9F27640A-9BC1-F541-AE3D-5AD0E8069E1D}" name="INJERTO FUNCIONAL A 3 AÑOS"/>
    <tableColumn id="46" xr3:uid="{1A5964DD-5E50-5F46-A691-50AF14E79293}" name="INJERTO FUNCIONAL A 5 AÑOS"/>
    <tableColumn id="47" xr3:uid="{70DE31B8-0756-1E43-BF63-823E25F8948B}" name="INJERTO FUNCIONAL A 1O AÑOS"/>
    <tableColumn id="48" xr3:uid="{423841BB-2F33-A74C-A39D-77FF5941F9E0}" name="FECHA FALLO INJERTO"/>
    <tableColumn id="49" xr3:uid="{243E70F6-47B8-4745-A963-18E344982FEB}" name="CAUSA DE FALLO DE INJERTO"/>
    <tableColumn id="50" xr3:uid="{B7170509-10F5-0A4A-B46E-2900252EA89B}" name="DESENLACE"/>
    <tableColumn id="51" xr3:uid="{ABDFF6EE-9DE5-8340-A927-7EBD3F8DA081}" name="RECHAZO AGUDO"/>
    <tableColumn id="52" xr3:uid="{A83782BC-DBFB-544A-860D-58BBAECE92CF}" name="FECHA RECHAZO AGUDO"/>
    <tableColumn id="53" xr3:uid="{B8258799-4F31-974C-BB37-5C22D59A7B14}" name="TIPO DE INDUCCIÓN (BASILIXIMAB, TIMOGLOBULINA, AFERESIS + RITUXI)"/>
    <tableColumn id="54" xr3:uid="{8D19A266-E34A-7642-879B-36C18D3E89F9}" name="CREATININA SÉRICA A 1 AÑO POSTRASPLANTE"/>
    <tableColumn id="55" xr3:uid="{D64DB89D-BF38-BD46-AADC-71DD2F5795E2}" name="TFGE 12 MESES POSTRASPLANTE"/>
    <tableColumn id="56" xr3:uid="{3C2BC5E6-3726-4D49-8614-C6558E7DC66A}" name="COMPLICACION QUIRÚRGICA POSTRASPLANTE"/>
    <tableColumn id="57" xr3:uid="{E7B6E4FA-A7B3-3A45-A29F-D8574306FE80}" name="FECHA DE COMPLICACIÓN QUIRÚRGICA"/>
    <tableColumn id="58" xr3:uid="{685556D4-F8AB-A34B-8052-2740242FE747}" name="TIPO DE COMPLICACIÓN  "/>
    <tableColumn id="59" xr3:uid="{228B583D-E26A-A14B-882B-3AAF9262778A}" name="DESCRIPCIÓN DE LA COMPLICACIÓN"/>
    <tableColumn id="60" xr3:uid="{AD8EE39B-BD3B-5843-B8A2-C658DAB02CC5}" name="AMERITÓ REINTERVENCIÓN"/>
    <tableColumn id="61" xr3:uid="{A07D8712-CE5F-554A-B447-089887406CBF}" name="INFECCIÓN SI/NO"/>
    <tableColumn id="62" xr3:uid="{AF82EA76-B90F-C949-9EBA-D59380434FED}" name="FECHA DE INFECCIÓN"/>
    <tableColumn id="63" xr3:uid="{EBA10C20-0E43-7543-BB58-FAAE347B9730}" name="TIPO DE INFECCIÓN"/>
    <tableColumn id="64" xr3:uid="{5EC26CB2-6DB8-CD49-8AB2-1BC7DC5C92BD}" name="CÁNCER POSTRASPLANTE"/>
    <tableColumn id="65" xr3:uid="{2A4193D6-B9C1-9241-9109-9D94C4A20DFD}" name="FECHA DE DETECCIÓN"/>
    <tableColumn id="66" xr3:uid="{2413E79D-C55A-284E-8A6A-9D72434EA081}" name="TIPO DE CÁNCER"/>
    <tableColumn id="67" xr3:uid="{77F44995-79FF-FD4C-9899-35103FFDE818}" name="CEDULA/ID_D"/>
    <tableColumn id="68" xr3:uid="{C29B077B-2AA1-CF41-B3DA-0CFE212AF067}" name="SEXO_D"/>
    <tableColumn id="69" xr3:uid="{661BFADD-8B9E-6746-8294-E1BBC3A28867}" name="NACIONALIDAD_D"/>
    <tableColumn id="70" xr3:uid="{30211FB8-B80D-B842-B8A3-C17737BB9409}" name="OBSERVACIONES"/>
    <tableColumn id="71" xr3:uid="{6288EEA7-CAF4-A344-90FB-AD0773FE7AF6}" name="ANO_TRASPLANTE">
      <calculatedColumnFormula>higado[[#This Row],[FECHA_TRASPLANTE]]</calculatedColumnFormula>
    </tableColumn>
    <tableColumn id="72" xr3:uid="{322810F3-599A-D049-A7AA-EB7E67805A3D}" name="FALLECIDO_COD">
      <calculatedColumnFormula>IF(higado[[#This Row],[FALLECIDO SI/NO]]="NO",0,1)</calculatedColumnFormula>
    </tableColumn>
    <tableColumn id="73" xr3:uid="{5A9D5607-834B-5C46-9D36-4B96AA25C722}" name="DIAS_SV"/>
    <tableColumn id="74" xr3:uid="{238BEE8A-E623-2C4A-9725-B5CD112C6F9E}" name="#VALOR!"/>
    <tableColumn id="75" xr3:uid="{3BA38866-E845-1B41-9AFF-3C2DBDEE7E0C}" name="ANOS_SV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908C43-59BE-4F30-8852-8CB4752E1B21}" name="Tabla1" displayName="Tabla1" ref="A1:BX709" totalsRowShown="0">
  <autoFilter ref="A1:BX709" xr:uid="{0C908C43-59BE-4F30-8852-8CB4752E1B21}">
    <filterColumn colId="14">
      <filters>
        <dateGroupItem year="2025" dateTimeGrouping="year"/>
        <dateGroupItem year="2024" dateTimeGrouping="year"/>
      </filters>
    </filterColumn>
  </autoFilter>
  <tableColumns count="76">
    <tableColumn id="1" xr3:uid="{136437C4-F176-4EE7-916E-E98F4F087334}" name="UP_TRASPLANTA"/>
    <tableColumn id="2" xr3:uid="{4795761D-BF6D-450F-A048-9648D5CA3CBB}" name="UP_ENLISTA"/>
    <tableColumn id="3" xr3:uid="{43764799-015A-40F0-972C-27D4FCB2547A}" name="NO_OPERATIVO"/>
    <tableColumn id="4" xr3:uid="{AEA77531-1C40-49B0-90F7-D9323A8596FB}" name="ORGANO"/>
    <tableColumn id="5" xr3:uid="{DF5EB925-7F9E-4C99-9AC4-569773B1B7A1}" name="TIPO_DONANTE"/>
    <tableColumn id="6" xr3:uid="{59A6C4ED-BEC0-4148-9A19-2C2064012532}" name="DONANTE CRITERIOS EXTENDIDOS"/>
    <tableColumn id="7" xr3:uid="{4E4AE9FD-E97E-4F24-94E5-49A85A68496A}" name="GRUPO/RH_D"/>
    <tableColumn id="8" xr3:uid="{CD972F6D-4520-43F6-8956-181081EC781C}" name="FECHA_NAC_D" dataDxfId="13"/>
    <tableColumn id="9" xr3:uid="{F9073F0F-B3F2-4560-82B8-A2721EF09FD6}" name="EDAD_D"/>
    <tableColumn id="10" xr3:uid="{0F11A480-968F-4296-A468-6FB9E57F4C94}" name="REL_RECEPTOR"/>
    <tableColumn id="11" xr3:uid="{AF418CAD-9C37-46EB-8B88-7083272B9703}" name="NOMBRE"/>
    <tableColumn id="12" xr3:uid="{E5647499-869E-484D-BD33-555C43359AB2}" name="PRIMER_APELLIDO"/>
    <tableColumn id="13" xr3:uid="{9708B78A-6005-4513-ADD9-24A9FA3E91DB}" name="SEGUNDO_APELLIDO"/>
    <tableColumn id="14" xr3:uid="{2A9154B7-110B-4C2B-ACDF-D21112B4145C}" name="CEDULA/ID" dataDxfId="12"/>
    <tableColumn id="15" xr3:uid="{10C5BB23-429F-4EFB-82E9-408D23E89032}" name="FECHA_TRASPLANTE" dataDxfId="11"/>
    <tableColumn id="16" xr3:uid="{0B99A101-85E8-4130-AC77-3DB36A36F59B}" name="SEXO"/>
    <tableColumn id="17" xr3:uid="{82AD717C-6FC4-4E58-8FA5-9457D81F47E1}" name="FECHA_NAC" dataDxfId="10"/>
    <tableColumn id="18" xr3:uid="{FE30966A-85C3-4F11-948A-BC7EE5DEFB09}" name="EDAD">
      <calculatedColumnFormula>(Tabla1[[#This Row],[FECHA_TRASPLANTE]]-Tabla1[[#This Row],[FECHA_NAC]])/365.25</calculatedColumnFormula>
    </tableColumn>
    <tableColumn id="19" xr3:uid="{EED6A14E-C08C-424B-A7E3-3C486BDDD534}" name="GRUPO/RH"/>
    <tableColumn id="20" xr3:uid="{92C24A55-19C3-4914-99E0-5731B7D75AA8}" name="INGRESO_LE"/>
    <tableColumn id="21" xr3:uid="{4C71E545-D966-4ED0-A50E-A9B117DCE40D}" name="DIAGNSTICO"/>
    <tableColumn id="22" xr3:uid="{D26ECAEB-816F-4115-9168-0BF0432E1E9D}" name="TERAPIA_RENAL"/>
    <tableColumn id="24" xr3:uid="{24F02CA1-5DE2-495C-8C05-077B0233E5DA}" name="NACIONALIDAD"/>
    <tableColumn id="25" xr3:uid="{C1598D0F-C579-48CF-B5E1-5B5383F45737}" name="PROVINCIA"/>
    <tableColumn id="26" xr3:uid="{38B9938C-2B58-46F6-AAC0-3A4E18FA3C37}" name="CANTON"/>
    <tableColumn id="27" xr3:uid="{F1C22F1A-991E-4BCF-B338-23988AF35C02}" name="DISTRITO"/>
    <tableColumn id="28" xr3:uid="{CADCA9B5-463F-4C56-8A2B-017A32E975B1}" name="TIEMPO ISQUEMIA FRIA (HORAS)"/>
    <tableColumn id="29" xr3:uid="{83D3F9A2-586D-44BC-8985-5F42B43CE9F5}" name="TIEMPO DE CIRUGÍA DE BANCO (MINUTOS)"/>
    <tableColumn id="30" xr3:uid="{637D3396-17E4-40FD-A03A-6E9CBBCA0665}" name="TIEMPO QUIRÚRGICO DEL TRASPLANTE (HORAS)"/>
    <tableColumn id="31" xr3:uid="{7F3D30E4-20E4-4A92-AC10-CDA9D647F07C}" name="ESTANCIA EN UCI/ DIAS"/>
    <tableColumn id="32" xr3:uid="{AD2736CC-5466-4192-A8C5-DACF121A99EC}" name="FUNCIÓN RETARDADA DEL INJERTO (SI/N0)"/>
    <tableColumn id="33" xr3:uid="{4A941800-4B72-4241-AA12-BFD0C2A8E4E8}" name="EVOLUCION RECEPTOR MENOR A 48H"/>
    <tableColumn id="34" xr3:uid="{2EE255C4-7A5E-4545-8385-24A924AA7D0C}" name="EVOLUCIÓN RECEPTOR A 1 MES"/>
    <tableColumn id="35" xr3:uid="{AC14FE83-4BC1-4965-A0C9-D6511745D89E}" name="EVOLUCIÓN RECEPTOR A 6 MESES"/>
    <tableColumn id="36" xr3:uid="{A8089965-5535-49CC-BB67-20DCE88C8ED5}" name="EVOLUCIÓN RECEPTOR A  1 AÑO"/>
    <tableColumn id="37" xr3:uid="{5A38CA74-C2FF-45C7-83B8-6B72A6DD4221}" name="EVOLUCIÓN RECEPTOR A 3 AÑOS"/>
    <tableColumn id="38" xr3:uid="{98731808-32D2-4889-8ABB-77660B3AECCC}" name="EVOLUCIÓN RECEPTOR A 5 AÑOS"/>
    <tableColumn id="39" xr3:uid="{AC66DBFD-B3C1-40C3-8C21-78BD529A6C4F}" name="EVOLUCIÓN RECEPTOR A 10 AÑOS"/>
    <tableColumn id="40" xr3:uid="{540438A4-AE72-4796-A108-A99F2C828A31}" name="FALLECIDO SI/NO"/>
    <tableColumn id="41" xr3:uid="{8F26CEF2-B48F-4539-B160-31A5A35FEF86}" name="FECHA DE DEFUNCIÓN" dataDxfId="9"/>
    <tableColumn id="42" xr3:uid="{22639985-9493-4C50-8121-2C23FC043548}" name="CAUSA MUERTE"/>
    <tableColumn id="43" xr3:uid="{02D97FC7-2A19-44D1-97EA-573F03378570}" name="DEFUNCIÓN CON INJERTO FUNCIONAL SI/NO"/>
    <tableColumn id="44" xr3:uid="{C07424D5-0222-4EAA-A810-18F631A6BF9B}" name="INJERTO FUNCIONAL A 1 MES"/>
    <tableColumn id="45" xr3:uid="{7718C367-51E9-449E-930A-F858D693983D}" name="INJERTO FUNCIONAL A 1 AÑO"/>
    <tableColumn id="46" xr3:uid="{9ECA5706-31D8-48F3-98D0-0260E61315EE}" name="INJERTO FUNCIONAL A 3 AÑOS"/>
    <tableColumn id="47" xr3:uid="{18D9450C-EA65-4A08-A6E9-F4655778D0AF}" name="INJERTO FUNCIONAL A 5 AÑOS"/>
    <tableColumn id="48" xr3:uid="{C9DAB33E-3899-4694-B90E-3C6C32A4EB21}" name="INJERTO FUNCIONAL A 1O AÑOS"/>
    <tableColumn id="49" xr3:uid="{1C22DAF8-5C08-4237-8ABE-2562CBC87FA4}" name="FECHA FALLO INJERTO" dataDxfId="8"/>
    <tableColumn id="50" xr3:uid="{F29B39F3-25E3-4ABB-BACA-740CB011F8EB}" name="CAUSA DE FALLO DE INJERTO"/>
    <tableColumn id="51" xr3:uid="{BE20AD46-58F1-4466-94DB-5A93DE492DAE}" name="DESENLACE"/>
    <tableColumn id="52" xr3:uid="{93CCD07A-9D1C-4EAB-8CC0-DECAD3FB96CE}" name="RECHAZO AGUDO"/>
    <tableColumn id="53" xr3:uid="{52F4D468-A454-4A26-BF32-EFEDD86A9E07}" name="FECHA RECHAZO AGUDO"/>
    <tableColumn id="54" xr3:uid="{AC0F1953-DCBE-4359-8B96-489D74E2D51F}" name="TIPO DE INDUCCIÓN (BASILIXIMAB, TIMOGLOBULINA, AFERESIS + RITUXI)"/>
    <tableColumn id="55" xr3:uid="{01F00C3B-0741-428E-8632-11F33AD2EE31}" name="CREATININA SÉRICA A 1 AÑO POSTRASPLANTE"/>
    <tableColumn id="56" xr3:uid="{44ECA2ED-466A-4055-934F-50C64FBD6A45}" name="TFGE 12 MESES POSTRASPLANTE"/>
    <tableColumn id="57" xr3:uid="{44526F99-163F-4A75-BB25-A4B11365970F}" name="COMPLICACION QUIRÚRGICA POSTRASPLANTE"/>
    <tableColumn id="58" xr3:uid="{2149338C-FC1D-43C0-9C44-7BEB6BA12AE4}" name="FECHA DE COMPLICACIÓN QUIRÚRGICA"/>
    <tableColumn id="59" xr3:uid="{8AC143B7-C6DA-43DB-8678-58B23CA56DD9}" name="TIPO DE COMPLICACIÓN  "/>
    <tableColumn id="60" xr3:uid="{CE02096B-04E6-4ED3-83E7-9F711E382B5C}" name="DESCRIPCIÓN DE LA COMPLICACIÓN"/>
    <tableColumn id="61" xr3:uid="{F506FBF5-39FA-46DA-89C9-DE5FB0F19154}" name="AMERITÓ REINTERVENCIÓN"/>
    <tableColumn id="62" xr3:uid="{8022BAAA-EEE4-4784-AF0B-9E7B7A4A0121}" name="INFECCIÓN SI/NO"/>
    <tableColumn id="63" xr3:uid="{3081C2F0-D72D-41CF-BB17-1F44E55981C6}" name="FECHA DE INFECCIÓN"/>
    <tableColumn id="64" xr3:uid="{05CADEFE-2489-40FD-BD51-3FE19BF6A790}" name="TIPO DE INFECCIÓN"/>
    <tableColumn id="65" xr3:uid="{AEB1693D-9A80-4BC9-94E1-CC49797963BD}" name="CÁNCER POSTRASPLANTE"/>
    <tableColumn id="66" xr3:uid="{F2F1D51D-D1EA-43B7-81BD-4A98C79C5334}" name="FECHA DE DETECCIÓN"/>
    <tableColumn id="67" xr3:uid="{E9EF4A0B-9189-4F4C-856C-76C16AA31DEE}" name="TIPO DE CÁNCER"/>
    <tableColumn id="68" xr3:uid="{E3278A44-2029-4700-B672-2872D5CD70F4}" name="CEDULA/ID_D"/>
    <tableColumn id="69" xr3:uid="{B1F07374-2F4E-4263-BC63-DC4FB534EDA3}" name="SEXO_D"/>
    <tableColumn id="70" xr3:uid="{8C2F9649-D269-4973-8B89-AE3EE108544D}" name="NACIONALIDAD_D"/>
    <tableColumn id="23" xr3:uid="{1A013E3E-E349-437F-8BE9-C0618E31CD06}" name="PARENTESCO"/>
    <tableColumn id="71" xr3:uid="{63AE2F2E-2C04-4E20-B857-F5239F3F5B3C}" name="OBSERVACIONES"/>
    <tableColumn id="72" xr3:uid="{791B7088-6D03-4085-A1EE-F55B271A3F75}" name="AÑO TRASPLANTE" dataDxfId="7">
      <calculatedColumnFormula>Tabla1[[#This Row],[FECHA_TRASPLANTE]]</calculatedColumnFormula>
    </tableColumn>
    <tableColumn id="73" xr3:uid="{C506ADBE-C72D-45EB-9170-659F8E69D1BE}" name="FALLECIDO_COD"/>
    <tableColumn id="74" xr3:uid="{992828B0-4BFF-4F15-A816-663BDE0633F3}" name="DIAS_SV">
      <calculatedColumnFormula>IF(Tabla1[[#This Row],[FALLECIDO_COD]]=0,TODAY()-Tabla1[[#This Row],[FECHA_TRASPLANTE]],Tabla1[[#This Row],[FECHA DE DEFUNCIÓN]]-Tabla1[[#This Row],[FECHA_TRASPLANTE]])</calculatedColumnFormula>
    </tableColumn>
    <tableColumn id="75" xr3:uid="{6B017992-E299-4929-8534-48381F65F2F3}" name="MESES_SV">
      <calculatedColumnFormula>IF(Tabla1[[#This Row],[FALLECIDO_COD]]=0,TODAY()-Tabla1[[#This Row],[FECHA_TRASPLANTE]],Tabla1[[#This Row],[FECHA DE DEFUNCIÓN]]-Tabla1[[#This Row],[FECHA_TRASPLANTE]])/30.4375</calculatedColumnFormula>
    </tableColumn>
    <tableColumn id="76" xr3:uid="{C2591064-E80F-41E2-BDA2-C53A27D1A348}" name="ANOS_SV">
      <calculatedColumnFormula>IF(Tabla1[[#This Row],[FALLECIDO_COD]]=0,TODAY()-Tabla1[[#This Row],[FECHA_TRASPLANTE]],Tabla1[[#This Row],[FECHA DE DEFUNCIÓN]]-Tabla1[[#This Row],[FECHA_TRASPLANTE]])/365.25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DCB0C-0157-4186-8AC6-704D3948A167}">
  <dimension ref="A1:BW41"/>
  <sheetViews>
    <sheetView topLeftCell="AJ1" workbookViewId="0">
      <selection activeCell="N41" sqref="N41"/>
    </sheetView>
  </sheetViews>
  <sheetFormatPr defaultColWidth="11.453125" defaultRowHeight="14.5" x14ac:dyDescent="0.35"/>
  <cols>
    <col min="14" max="14" width="12" bestFit="1" customWidth="1"/>
    <col min="15" max="15" width="11.453125" style="2"/>
  </cols>
  <sheetData>
    <row r="1" spans="1:7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 x14ac:dyDescent="0.35">
      <c r="A2" t="s">
        <v>75</v>
      </c>
      <c r="B2" t="s">
        <v>75</v>
      </c>
      <c r="D2" t="s">
        <v>76</v>
      </c>
      <c r="E2" t="s">
        <v>77</v>
      </c>
      <c r="K2" t="s">
        <v>78</v>
      </c>
      <c r="L2" t="s">
        <v>79</v>
      </c>
      <c r="M2" t="s">
        <v>80</v>
      </c>
      <c r="N2">
        <v>602290370</v>
      </c>
      <c r="O2" s="2">
        <v>42034</v>
      </c>
      <c r="P2" t="s">
        <v>81</v>
      </c>
      <c r="Q2">
        <v>25602</v>
      </c>
      <c r="R2">
        <v>45.111873713109127</v>
      </c>
      <c r="W2" t="s">
        <v>82</v>
      </c>
      <c r="X2" t="s">
        <v>83</v>
      </c>
      <c r="Y2" t="s">
        <v>84</v>
      </c>
      <c r="Z2" t="s">
        <v>85</v>
      </c>
      <c r="AM2" t="s">
        <v>86</v>
      </c>
      <c r="AN2">
        <v>42035</v>
      </c>
      <c r="BS2">
        <v>2015</v>
      </c>
      <c r="BT2">
        <v>1</v>
      </c>
      <c r="BU2">
        <v>3763</v>
      </c>
      <c r="BV2">
        <v>123.63039014373716</v>
      </c>
      <c r="BW2">
        <v>10.302532511978097</v>
      </c>
    </row>
    <row r="3" spans="1:75" x14ac:dyDescent="0.35">
      <c r="A3" t="s">
        <v>75</v>
      </c>
      <c r="B3" t="s">
        <v>75</v>
      </c>
      <c r="D3" t="s">
        <v>76</v>
      </c>
      <c r="E3" t="s">
        <v>77</v>
      </c>
      <c r="K3" t="s">
        <v>87</v>
      </c>
      <c r="L3" t="s">
        <v>88</v>
      </c>
      <c r="M3" t="s">
        <v>89</v>
      </c>
      <c r="N3">
        <v>105780443</v>
      </c>
      <c r="O3" s="2">
        <v>42039</v>
      </c>
      <c r="P3" t="s">
        <v>90</v>
      </c>
      <c r="Q3">
        <v>22759</v>
      </c>
      <c r="R3">
        <v>52.930679478380235</v>
      </c>
      <c r="W3" t="s">
        <v>82</v>
      </c>
      <c r="X3" t="s">
        <v>91</v>
      </c>
      <c r="Y3" t="s">
        <v>91</v>
      </c>
      <c r="Z3" t="s">
        <v>92</v>
      </c>
      <c r="AM3" t="s">
        <v>86</v>
      </c>
      <c r="AN3">
        <v>43251</v>
      </c>
      <c r="BS3">
        <v>2015</v>
      </c>
      <c r="BT3">
        <v>1</v>
      </c>
      <c r="BU3">
        <v>3758</v>
      </c>
      <c r="BV3">
        <v>123.46611909650925</v>
      </c>
      <c r="BW3">
        <v>10.288843258042437</v>
      </c>
    </row>
    <row r="4" spans="1:75" x14ac:dyDescent="0.35">
      <c r="A4" t="s">
        <v>75</v>
      </c>
      <c r="B4" t="s">
        <v>75</v>
      </c>
      <c r="D4" t="s">
        <v>76</v>
      </c>
      <c r="E4" t="s">
        <v>77</v>
      </c>
      <c r="K4" t="s">
        <v>93</v>
      </c>
      <c r="L4" t="s">
        <v>94</v>
      </c>
      <c r="M4" t="s">
        <v>89</v>
      </c>
      <c r="N4">
        <v>603640337</v>
      </c>
      <c r="O4" s="2">
        <v>42068</v>
      </c>
      <c r="P4" t="s">
        <v>90</v>
      </c>
      <c r="Q4">
        <v>30940</v>
      </c>
      <c r="R4">
        <v>30.550446122168839</v>
      </c>
      <c r="W4" t="s">
        <v>82</v>
      </c>
      <c r="X4" t="s">
        <v>83</v>
      </c>
      <c r="Y4" t="s">
        <v>95</v>
      </c>
      <c r="Z4" t="s">
        <v>96</v>
      </c>
      <c r="AM4" t="s">
        <v>86</v>
      </c>
      <c r="AN4">
        <v>42964</v>
      </c>
      <c r="BS4">
        <v>2015</v>
      </c>
      <c r="BT4">
        <v>1</v>
      </c>
      <c r="BU4">
        <v>3729</v>
      </c>
      <c r="BV4">
        <v>122.51334702258727</v>
      </c>
      <c r="BW4">
        <v>10.209445585215606</v>
      </c>
    </row>
    <row r="5" spans="1:75" x14ac:dyDescent="0.35">
      <c r="A5" t="s">
        <v>75</v>
      </c>
      <c r="B5" t="s">
        <v>75</v>
      </c>
      <c r="D5" t="s">
        <v>76</v>
      </c>
      <c r="E5" t="s">
        <v>77</v>
      </c>
      <c r="K5" t="s">
        <v>97</v>
      </c>
      <c r="L5" t="s">
        <v>98</v>
      </c>
      <c r="M5" t="s">
        <v>99</v>
      </c>
      <c r="N5">
        <v>602720424</v>
      </c>
      <c r="O5" s="2">
        <v>42251</v>
      </c>
      <c r="P5" t="s">
        <v>81</v>
      </c>
      <c r="Q5">
        <v>27784</v>
      </c>
      <c r="R5">
        <v>39.717227179135207</v>
      </c>
      <c r="W5" t="s">
        <v>82</v>
      </c>
      <c r="X5" t="s">
        <v>83</v>
      </c>
      <c r="Y5" t="s">
        <v>100</v>
      </c>
      <c r="Z5" t="s">
        <v>101</v>
      </c>
      <c r="AM5" t="s">
        <v>86</v>
      </c>
      <c r="AN5">
        <v>44975</v>
      </c>
      <c r="BS5">
        <v>2015</v>
      </c>
      <c r="BT5">
        <v>1</v>
      </c>
      <c r="BU5">
        <v>3546</v>
      </c>
      <c r="BV5">
        <v>116.50102669404518</v>
      </c>
      <c r="BW5">
        <v>9.7084188911704317</v>
      </c>
    </row>
    <row r="6" spans="1:75" x14ac:dyDescent="0.35">
      <c r="A6" t="s">
        <v>75</v>
      </c>
      <c r="B6" t="s">
        <v>75</v>
      </c>
      <c r="D6" t="s">
        <v>76</v>
      </c>
      <c r="E6" t="s">
        <v>77</v>
      </c>
      <c r="K6" t="s">
        <v>102</v>
      </c>
      <c r="L6" t="s">
        <v>94</v>
      </c>
      <c r="M6" t="s">
        <v>103</v>
      </c>
      <c r="N6">
        <v>602480094</v>
      </c>
      <c r="O6" s="2">
        <v>42404</v>
      </c>
      <c r="P6" t="s">
        <v>81</v>
      </c>
      <c r="Q6">
        <v>26540</v>
      </c>
      <c r="R6">
        <v>43.552505147563487</v>
      </c>
      <c r="W6" t="s">
        <v>82</v>
      </c>
      <c r="X6" t="s">
        <v>83</v>
      </c>
      <c r="Y6" t="s">
        <v>104</v>
      </c>
      <c r="Z6" t="s">
        <v>105</v>
      </c>
      <c r="AM6" t="s">
        <v>106</v>
      </c>
      <c r="BS6">
        <v>2016</v>
      </c>
      <c r="BT6">
        <v>0</v>
      </c>
      <c r="BU6">
        <v>3393</v>
      </c>
      <c r="BV6">
        <v>111.47433264887064</v>
      </c>
      <c r="BW6">
        <v>9.2895277207392191</v>
      </c>
    </row>
    <row r="7" spans="1:75" x14ac:dyDescent="0.35">
      <c r="A7" t="s">
        <v>75</v>
      </c>
      <c r="B7" t="s">
        <v>75</v>
      </c>
      <c r="D7" t="s">
        <v>76</v>
      </c>
      <c r="E7" t="s">
        <v>77</v>
      </c>
      <c r="K7" t="s">
        <v>107</v>
      </c>
      <c r="L7" t="s">
        <v>108</v>
      </c>
      <c r="M7" t="s">
        <v>109</v>
      </c>
      <c r="N7">
        <v>302170280</v>
      </c>
      <c r="O7" s="2">
        <v>42673</v>
      </c>
      <c r="P7" t="s">
        <v>81</v>
      </c>
      <c r="Q7">
        <v>20761</v>
      </c>
      <c r="R7">
        <v>60.156485929993138</v>
      </c>
      <c r="W7" t="s">
        <v>82</v>
      </c>
      <c r="X7" t="s">
        <v>110</v>
      </c>
      <c r="Y7" t="s">
        <v>111</v>
      </c>
      <c r="Z7" t="s">
        <v>112</v>
      </c>
      <c r="AM7" t="s">
        <v>86</v>
      </c>
      <c r="AN7">
        <v>43172</v>
      </c>
      <c r="BS7">
        <v>2016</v>
      </c>
      <c r="BT7">
        <v>1</v>
      </c>
      <c r="BU7">
        <v>3124</v>
      </c>
      <c r="BV7">
        <v>102.63655030800821</v>
      </c>
      <c r="BW7">
        <v>8.5530458590006848</v>
      </c>
    </row>
    <row r="8" spans="1:75" x14ac:dyDescent="0.35">
      <c r="A8" t="s">
        <v>75</v>
      </c>
      <c r="B8" t="s">
        <v>75</v>
      </c>
      <c r="D8" t="s">
        <v>76</v>
      </c>
      <c r="E8" t="s">
        <v>77</v>
      </c>
      <c r="K8" t="s">
        <v>113</v>
      </c>
      <c r="L8" t="s">
        <v>109</v>
      </c>
      <c r="M8" t="s">
        <v>114</v>
      </c>
      <c r="N8">
        <v>205480545</v>
      </c>
      <c r="O8" s="2">
        <v>42691</v>
      </c>
      <c r="P8" t="s">
        <v>90</v>
      </c>
      <c r="Q8">
        <v>29316</v>
      </c>
      <c r="R8">
        <v>36.719286204529858</v>
      </c>
      <c r="W8" t="s">
        <v>82</v>
      </c>
      <c r="X8" t="s">
        <v>115</v>
      </c>
      <c r="Y8" t="s">
        <v>84</v>
      </c>
      <c r="Z8" t="s">
        <v>116</v>
      </c>
      <c r="AM8" t="s">
        <v>86</v>
      </c>
      <c r="AN8">
        <v>42719</v>
      </c>
      <c r="BS8">
        <v>2016</v>
      </c>
      <c r="BT8">
        <v>1</v>
      </c>
      <c r="BU8">
        <v>3106</v>
      </c>
      <c r="BV8">
        <v>102.04517453798768</v>
      </c>
      <c r="BW8">
        <v>8.5037645448323058</v>
      </c>
    </row>
    <row r="9" spans="1:75" x14ac:dyDescent="0.35">
      <c r="A9" t="s">
        <v>75</v>
      </c>
      <c r="B9" t="s">
        <v>75</v>
      </c>
      <c r="D9" t="s">
        <v>76</v>
      </c>
      <c r="E9" t="s">
        <v>77</v>
      </c>
      <c r="K9" t="s">
        <v>117</v>
      </c>
      <c r="L9" t="s">
        <v>118</v>
      </c>
      <c r="M9" t="s">
        <v>119</v>
      </c>
      <c r="N9">
        <v>602990584</v>
      </c>
      <c r="O9" s="2">
        <v>42726</v>
      </c>
      <c r="P9" t="s">
        <v>90</v>
      </c>
      <c r="Q9">
        <v>29017</v>
      </c>
      <c r="R9">
        <v>37.63623884694578</v>
      </c>
      <c r="W9" t="s">
        <v>82</v>
      </c>
      <c r="X9" t="s">
        <v>120</v>
      </c>
      <c r="Y9" t="s">
        <v>121</v>
      </c>
      <c r="Z9" t="s">
        <v>122</v>
      </c>
      <c r="AM9" t="s">
        <v>86</v>
      </c>
      <c r="AN9">
        <v>42732</v>
      </c>
      <c r="BS9">
        <v>2016</v>
      </c>
      <c r="BT9">
        <v>1</v>
      </c>
      <c r="BU9">
        <v>3071</v>
      </c>
      <c r="BV9">
        <v>100.8952772073922</v>
      </c>
      <c r="BW9">
        <v>8.4079397672826826</v>
      </c>
    </row>
    <row r="10" spans="1:75" x14ac:dyDescent="0.35">
      <c r="A10" t="s">
        <v>75</v>
      </c>
      <c r="B10" t="s">
        <v>75</v>
      </c>
      <c r="D10" t="s">
        <v>76</v>
      </c>
      <c r="E10" t="s">
        <v>77</v>
      </c>
      <c r="K10" t="s">
        <v>123</v>
      </c>
      <c r="L10" t="s">
        <v>124</v>
      </c>
      <c r="M10" t="s">
        <v>124</v>
      </c>
      <c r="N10">
        <v>109170504</v>
      </c>
      <c r="O10" s="2">
        <v>42961</v>
      </c>
      <c r="P10" t="s">
        <v>81</v>
      </c>
      <c r="Q10">
        <v>27633</v>
      </c>
      <c r="R10">
        <v>42.080988332189428</v>
      </c>
      <c r="W10" t="s">
        <v>82</v>
      </c>
      <c r="X10" t="s">
        <v>125</v>
      </c>
      <c r="Y10" t="s">
        <v>126</v>
      </c>
      <c r="Z10" t="s">
        <v>126</v>
      </c>
      <c r="AM10" t="s">
        <v>106</v>
      </c>
      <c r="BS10">
        <v>2017</v>
      </c>
      <c r="BT10">
        <v>0</v>
      </c>
      <c r="BU10">
        <v>2836</v>
      </c>
      <c r="BV10">
        <v>93.17453798767967</v>
      </c>
      <c r="BW10">
        <v>7.7645448323066395</v>
      </c>
    </row>
    <row r="11" spans="1:75" x14ac:dyDescent="0.35">
      <c r="A11" t="s">
        <v>75</v>
      </c>
      <c r="B11" t="s">
        <v>75</v>
      </c>
      <c r="D11" t="s">
        <v>76</v>
      </c>
      <c r="E11" t="s">
        <v>77</v>
      </c>
      <c r="K11" t="s">
        <v>127</v>
      </c>
      <c r="L11" t="s">
        <v>109</v>
      </c>
      <c r="M11" t="s">
        <v>128</v>
      </c>
      <c r="N11">
        <v>601300981</v>
      </c>
      <c r="O11" s="2">
        <v>42968</v>
      </c>
      <c r="P11" t="s">
        <v>81</v>
      </c>
      <c r="Q11">
        <v>20923</v>
      </c>
      <c r="R11">
        <v>60.521619766643788</v>
      </c>
      <c r="W11" t="s">
        <v>82</v>
      </c>
      <c r="X11" t="s">
        <v>91</v>
      </c>
      <c r="Y11" t="s">
        <v>129</v>
      </c>
      <c r="Z11" t="s">
        <v>130</v>
      </c>
      <c r="AM11" t="s">
        <v>86</v>
      </c>
      <c r="AN11">
        <v>43074</v>
      </c>
      <c r="BS11">
        <v>2017</v>
      </c>
      <c r="BT11">
        <v>1</v>
      </c>
      <c r="BU11">
        <v>2829</v>
      </c>
      <c r="BV11">
        <v>92.94455852156058</v>
      </c>
      <c r="BW11">
        <v>7.7453798767967141</v>
      </c>
    </row>
    <row r="12" spans="1:75" x14ac:dyDescent="0.35">
      <c r="A12" t="s">
        <v>75</v>
      </c>
      <c r="B12" t="s">
        <v>75</v>
      </c>
      <c r="D12" t="s">
        <v>76</v>
      </c>
      <c r="E12" t="s">
        <v>77</v>
      </c>
      <c r="K12" t="s">
        <v>131</v>
      </c>
      <c r="L12" t="s">
        <v>132</v>
      </c>
      <c r="M12" t="s">
        <v>133</v>
      </c>
      <c r="N12">
        <v>302190770</v>
      </c>
      <c r="O12" s="2">
        <v>43018</v>
      </c>
      <c r="P12" t="s">
        <v>81</v>
      </c>
      <c r="Q12">
        <v>20902</v>
      </c>
      <c r="R12">
        <v>60.716540837336993</v>
      </c>
      <c r="W12" t="s">
        <v>82</v>
      </c>
      <c r="X12" t="s">
        <v>110</v>
      </c>
      <c r="Y12" t="s">
        <v>134</v>
      </c>
      <c r="Z12" t="s">
        <v>134</v>
      </c>
      <c r="AM12" t="s">
        <v>86</v>
      </c>
      <c r="AN12">
        <v>43045</v>
      </c>
      <c r="BS12">
        <v>2017</v>
      </c>
      <c r="BT12">
        <v>1</v>
      </c>
      <c r="BU12">
        <v>2779</v>
      </c>
      <c r="BV12">
        <v>91.301848049281318</v>
      </c>
      <c r="BW12">
        <v>7.6084873374401099</v>
      </c>
    </row>
    <row r="13" spans="1:75" x14ac:dyDescent="0.35">
      <c r="A13" t="s">
        <v>75</v>
      </c>
      <c r="B13" t="s">
        <v>75</v>
      </c>
      <c r="D13" t="s">
        <v>76</v>
      </c>
      <c r="E13" t="s">
        <v>77</v>
      </c>
      <c r="K13" t="s">
        <v>135</v>
      </c>
      <c r="L13" t="s">
        <v>136</v>
      </c>
      <c r="M13" t="s">
        <v>137</v>
      </c>
      <c r="N13">
        <v>701160194</v>
      </c>
      <c r="O13" s="2">
        <v>43037</v>
      </c>
      <c r="P13" t="s">
        <v>90</v>
      </c>
      <c r="Q13">
        <v>27619</v>
      </c>
      <c r="R13">
        <v>42.328071379547012</v>
      </c>
      <c r="W13" t="s">
        <v>82</v>
      </c>
      <c r="X13" t="s">
        <v>120</v>
      </c>
      <c r="Y13" t="s">
        <v>84</v>
      </c>
      <c r="Z13" t="s">
        <v>120</v>
      </c>
      <c r="AM13" t="s">
        <v>86</v>
      </c>
      <c r="AN13">
        <v>43522</v>
      </c>
      <c r="BS13">
        <v>2017</v>
      </c>
      <c r="BT13">
        <v>1</v>
      </c>
      <c r="BU13">
        <v>2760</v>
      </c>
      <c r="BV13">
        <v>90.677618069815196</v>
      </c>
      <c r="BW13">
        <v>7.5564681724845997</v>
      </c>
    </row>
    <row r="14" spans="1:75" x14ac:dyDescent="0.35">
      <c r="A14" t="s">
        <v>75</v>
      </c>
      <c r="B14" t="s">
        <v>75</v>
      </c>
      <c r="D14" t="s">
        <v>138</v>
      </c>
      <c r="E14" t="s">
        <v>77</v>
      </c>
      <c r="K14" t="s">
        <v>139</v>
      </c>
      <c r="L14" t="s">
        <v>140</v>
      </c>
      <c r="M14" t="s">
        <v>141</v>
      </c>
      <c r="N14">
        <v>104840658</v>
      </c>
      <c r="O14" s="2">
        <v>43103</v>
      </c>
      <c r="P14" t="s">
        <v>81</v>
      </c>
      <c r="Q14">
        <v>21242</v>
      </c>
      <c r="R14">
        <v>60.016472203157171</v>
      </c>
      <c r="W14" t="s">
        <v>82</v>
      </c>
      <c r="X14" t="s">
        <v>91</v>
      </c>
      <c r="Y14" t="s">
        <v>116</v>
      </c>
      <c r="Z14" t="s">
        <v>142</v>
      </c>
      <c r="AM14" t="s">
        <v>86</v>
      </c>
      <c r="AN14">
        <v>43234</v>
      </c>
      <c r="BS14">
        <v>2018</v>
      </c>
      <c r="BT14">
        <v>1</v>
      </c>
      <c r="BU14">
        <v>2694</v>
      </c>
      <c r="BV14">
        <v>88.509240246406577</v>
      </c>
      <c r="BW14">
        <v>7.3757700205338805</v>
      </c>
    </row>
    <row r="15" spans="1:75" x14ac:dyDescent="0.35">
      <c r="A15" t="s">
        <v>75</v>
      </c>
      <c r="B15" t="s">
        <v>75</v>
      </c>
      <c r="D15" t="s">
        <v>76</v>
      </c>
      <c r="E15" t="s">
        <v>77</v>
      </c>
      <c r="K15" t="s">
        <v>143</v>
      </c>
      <c r="L15" t="s">
        <v>144</v>
      </c>
      <c r="M15" t="s">
        <v>145</v>
      </c>
      <c r="N15">
        <v>17538231</v>
      </c>
      <c r="O15" s="2">
        <v>43121</v>
      </c>
      <c r="P15" t="s">
        <v>81</v>
      </c>
      <c r="Q15">
        <v>27732</v>
      </c>
      <c r="R15">
        <v>42.248455730954014</v>
      </c>
      <c r="W15" t="s">
        <v>146</v>
      </c>
      <c r="X15" t="s">
        <v>91</v>
      </c>
      <c r="Y15" t="s">
        <v>116</v>
      </c>
      <c r="Z15" t="s">
        <v>116</v>
      </c>
      <c r="AM15" t="s">
        <v>86</v>
      </c>
      <c r="AN15">
        <v>43731</v>
      </c>
      <c r="BS15">
        <v>2018</v>
      </c>
      <c r="BT15">
        <v>1</v>
      </c>
      <c r="BU15">
        <v>2676</v>
      </c>
      <c r="BV15">
        <v>87.917864476386043</v>
      </c>
      <c r="BW15">
        <v>7.3264887063655033</v>
      </c>
    </row>
    <row r="16" spans="1:75" x14ac:dyDescent="0.35">
      <c r="A16" t="s">
        <v>75</v>
      </c>
      <c r="B16" t="s">
        <v>75</v>
      </c>
      <c r="D16" t="s">
        <v>147</v>
      </c>
      <c r="E16" t="s">
        <v>77</v>
      </c>
      <c r="K16" t="s">
        <v>148</v>
      </c>
      <c r="L16" t="s">
        <v>149</v>
      </c>
      <c r="M16" t="s">
        <v>150</v>
      </c>
      <c r="N16">
        <v>110640140</v>
      </c>
      <c r="O16" s="2">
        <v>43150</v>
      </c>
      <c r="P16" t="s">
        <v>90</v>
      </c>
      <c r="Q16">
        <v>29283</v>
      </c>
      <c r="R16">
        <v>38.07000686341798</v>
      </c>
      <c r="W16" t="s">
        <v>82</v>
      </c>
      <c r="X16" t="s">
        <v>151</v>
      </c>
      <c r="Y16" t="s">
        <v>152</v>
      </c>
      <c r="Z16" t="s">
        <v>153</v>
      </c>
      <c r="AM16" t="s">
        <v>86</v>
      </c>
      <c r="AN16">
        <v>43152</v>
      </c>
      <c r="BS16">
        <v>2018</v>
      </c>
      <c r="BT16">
        <v>1</v>
      </c>
      <c r="BU16">
        <v>2647</v>
      </c>
      <c r="BV16">
        <v>86.965092402464066</v>
      </c>
      <c r="BW16">
        <v>7.2470910335386725</v>
      </c>
    </row>
    <row r="17" spans="1:75" x14ac:dyDescent="0.35">
      <c r="A17" t="s">
        <v>75</v>
      </c>
      <c r="B17" t="s">
        <v>75</v>
      </c>
      <c r="D17" t="s">
        <v>76</v>
      </c>
      <c r="E17" t="s">
        <v>77</v>
      </c>
      <c r="K17" t="s">
        <v>154</v>
      </c>
      <c r="L17" t="s">
        <v>155</v>
      </c>
      <c r="M17" t="s">
        <v>156</v>
      </c>
      <c r="N17">
        <v>111900889</v>
      </c>
      <c r="O17" s="2">
        <v>43172</v>
      </c>
      <c r="P17" t="s">
        <v>81</v>
      </c>
      <c r="Q17">
        <v>30654</v>
      </c>
      <c r="R17">
        <v>34.366506520247086</v>
      </c>
      <c r="W17" t="s">
        <v>82</v>
      </c>
      <c r="X17" t="s">
        <v>91</v>
      </c>
      <c r="Y17" t="s">
        <v>157</v>
      </c>
      <c r="Z17" t="s">
        <v>158</v>
      </c>
      <c r="AM17" t="s">
        <v>106</v>
      </c>
      <c r="BS17">
        <v>2018</v>
      </c>
      <c r="BT17">
        <v>0</v>
      </c>
      <c r="BU17">
        <v>2625</v>
      </c>
      <c r="BV17">
        <v>86.242299794661193</v>
      </c>
      <c r="BW17">
        <v>7.1868583162217661</v>
      </c>
    </row>
    <row r="18" spans="1:75" x14ac:dyDescent="0.35">
      <c r="A18" t="s">
        <v>75</v>
      </c>
      <c r="B18" t="s">
        <v>75</v>
      </c>
      <c r="D18" t="s">
        <v>147</v>
      </c>
      <c r="E18" t="s">
        <v>77</v>
      </c>
      <c r="K18" t="s">
        <v>159</v>
      </c>
      <c r="L18" t="s">
        <v>103</v>
      </c>
      <c r="M18" t="s">
        <v>160</v>
      </c>
      <c r="N18">
        <v>111810477</v>
      </c>
      <c r="O18" s="2">
        <v>43177</v>
      </c>
      <c r="P18" t="s">
        <v>90</v>
      </c>
      <c r="Q18">
        <v>30540</v>
      </c>
      <c r="R18">
        <v>34.693205216197669</v>
      </c>
      <c r="W18" t="s">
        <v>82</v>
      </c>
      <c r="X18" t="s">
        <v>151</v>
      </c>
      <c r="Y18" t="s">
        <v>161</v>
      </c>
      <c r="Z18" t="s">
        <v>162</v>
      </c>
      <c r="AM18" t="s">
        <v>86</v>
      </c>
      <c r="AN18">
        <v>43196</v>
      </c>
      <c r="BS18">
        <v>2018</v>
      </c>
      <c r="BT18">
        <v>1</v>
      </c>
      <c r="BU18">
        <v>2620</v>
      </c>
      <c r="BV18">
        <v>86.078028747433265</v>
      </c>
      <c r="BW18">
        <v>7.1731690622861057</v>
      </c>
    </row>
    <row r="19" spans="1:75" x14ac:dyDescent="0.35">
      <c r="A19" t="s">
        <v>75</v>
      </c>
      <c r="B19" t="s">
        <v>75</v>
      </c>
      <c r="D19" t="s">
        <v>76</v>
      </c>
      <c r="E19" t="s">
        <v>77</v>
      </c>
      <c r="K19" t="s">
        <v>163</v>
      </c>
      <c r="L19" t="s">
        <v>164</v>
      </c>
      <c r="M19" t="s">
        <v>165</v>
      </c>
      <c r="N19">
        <v>105220389</v>
      </c>
      <c r="O19" s="2">
        <v>43216</v>
      </c>
      <c r="P19" t="s">
        <v>81</v>
      </c>
      <c r="Q19">
        <v>21865</v>
      </c>
      <c r="R19">
        <v>58.616334934797528</v>
      </c>
      <c r="W19" t="s">
        <v>82</v>
      </c>
      <c r="X19" t="s">
        <v>91</v>
      </c>
      <c r="Y19" t="s">
        <v>157</v>
      </c>
      <c r="Z19" t="s">
        <v>158</v>
      </c>
      <c r="AM19" t="s">
        <v>106</v>
      </c>
      <c r="BS19">
        <v>2018</v>
      </c>
      <c r="BT19">
        <v>0</v>
      </c>
      <c r="BU19">
        <v>2581</v>
      </c>
      <c r="BV19">
        <v>84.796714579055447</v>
      </c>
      <c r="BW19">
        <v>7.0663928815879533</v>
      </c>
    </row>
    <row r="20" spans="1:75" x14ac:dyDescent="0.35">
      <c r="A20" t="s">
        <v>75</v>
      </c>
      <c r="B20" t="s">
        <v>75</v>
      </c>
      <c r="D20" t="s">
        <v>76</v>
      </c>
      <c r="E20" t="s">
        <v>77</v>
      </c>
      <c r="K20" t="s">
        <v>166</v>
      </c>
      <c r="L20" t="s">
        <v>167</v>
      </c>
      <c r="M20" t="s">
        <v>167</v>
      </c>
      <c r="N20">
        <v>502990120</v>
      </c>
      <c r="O20" s="2">
        <v>43257</v>
      </c>
      <c r="P20" t="s">
        <v>81</v>
      </c>
      <c r="Q20">
        <v>28097</v>
      </c>
      <c r="R20">
        <v>41.619766643788608</v>
      </c>
      <c r="W20" t="s">
        <v>82</v>
      </c>
      <c r="X20" t="s">
        <v>125</v>
      </c>
      <c r="Y20" t="s">
        <v>168</v>
      </c>
      <c r="Z20" t="s">
        <v>168</v>
      </c>
      <c r="AM20" t="s">
        <v>86</v>
      </c>
      <c r="AN20">
        <v>43382</v>
      </c>
      <c r="BS20">
        <v>2018</v>
      </c>
      <c r="BT20">
        <v>1</v>
      </c>
      <c r="BU20">
        <v>2540</v>
      </c>
      <c r="BV20">
        <v>83.449691991786452</v>
      </c>
      <c r="BW20">
        <v>6.9541409993155376</v>
      </c>
    </row>
    <row r="21" spans="1:75" x14ac:dyDescent="0.35">
      <c r="A21" t="s">
        <v>75</v>
      </c>
      <c r="B21" t="s">
        <v>75</v>
      </c>
      <c r="D21" t="s">
        <v>76</v>
      </c>
      <c r="E21" t="s">
        <v>77</v>
      </c>
      <c r="K21" t="s">
        <v>169</v>
      </c>
      <c r="L21" t="s">
        <v>170</v>
      </c>
      <c r="M21" t="s">
        <v>171</v>
      </c>
      <c r="N21">
        <v>205470924</v>
      </c>
      <c r="O21" s="2">
        <v>43328</v>
      </c>
      <c r="P21" t="s">
        <v>81</v>
      </c>
      <c r="Q21">
        <v>29293</v>
      </c>
      <c r="R21">
        <v>38.531228551818806</v>
      </c>
      <c r="W21" t="s">
        <v>82</v>
      </c>
      <c r="X21" t="s">
        <v>115</v>
      </c>
      <c r="Y21" t="s">
        <v>172</v>
      </c>
      <c r="Z21" t="s">
        <v>173</v>
      </c>
      <c r="AM21" t="s">
        <v>86</v>
      </c>
      <c r="AN21">
        <v>45008</v>
      </c>
      <c r="BS21">
        <v>2018</v>
      </c>
      <c r="BT21">
        <v>1</v>
      </c>
      <c r="BU21">
        <v>2469</v>
      </c>
      <c r="BV21">
        <v>81.117043121149891</v>
      </c>
      <c r="BW21">
        <v>6.7597535934291582</v>
      </c>
    </row>
    <row r="22" spans="1:75" x14ac:dyDescent="0.35">
      <c r="A22" t="s">
        <v>75</v>
      </c>
      <c r="B22" t="s">
        <v>75</v>
      </c>
      <c r="D22" t="s">
        <v>76</v>
      </c>
      <c r="E22" t="s">
        <v>77</v>
      </c>
      <c r="K22" t="s">
        <v>174</v>
      </c>
      <c r="L22" t="s">
        <v>132</v>
      </c>
      <c r="M22" t="s">
        <v>175</v>
      </c>
      <c r="N22">
        <v>106920451</v>
      </c>
      <c r="O22" s="2">
        <v>43642</v>
      </c>
      <c r="P22" t="s">
        <v>90</v>
      </c>
      <c r="Q22">
        <v>24455</v>
      </c>
      <c r="R22">
        <v>52.675360329444061</v>
      </c>
      <c r="W22" t="s">
        <v>82</v>
      </c>
      <c r="X22" t="s">
        <v>91</v>
      </c>
      <c r="Y22" t="s">
        <v>176</v>
      </c>
      <c r="Z22" t="s">
        <v>130</v>
      </c>
      <c r="AM22" t="s">
        <v>106</v>
      </c>
      <c r="BS22">
        <v>2019</v>
      </c>
      <c r="BT22">
        <v>0</v>
      </c>
      <c r="BU22">
        <v>2155</v>
      </c>
      <c r="BV22">
        <v>70.800821355236138</v>
      </c>
      <c r="BW22">
        <v>5.9000684462696782</v>
      </c>
    </row>
    <row r="23" spans="1:75" x14ac:dyDescent="0.35">
      <c r="A23" t="s">
        <v>75</v>
      </c>
      <c r="B23" t="s">
        <v>75</v>
      </c>
      <c r="D23" t="s">
        <v>76</v>
      </c>
      <c r="E23" t="s">
        <v>77</v>
      </c>
      <c r="K23" t="s">
        <v>177</v>
      </c>
      <c r="L23" t="s">
        <v>132</v>
      </c>
      <c r="M23" t="s">
        <v>178</v>
      </c>
      <c r="N23">
        <v>111590529</v>
      </c>
      <c r="O23" s="2">
        <v>44103</v>
      </c>
      <c r="P23" t="s">
        <v>81</v>
      </c>
      <c r="Q23">
        <v>30316</v>
      </c>
      <c r="R23">
        <v>37.850377487989022</v>
      </c>
      <c r="W23" t="s">
        <v>82</v>
      </c>
      <c r="X23" t="s">
        <v>91</v>
      </c>
      <c r="Y23" t="s">
        <v>179</v>
      </c>
      <c r="Z23" t="s">
        <v>180</v>
      </c>
      <c r="AM23" t="s">
        <v>86</v>
      </c>
      <c r="AN23">
        <v>44104</v>
      </c>
      <c r="BS23">
        <v>2020</v>
      </c>
      <c r="BT23">
        <v>1</v>
      </c>
      <c r="BU23">
        <v>1694</v>
      </c>
      <c r="BV23">
        <v>55.655030800821358</v>
      </c>
      <c r="BW23">
        <v>4.6379192334017798</v>
      </c>
    </row>
    <row r="24" spans="1:75" x14ac:dyDescent="0.35">
      <c r="A24" t="s">
        <v>75</v>
      </c>
      <c r="B24" t="s">
        <v>75</v>
      </c>
      <c r="D24" t="s">
        <v>76</v>
      </c>
      <c r="E24" t="s">
        <v>77</v>
      </c>
      <c r="K24" t="s">
        <v>181</v>
      </c>
      <c r="L24" t="s">
        <v>132</v>
      </c>
      <c r="M24" t="s">
        <v>109</v>
      </c>
      <c r="N24">
        <v>114350900</v>
      </c>
      <c r="O24" s="2">
        <v>44306</v>
      </c>
      <c r="P24" t="s">
        <v>90</v>
      </c>
      <c r="Q24">
        <v>33068</v>
      </c>
      <c r="R24">
        <v>30.852436513383665</v>
      </c>
      <c r="W24" t="s">
        <v>82</v>
      </c>
      <c r="X24" t="s">
        <v>110</v>
      </c>
      <c r="Y24" t="s">
        <v>84</v>
      </c>
      <c r="Z24" t="s">
        <v>182</v>
      </c>
      <c r="AM24" t="s">
        <v>106</v>
      </c>
      <c r="BS24">
        <v>2021</v>
      </c>
      <c r="BT24">
        <v>0</v>
      </c>
      <c r="BU24">
        <v>1491</v>
      </c>
      <c r="BV24">
        <v>48.985626283367559</v>
      </c>
      <c r="BW24">
        <v>4.0821355236139629</v>
      </c>
    </row>
    <row r="25" spans="1:75" x14ac:dyDescent="0.35">
      <c r="A25" t="s">
        <v>75</v>
      </c>
      <c r="B25" t="s">
        <v>75</v>
      </c>
      <c r="D25" t="s">
        <v>76</v>
      </c>
      <c r="E25" t="s">
        <v>77</v>
      </c>
      <c r="K25" t="s">
        <v>183</v>
      </c>
      <c r="L25" t="s">
        <v>184</v>
      </c>
      <c r="M25" t="s">
        <v>185</v>
      </c>
      <c r="N25">
        <v>109160443</v>
      </c>
      <c r="O25" s="2">
        <v>44740</v>
      </c>
      <c r="P25" t="s">
        <v>90</v>
      </c>
      <c r="Q25">
        <v>27605</v>
      </c>
      <c r="R25">
        <v>47.041866849691147</v>
      </c>
      <c r="W25" t="s">
        <v>82</v>
      </c>
      <c r="X25" t="s">
        <v>91</v>
      </c>
      <c r="Y25" t="s">
        <v>84</v>
      </c>
      <c r="Z25" t="s">
        <v>186</v>
      </c>
      <c r="AM25" t="s">
        <v>106</v>
      </c>
      <c r="BS25">
        <v>2022</v>
      </c>
      <c r="BT25">
        <v>0</v>
      </c>
      <c r="BU25">
        <v>1057</v>
      </c>
      <c r="BV25">
        <v>34.726899383983572</v>
      </c>
      <c r="BW25">
        <v>2.8939082819986313</v>
      </c>
    </row>
    <row r="26" spans="1:75" x14ac:dyDescent="0.35">
      <c r="A26" t="s">
        <v>75</v>
      </c>
      <c r="B26" t="s">
        <v>75</v>
      </c>
      <c r="D26" t="s">
        <v>76</v>
      </c>
      <c r="E26" t="s">
        <v>77</v>
      </c>
      <c r="K26" t="s">
        <v>187</v>
      </c>
      <c r="L26" t="s">
        <v>188</v>
      </c>
      <c r="M26" t="s">
        <v>189</v>
      </c>
      <c r="N26">
        <v>17319913</v>
      </c>
      <c r="O26" s="2">
        <v>44771</v>
      </c>
      <c r="P26" t="s">
        <v>81</v>
      </c>
      <c r="Q26">
        <v>26934</v>
      </c>
      <c r="R26">
        <v>48.969114619080301</v>
      </c>
      <c r="W26" t="s">
        <v>146</v>
      </c>
      <c r="X26" t="s">
        <v>151</v>
      </c>
      <c r="Y26" t="s">
        <v>179</v>
      </c>
      <c r="Z26" t="s">
        <v>190</v>
      </c>
      <c r="AM26" t="s">
        <v>86</v>
      </c>
      <c r="AN26">
        <v>44771</v>
      </c>
      <c r="BS26">
        <v>2022</v>
      </c>
      <c r="BT26">
        <v>1</v>
      </c>
      <c r="BU26">
        <v>1026</v>
      </c>
      <c r="BV26">
        <v>33.708418891170432</v>
      </c>
      <c r="BW26">
        <v>2.8090349075975358</v>
      </c>
    </row>
    <row r="27" spans="1:75" x14ac:dyDescent="0.35">
      <c r="A27" t="s">
        <v>75</v>
      </c>
      <c r="B27" t="s">
        <v>75</v>
      </c>
      <c r="D27" t="s">
        <v>76</v>
      </c>
      <c r="E27" t="s">
        <v>77</v>
      </c>
      <c r="K27" t="s">
        <v>191</v>
      </c>
      <c r="L27" t="s">
        <v>192</v>
      </c>
      <c r="M27" t="s">
        <v>114</v>
      </c>
      <c r="N27">
        <v>501850045</v>
      </c>
      <c r="O27" s="2">
        <v>44858</v>
      </c>
      <c r="P27" t="s">
        <v>90</v>
      </c>
      <c r="Q27">
        <v>21860</v>
      </c>
      <c r="R27">
        <v>63.137954701441316</v>
      </c>
      <c r="W27" t="s">
        <v>82</v>
      </c>
      <c r="X27" t="s">
        <v>91</v>
      </c>
      <c r="Y27" t="s">
        <v>193</v>
      </c>
      <c r="Z27" t="s">
        <v>193</v>
      </c>
      <c r="AM27" t="s">
        <v>86</v>
      </c>
      <c r="AN27">
        <v>44902</v>
      </c>
      <c r="BS27">
        <v>2022</v>
      </c>
      <c r="BT27">
        <v>1</v>
      </c>
      <c r="BU27">
        <v>939</v>
      </c>
      <c r="BV27">
        <v>30.850102669404517</v>
      </c>
      <c r="BW27">
        <v>2.5708418891170433</v>
      </c>
    </row>
    <row r="28" spans="1:75" x14ac:dyDescent="0.35">
      <c r="A28" t="s">
        <v>75</v>
      </c>
      <c r="B28" t="s">
        <v>75</v>
      </c>
      <c r="D28" t="s">
        <v>76</v>
      </c>
      <c r="E28" t="s">
        <v>77</v>
      </c>
      <c r="K28" t="s">
        <v>194</v>
      </c>
      <c r="L28" t="s">
        <v>195</v>
      </c>
      <c r="M28" t="s">
        <v>114</v>
      </c>
      <c r="N28">
        <v>114660849</v>
      </c>
      <c r="O28" s="2">
        <v>44870</v>
      </c>
      <c r="P28" t="s">
        <v>81</v>
      </c>
      <c r="Q28">
        <v>33394</v>
      </c>
      <c r="R28">
        <v>31.505833905284831</v>
      </c>
      <c r="W28" t="s">
        <v>82</v>
      </c>
      <c r="X28" t="s">
        <v>110</v>
      </c>
      <c r="Y28" t="s">
        <v>196</v>
      </c>
      <c r="Z28" t="s">
        <v>197</v>
      </c>
      <c r="AM28" t="s">
        <v>86</v>
      </c>
      <c r="AN28">
        <v>44879</v>
      </c>
      <c r="BS28">
        <v>2022</v>
      </c>
      <c r="BT28">
        <v>1</v>
      </c>
      <c r="BU28">
        <v>927</v>
      </c>
      <c r="BV28">
        <v>30.455852156057496</v>
      </c>
      <c r="BW28">
        <v>2.537987679671458</v>
      </c>
    </row>
    <row r="29" spans="1:75" x14ac:dyDescent="0.35">
      <c r="A29" t="s">
        <v>75</v>
      </c>
      <c r="B29" t="s">
        <v>75</v>
      </c>
      <c r="D29" t="s">
        <v>76</v>
      </c>
      <c r="E29" t="s">
        <v>77</v>
      </c>
      <c r="K29" t="s">
        <v>198</v>
      </c>
      <c r="L29" t="s">
        <v>140</v>
      </c>
      <c r="M29" t="s">
        <v>199</v>
      </c>
      <c r="N29">
        <v>106160972</v>
      </c>
      <c r="O29" s="2">
        <v>44969</v>
      </c>
      <c r="P29" t="s">
        <v>81</v>
      </c>
      <c r="Q29">
        <v>23223</v>
      </c>
      <c r="R29">
        <v>59.700754975978036</v>
      </c>
      <c r="S29" t="s">
        <v>200</v>
      </c>
      <c r="T29">
        <v>44818</v>
      </c>
      <c r="W29" t="s">
        <v>82</v>
      </c>
      <c r="X29" t="s">
        <v>91</v>
      </c>
      <c r="Y29" t="s">
        <v>108</v>
      </c>
      <c r="Z29" t="s">
        <v>201</v>
      </c>
      <c r="AM29" t="s">
        <v>86</v>
      </c>
      <c r="AN29">
        <v>44971</v>
      </c>
      <c r="BS29">
        <v>2023</v>
      </c>
      <c r="BT29">
        <v>1</v>
      </c>
      <c r="BU29">
        <v>828</v>
      </c>
      <c r="BV29">
        <v>27.20328542094456</v>
      </c>
      <c r="BW29">
        <v>2.2669404517453797</v>
      </c>
    </row>
    <row r="30" spans="1:75" x14ac:dyDescent="0.35">
      <c r="A30" t="s">
        <v>75</v>
      </c>
      <c r="B30" t="s">
        <v>75</v>
      </c>
      <c r="D30" t="s">
        <v>76</v>
      </c>
      <c r="E30" t="s">
        <v>77</v>
      </c>
      <c r="K30" t="s">
        <v>202</v>
      </c>
      <c r="L30" t="s">
        <v>203</v>
      </c>
      <c r="M30" t="s">
        <v>204</v>
      </c>
      <c r="N30">
        <v>105380059</v>
      </c>
      <c r="O30" s="2">
        <v>45096</v>
      </c>
      <c r="P30" t="s">
        <v>81</v>
      </c>
      <c r="Q30">
        <v>22116</v>
      </c>
      <c r="R30">
        <v>63.088538091969802</v>
      </c>
      <c r="S30" t="s">
        <v>205</v>
      </c>
      <c r="T30">
        <v>45083</v>
      </c>
      <c r="W30" t="s">
        <v>82</v>
      </c>
      <c r="X30" t="s">
        <v>91</v>
      </c>
      <c r="Y30" t="s">
        <v>161</v>
      </c>
      <c r="Z30" t="s">
        <v>206</v>
      </c>
      <c r="AM30" t="s">
        <v>106</v>
      </c>
      <c r="BS30">
        <v>2023</v>
      </c>
      <c r="BT30">
        <v>0</v>
      </c>
      <c r="BU30">
        <v>701</v>
      </c>
      <c r="BV30">
        <v>23.030800821355236</v>
      </c>
      <c r="BW30">
        <v>1.9192334017796031</v>
      </c>
    </row>
    <row r="31" spans="1:75" x14ac:dyDescent="0.35">
      <c r="A31" t="s">
        <v>75</v>
      </c>
      <c r="B31" t="s">
        <v>75</v>
      </c>
      <c r="D31" t="s">
        <v>76</v>
      </c>
      <c r="E31" t="s">
        <v>77</v>
      </c>
      <c r="K31" t="s">
        <v>207</v>
      </c>
      <c r="L31" t="s">
        <v>208</v>
      </c>
      <c r="M31" t="s">
        <v>209</v>
      </c>
      <c r="N31">
        <v>118450996</v>
      </c>
      <c r="O31" s="2">
        <v>45203</v>
      </c>
      <c r="P31" t="s">
        <v>90</v>
      </c>
      <c r="Q31">
        <v>37428</v>
      </c>
      <c r="R31">
        <v>21.345229924502402</v>
      </c>
      <c r="S31" t="s">
        <v>210</v>
      </c>
      <c r="T31">
        <v>45139</v>
      </c>
      <c r="W31" t="s">
        <v>82</v>
      </c>
      <c r="X31" t="s">
        <v>91</v>
      </c>
      <c r="Y31" t="s">
        <v>211</v>
      </c>
      <c r="Z31" t="s">
        <v>212</v>
      </c>
      <c r="AM31" t="s">
        <v>86</v>
      </c>
      <c r="AN31">
        <v>45206</v>
      </c>
      <c r="BS31">
        <v>2023</v>
      </c>
      <c r="BT31">
        <v>1</v>
      </c>
      <c r="BU31">
        <v>594</v>
      </c>
      <c r="BV31">
        <v>19.515400410677618</v>
      </c>
      <c r="BW31">
        <v>1.6262833675564681</v>
      </c>
    </row>
    <row r="32" spans="1:75" x14ac:dyDescent="0.35">
      <c r="A32" t="s">
        <v>75</v>
      </c>
      <c r="B32" t="s">
        <v>75</v>
      </c>
      <c r="D32" t="s">
        <v>76</v>
      </c>
      <c r="E32" t="s">
        <v>77</v>
      </c>
      <c r="K32" t="s">
        <v>213</v>
      </c>
      <c r="L32" t="s">
        <v>214</v>
      </c>
      <c r="M32" t="s">
        <v>79</v>
      </c>
      <c r="N32">
        <v>120690853</v>
      </c>
      <c r="O32" s="2">
        <v>45209</v>
      </c>
      <c r="P32" t="s">
        <v>81</v>
      </c>
      <c r="Q32">
        <v>40121</v>
      </c>
      <c r="R32">
        <v>13.968428277282086</v>
      </c>
      <c r="S32" t="s">
        <v>200</v>
      </c>
      <c r="T32">
        <v>45196</v>
      </c>
      <c r="W32" t="s">
        <v>82</v>
      </c>
      <c r="X32" t="s">
        <v>91</v>
      </c>
      <c r="Y32" t="s">
        <v>215</v>
      </c>
      <c r="Z32" t="s">
        <v>216</v>
      </c>
      <c r="AM32" t="s">
        <v>86</v>
      </c>
      <c r="AN32">
        <v>45617</v>
      </c>
      <c r="BS32">
        <v>2023</v>
      </c>
      <c r="BT32">
        <v>1</v>
      </c>
      <c r="BU32">
        <v>588</v>
      </c>
      <c r="BV32">
        <v>19.318275154004105</v>
      </c>
      <c r="BW32">
        <v>1.6098562628336757</v>
      </c>
    </row>
    <row r="33" spans="1:75" x14ac:dyDescent="0.35">
      <c r="A33" t="s">
        <v>75</v>
      </c>
      <c r="B33" t="s">
        <v>75</v>
      </c>
      <c r="D33" t="s">
        <v>76</v>
      </c>
      <c r="E33" t="s">
        <v>77</v>
      </c>
      <c r="K33" t="s">
        <v>217</v>
      </c>
      <c r="L33" t="s">
        <v>218</v>
      </c>
      <c r="M33" t="s">
        <v>219</v>
      </c>
      <c r="N33">
        <v>505130730</v>
      </c>
      <c r="O33" s="2">
        <v>45297</v>
      </c>
      <c r="P33" t="s">
        <v>90</v>
      </c>
      <c r="Q33">
        <v>41770</v>
      </c>
      <c r="R33">
        <v>9.6829100892244337</v>
      </c>
      <c r="S33" t="s">
        <v>200</v>
      </c>
      <c r="T33">
        <v>45265</v>
      </c>
      <c r="W33" t="s">
        <v>82</v>
      </c>
      <c r="X33" t="s">
        <v>125</v>
      </c>
      <c r="Y33" t="s">
        <v>220</v>
      </c>
      <c r="Z33" t="s">
        <v>221</v>
      </c>
      <c r="AM33" t="s">
        <v>86</v>
      </c>
      <c r="AN33">
        <v>45322</v>
      </c>
      <c r="BS33">
        <v>2024</v>
      </c>
      <c r="BT33">
        <v>1</v>
      </c>
      <c r="BU33">
        <v>500</v>
      </c>
      <c r="BV33">
        <v>16.427104722792606</v>
      </c>
      <c r="BW33">
        <v>1.3689253935660506</v>
      </c>
    </row>
    <row r="34" spans="1:75" x14ac:dyDescent="0.35">
      <c r="A34" t="s">
        <v>75</v>
      </c>
      <c r="B34" t="s">
        <v>75</v>
      </c>
      <c r="D34" t="s">
        <v>76</v>
      </c>
      <c r="E34" t="s">
        <v>77</v>
      </c>
      <c r="K34" t="s">
        <v>222</v>
      </c>
      <c r="L34" t="s">
        <v>223</v>
      </c>
      <c r="M34" t="s">
        <v>224</v>
      </c>
      <c r="N34">
        <v>702430021</v>
      </c>
      <c r="O34" s="2">
        <v>45319</v>
      </c>
      <c r="P34" t="s">
        <v>90</v>
      </c>
      <c r="Q34">
        <v>35126</v>
      </c>
      <c r="R34">
        <v>27.983527796842829</v>
      </c>
      <c r="S34" t="s">
        <v>200</v>
      </c>
      <c r="T34">
        <v>45111</v>
      </c>
      <c r="W34" t="s">
        <v>82</v>
      </c>
      <c r="X34" t="s">
        <v>120</v>
      </c>
      <c r="Y34" t="s">
        <v>225</v>
      </c>
      <c r="Z34" t="s">
        <v>226</v>
      </c>
      <c r="AM34" t="s">
        <v>106</v>
      </c>
      <c r="BS34">
        <v>2024</v>
      </c>
      <c r="BT34">
        <v>0</v>
      </c>
      <c r="BU34">
        <v>478</v>
      </c>
      <c r="BV34">
        <v>15.704312114989733</v>
      </c>
      <c r="BW34">
        <v>1.3086926762491444</v>
      </c>
    </row>
    <row r="35" spans="1:75" x14ac:dyDescent="0.35">
      <c r="A35" t="s">
        <v>75</v>
      </c>
      <c r="B35" t="s">
        <v>75</v>
      </c>
      <c r="D35" t="s">
        <v>76</v>
      </c>
      <c r="E35" t="s">
        <v>77</v>
      </c>
      <c r="K35" t="s">
        <v>227</v>
      </c>
      <c r="L35" t="s">
        <v>228</v>
      </c>
      <c r="M35" t="s">
        <v>229</v>
      </c>
      <c r="N35">
        <v>112420637</v>
      </c>
      <c r="O35" s="2">
        <v>45329</v>
      </c>
      <c r="P35" t="s">
        <v>81</v>
      </c>
      <c r="Q35">
        <v>31191</v>
      </c>
      <c r="R35">
        <v>38.814001372683599</v>
      </c>
      <c r="S35" t="s">
        <v>200</v>
      </c>
      <c r="T35">
        <v>44946</v>
      </c>
      <c r="W35" t="s">
        <v>82</v>
      </c>
      <c r="X35" t="s">
        <v>110</v>
      </c>
      <c r="Y35" t="s">
        <v>196</v>
      </c>
      <c r="Z35" t="s">
        <v>230</v>
      </c>
      <c r="AM35" t="s">
        <v>86</v>
      </c>
      <c r="AN35">
        <v>45489</v>
      </c>
      <c r="BS35">
        <v>2024</v>
      </c>
      <c r="BT35">
        <v>1</v>
      </c>
      <c r="BU35">
        <v>468</v>
      </c>
      <c r="BV35">
        <v>15.375770020533881</v>
      </c>
      <c r="BW35">
        <v>1.2813141683778233</v>
      </c>
    </row>
    <row r="36" spans="1:75" x14ac:dyDescent="0.35">
      <c r="A36" t="s">
        <v>75</v>
      </c>
      <c r="B36" t="s">
        <v>75</v>
      </c>
      <c r="D36" t="s">
        <v>76</v>
      </c>
      <c r="E36" t="s">
        <v>77</v>
      </c>
      <c r="K36" t="s">
        <v>231</v>
      </c>
      <c r="L36" t="s">
        <v>232</v>
      </c>
      <c r="M36" t="s">
        <v>233</v>
      </c>
      <c r="N36">
        <v>118890998</v>
      </c>
      <c r="O36" s="2">
        <v>45437</v>
      </c>
      <c r="P36" t="s">
        <v>81</v>
      </c>
      <c r="Q36">
        <v>37926</v>
      </c>
      <c r="R36">
        <v>20.620452985586823</v>
      </c>
      <c r="S36" t="s">
        <v>200</v>
      </c>
      <c r="T36">
        <v>45390</v>
      </c>
      <c r="W36" t="s">
        <v>82</v>
      </c>
      <c r="X36" t="s">
        <v>91</v>
      </c>
      <c r="Y36" t="s">
        <v>161</v>
      </c>
      <c r="Z36" t="s">
        <v>234</v>
      </c>
      <c r="AM36" t="s">
        <v>86</v>
      </c>
      <c r="AN36">
        <v>45439</v>
      </c>
      <c r="BS36">
        <v>2024</v>
      </c>
      <c r="BT36">
        <v>1</v>
      </c>
      <c r="BU36">
        <v>360</v>
      </c>
      <c r="BV36">
        <v>11.827515400410677</v>
      </c>
      <c r="BW36">
        <v>0.98562628336755642</v>
      </c>
    </row>
    <row r="37" spans="1:75" x14ac:dyDescent="0.35">
      <c r="A37" t="s">
        <v>75</v>
      </c>
      <c r="B37" t="s">
        <v>75</v>
      </c>
      <c r="D37" t="s">
        <v>76</v>
      </c>
      <c r="E37" t="s">
        <v>77</v>
      </c>
      <c r="K37" t="s">
        <v>235</v>
      </c>
      <c r="L37" t="s">
        <v>236</v>
      </c>
      <c r="M37" t="s">
        <v>237</v>
      </c>
      <c r="N37">
        <v>18015777</v>
      </c>
      <c r="O37" s="2">
        <v>45463</v>
      </c>
      <c r="P37" t="s">
        <v>81</v>
      </c>
      <c r="Q37">
        <v>29580</v>
      </c>
      <c r="R37">
        <v>43.604667124227866</v>
      </c>
      <c r="S37" t="s">
        <v>200</v>
      </c>
      <c r="T37">
        <v>45174</v>
      </c>
      <c r="W37" t="s">
        <v>146</v>
      </c>
      <c r="X37" t="s">
        <v>115</v>
      </c>
      <c r="Y37" t="s">
        <v>84</v>
      </c>
      <c r="Z37" t="s">
        <v>115</v>
      </c>
      <c r="AM37" t="s">
        <v>106</v>
      </c>
      <c r="BS37">
        <v>2024</v>
      </c>
      <c r="BT37">
        <v>0</v>
      </c>
      <c r="BU37">
        <v>334</v>
      </c>
      <c r="BV37">
        <v>10.973305954825461</v>
      </c>
      <c r="BW37">
        <v>0.91444216290212188</v>
      </c>
    </row>
    <row r="38" spans="1:75" x14ac:dyDescent="0.35">
      <c r="A38" t="s">
        <v>75</v>
      </c>
      <c r="B38" t="s">
        <v>75</v>
      </c>
      <c r="D38" t="s">
        <v>76</v>
      </c>
      <c r="E38" t="s">
        <v>77</v>
      </c>
      <c r="K38" t="s">
        <v>238</v>
      </c>
      <c r="L38" t="s">
        <v>239</v>
      </c>
      <c r="M38" t="s">
        <v>240</v>
      </c>
      <c r="N38">
        <v>118020121</v>
      </c>
      <c r="O38" s="2">
        <v>45479</v>
      </c>
      <c r="P38" t="s">
        <v>81</v>
      </c>
      <c r="Q38">
        <v>36903</v>
      </c>
      <c r="R38">
        <v>23.544269045984901</v>
      </c>
      <c r="S38" t="s">
        <v>200</v>
      </c>
      <c r="T38">
        <v>45316</v>
      </c>
      <c r="W38" t="s">
        <v>82</v>
      </c>
      <c r="X38" t="s">
        <v>91</v>
      </c>
      <c r="Y38" t="s">
        <v>152</v>
      </c>
      <c r="Z38" t="s">
        <v>241</v>
      </c>
      <c r="AM38" t="s">
        <v>106</v>
      </c>
      <c r="BS38">
        <v>2024</v>
      </c>
      <c r="BT38">
        <v>0</v>
      </c>
      <c r="BU38">
        <v>318</v>
      </c>
      <c r="BV38">
        <v>10.447638603696099</v>
      </c>
      <c r="BW38">
        <v>0.87063655030800824</v>
      </c>
    </row>
    <row r="39" spans="1:75" x14ac:dyDescent="0.35">
      <c r="A39" t="s">
        <v>75</v>
      </c>
      <c r="B39" t="s">
        <v>75</v>
      </c>
      <c r="D39" t="s">
        <v>76</v>
      </c>
      <c r="E39" t="s">
        <v>77</v>
      </c>
      <c r="K39" t="s">
        <v>242</v>
      </c>
      <c r="L39" t="s">
        <v>243</v>
      </c>
      <c r="M39" t="s">
        <v>243</v>
      </c>
      <c r="N39">
        <v>107760557</v>
      </c>
      <c r="O39" s="2">
        <v>45556</v>
      </c>
      <c r="P39" t="s">
        <v>81</v>
      </c>
      <c r="Q39">
        <v>25797</v>
      </c>
      <c r="R39">
        <v>54.097193702943201</v>
      </c>
      <c r="S39" t="s">
        <v>200</v>
      </c>
      <c r="T39">
        <v>45482</v>
      </c>
      <c r="W39" t="s">
        <v>82</v>
      </c>
      <c r="X39" t="s">
        <v>91</v>
      </c>
      <c r="Y39" t="s">
        <v>161</v>
      </c>
      <c r="Z39" t="s">
        <v>244</v>
      </c>
      <c r="AM39" t="s">
        <v>86</v>
      </c>
      <c r="AN39">
        <v>45556</v>
      </c>
      <c r="BS39">
        <v>2024</v>
      </c>
    </row>
    <row r="40" spans="1:75" x14ac:dyDescent="0.35">
      <c r="A40" t="s">
        <v>75</v>
      </c>
      <c r="B40" t="s">
        <v>75</v>
      </c>
      <c r="D40" t="s">
        <v>76</v>
      </c>
      <c r="E40" t="s">
        <v>77</v>
      </c>
      <c r="K40" t="s">
        <v>245</v>
      </c>
      <c r="L40" t="s">
        <v>228</v>
      </c>
      <c r="M40" t="s">
        <v>246</v>
      </c>
      <c r="N40">
        <v>114630070</v>
      </c>
      <c r="O40" s="2">
        <v>45594</v>
      </c>
      <c r="P40" t="s">
        <v>81</v>
      </c>
      <c r="Q40">
        <v>33263</v>
      </c>
      <c r="R40">
        <v>33.760438056125899</v>
      </c>
      <c r="S40" t="s">
        <v>210</v>
      </c>
      <c r="T40">
        <v>45321</v>
      </c>
      <c r="W40" t="s">
        <v>82</v>
      </c>
      <c r="X40" t="s">
        <v>91</v>
      </c>
      <c r="Y40" t="s">
        <v>91</v>
      </c>
      <c r="Z40" t="s">
        <v>247</v>
      </c>
      <c r="AM40" t="s">
        <v>106</v>
      </c>
      <c r="BS40">
        <v>2024</v>
      </c>
    </row>
    <row r="41" spans="1:75" x14ac:dyDescent="0.35">
      <c r="A41" t="s">
        <v>75</v>
      </c>
      <c r="B41" t="s">
        <v>75</v>
      </c>
      <c r="D41" t="s">
        <v>76</v>
      </c>
      <c r="E41" t="s">
        <v>77</v>
      </c>
      <c r="N41">
        <v>20210000001</v>
      </c>
      <c r="O41" s="2">
        <v>45701</v>
      </c>
      <c r="P41" t="s">
        <v>81</v>
      </c>
      <c r="R41">
        <v>56</v>
      </c>
      <c r="W41" t="s">
        <v>82</v>
      </c>
      <c r="X41" t="s">
        <v>91</v>
      </c>
      <c r="AM41" t="s">
        <v>86</v>
      </c>
      <c r="AN41">
        <v>45703</v>
      </c>
      <c r="BS41">
        <v>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3572-AB16-4B46-B319-F7668D93D316}">
  <dimension ref="A1:BS39"/>
  <sheetViews>
    <sheetView workbookViewId="0">
      <selection activeCell="E41" sqref="E41"/>
    </sheetView>
  </sheetViews>
  <sheetFormatPr defaultColWidth="30.1796875" defaultRowHeight="14.5" x14ac:dyDescent="0.35"/>
  <cols>
    <col min="13" max="13" width="9.81640625" style="3" bestFit="1" customWidth="1"/>
    <col min="14" max="14" width="13.26953125" bestFit="1" customWidth="1"/>
    <col min="18" max="32" width="30.1796875" customWidth="1"/>
    <col min="35" max="35" width="30.1796875" style="2"/>
    <col min="40" max="40" width="30.1796875" style="2"/>
  </cols>
  <sheetData>
    <row r="1" spans="1:7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10</v>
      </c>
      <c r="H1" t="s">
        <v>11</v>
      </c>
      <c r="I1" t="s">
        <v>12</v>
      </c>
      <c r="J1" t="s">
        <v>13</v>
      </c>
      <c r="K1" t="s">
        <v>15</v>
      </c>
      <c r="L1" t="s">
        <v>16</v>
      </c>
      <c r="M1" s="3" t="s">
        <v>17</v>
      </c>
      <c r="N1" t="s">
        <v>18</v>
      </c>
      <c r="O1" t="s">
        <v>19</v>
      </c>
      <c r="P1" t="s">
        <v>20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s="2" t="s">
        <v>39</v>
      </c>
      <c r="AI1" s="2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5</v>
      </c>
      <c r="BG1" t="s">
        <v>66</v>
      </c>
      <c r="BH1" t="s">
        <v>67</v>
      </c>
      <c r="BI1" t="s">
        <v>68</v>
      </c>
      <c r="BJ1" t="s">
        <v>6</v>
      </c>
      <c r="BK1" t="s">
        <v>7</v>
      </c>
      <c r="BL1" t="s">
        <v>8</v>
      </c>
      <c r="BM1" t="s">
        <v>9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</row>
    <row r="2" spans="1:71" x14ac:dyDescent="0.35">
      <c r="A2" t="s">
        <v>75</v>
      </c>
      <c r="B2" t="s">
        <v>75</v>
      </c>
      <c r="D2" t="s">
        <v>248</v>
      </c>
      <c r="E2" t="s">
        <v>77</v>
      </c>
      <c r="F2" s="2">
        <v>41955</v>
      </c>
      <c r="G2" t="s">
        <v>249</v>
      </c>
      <c r="H2" t="s">
        <v>250</v>
      </c>
      <c r="I2" t="s">
        <v>251</v>
      </c>
      <c r="J2">
        <v>103820480</v>
      </c>
      <c r="K2" t="s">
        <v>81</v>
      </c>
      <c r="L2" s="2">
        <v>18309</v>
      </c>
      <c r="M2" s="3">
        <f>(Tabla3[[#This Row],[FECHA_TRASPLANTE]]-Tabla3[[#This Row],[FECHA_NAC]])/365.25</f>
        <v>64.739219712525667</v>
      </c>
      <c r="O2" s="2"/>
      <c r="R2" t="s">
        <v>110</v>
      </c>
      <c r="AG2" t="s">
        <v>86</v>
      </c>
      <c r="AH2" s="2">
        <v>42018</v>
      </c>
      <c r="AN2"/>
      <c r="BP2">
        <v>1</v>
      </c>
    </row>
    <row r="3" spans="1:71" x14ac:dyDescent="0.35">
      <c r="A3" t="s">
        <v>75</v>
      </c>
      <c r="B3" t="s">
        <v>75</v>
      </c>
      <c r="D3" t="s">
        <v>248</v>
      </c>
      <c r="E3" t="s">
        <v>77</v>
      </c>
      <c r="F3" s="2">
        <v>42186</v>
      </c>
      <c r="J3">
        <v>19111603</v>
      </c>
      <c r="L3" s="2"/>
      <c r="M3" s="3">
        <v>24</v>
      </c>
      <c r="O3" s="2"/>
      <c r="R3" t="s">
        <v>252</v>
      </c>
      <c r="AG3" t="s">
        <v>86</v>
      </c>
      <c r="AH3" s="2">
        <v>42480</v>
      </c>
      <c r="AN3"/>
      <c r="BP3">
        <v>1</v>
      </c>
    </row>
    <row r="4" spans="1:71" x14ac:dyDescent="0.35">
      <c r="A4" t="s">
        <v>75</v>
      </c>
      <c r="B4" t="s">
        <v>75</v>
      </c>
      <c r="D4" t="s">
        <v>248</v>
      </c>
      <c r="E4" t="s">
        <v>77</v>
      </c>
      <c r="F4" s="2">
        <v>42433</v>
      </c>
      <c r="J4">
        <v>18911231</v>
      </c>
      <c r="L4" s="2"/>
      <c r="M4" s="3">
        <v>26</v>
      </c>
      <c r="O4" s="2"/>
      <c r="R4" t="s">
        <v>252</v>
      </c>
      <c r="AG4" t="s">
        <v>86</v>
      </c>
      <c r="AH4" s="2">
        <v>42433</v>
      </c>
      <c r="AN4"/>
      <c r="BP4">
        <v>1</v>
      </c>
    </row>
    <row r="5" spans="1:71" x14ac:dyDescent="0.35">
      <c r="A5" t="s">
        <v>75</v>
      </c>
      <c r="B5" t="s">
        <v>75</v>
      </c>
      <c r="D5" t="s">
        <v>248</v>
      </c>
      <c r="E5" t="s">
        <v>77</v>
      </c>
      <c r="F5" s="2">
        <v>42601</v>
      </c>
      <c r="G5" t="s">
        <v>253</v>
      </c>
      <c r="H5" t="s">
        <v>203</v>
      </c>
      <c r="I5" t="s">
        <v>119</v>
      </c>
      <c r="J5">
        <v>302240249</v>
      </c>
      <c r="K5" t="s">
        <v>81</v>
      </c>
      <c r="L5" s="2">
        <v>21193</v>
      </c>
      <c r="M5" s="3">
        <f>(Tabla3[[#This Row],[FECHA_TRASPLANTE]]-Tabla3[[#This Row],[FECHA_NAC]])/365.25</f>
        <v>58.611909650924026</v>
      </c>
      <c r="O5" s="2"/>
      <c r="R5" t="s">
        <v>110</v>
      </c>
      <c r="AG5" t="s">
        <v>86</v>
      </c>
      <c r="AH5" s="2">
        <v>42640</v>
      </c>
      <c r="AN5"/>
      <c r="BP5">
        <v>1</v>
      </c>
    </row>
    <row r="6" spans="1:71" x14ac:dyDescent="0.35">
      <c r="A6" t="s">
        <v>75</v>
      </c>
      <c r="B6" t="s">
        <v>75</v>
      </c>
      <c r="D6" t="s">
        <v>248</v>
      </c>
      <c r="E6" t="s">
        <v>77</v>
      </c>
      <c r="F6" s="2">
        <v>43150</v>
      </c>
      <c r="G6" t="s">
        <v>254</v>
      </c>
      <c r="H6" t="s">
        <v>149</v>
      </c>
      <c r="I6" t="s">
        <v>150</v>
      </c>
      <c r="J6">
        <v>110640140</v>
      </c>
      <c r="K6" t="s">
        <v>90</v>
      </c>
      <c r="L6" s="2">
        <v>29283</v>
      </c>
      <c r="M6" s="3">
        <f>(Tabla3[[#This Row],[FECHA_TRASPLANTE]]-Tabla3[[#This Row],[FECHA_NAC]])/365.25</f>
        <v>37.965776865160848</v>
      </c>
      <c r="O6" s="2"/>
      <c r="R6" t="s">
        <v>252</v>
      </c>
      <c r="AG6" t="s">
        <v>86</v>
      </c>
      <c r="AH6" s="2">
        <v>43152</v>
      </c>
      <c r="AN6"/>
      <c r="BP6">
        <v>1</v>
      </c>
    </row>
    <row r="7" spans="1:71" x14ac:dyDescent="0.35">
      <c r="A7" t="s">
        <v>75</v>
      </c>
      <c r="B7" t="s">
        <v>75</v>
      </c>
      <c r="D7" t="s">
        <v>248</v>
      </c>
      <c r="E7" t="s">
        <v>77</v>
      </c>
      <c r="F7" s="2">
        <v>43177</v>
      </c>
      <c r="G7" t="s">
        <v>255</v>
      </c>
      <c r="H7" t="s">
        <v>103</v>
      </c>
      <c r="I7" t="s">
        <v>160</v>
      </c>
      <c r="J7">
        <v>111810477</v>
      </c>
      <c r="K7" t="s">
        <v>90</v>
      </c>
      <c r="L7" s="2">
        <v>30540</v>
      </c>
      <c r="M7" s="3">
        <f>(Tabla3[[#This Row],[FECHA_TRASPLANTE]]-Tabla3[[#This Row],[FECHA_NAC]])/365.25</f>
        <v>34.598220396988367</v>
      </c>
      <c r="O7" s="2"/>
      <c r="R7" t="s">
        <v>252</v>
      </c>
      <c r="AG7" t="s">
        <v>86</v>
      </c>
      <c r="AH7" s="2">
        <v>43196</v>
      </c>
      <c r="AN7"/>
      <c r="BP7">
        <v>1</v>
      </c>
    </row>
    <row r="8" spans="1:71" x14ac:dyDescent="0.35">
      <c r="A8" t="s">
        <v>75</v>
      </c>
      <c r="B8" t="s">
        <v>75</v>
      </c>
      <c r="D8" t="s">
        <v>248</v>
      </c>
      <c r="E8" t="s">
        <v>77</v>
      </c>
      <c r="F8" s="2">
        <v>43461</v>
      </c>
      <c r="G8" t="s">
        <v>256</v>
      </c>
      <c r="H8" t="s">
        <v>257</v>
      </c>
      <c r="I8" t="s">
        <v>258</v>
      </c>
      <c r="J8">
        <v>110670397</v>
      </c>
      <c r="K8" t="s">
        <v>90</v>
      </c>
      <c r="L8" s="2">
        <v>29327</v>
      </c>
      <c r="M8" s="3">
        <f>(Tabla3[[#This Row],[FECHA_TRASPLANTE]]-Tabla3[[#This Row],[FECHA_NAC]])/365.25</f>
        <v>38.696783025325118</v>
      </c>
      <c r="O8" s="2"/>
      <c r="R8" t="s">
        <v>252</v>
      </c>
      <c r="AG8" t="s">
        <v>86</v>
      </c>
      <c r="AH8" s="2">
        <v>43557</v>
      </c>
      <c r="AN8"/>
      <c r="BP8">
        <v>1</v>
      </c>
    </row>
    <row r="9" spans="1:71" x14ac:dyDescent="0.35">
      <c r="A9" t="s">
        <v>75</v>
      </c>
      <c r="B9" t="s">
        <v>75</v>
      </c>
      <c r="D9" t="s">
        <v>248</v>
      </c>
      <c r="E9" t="s">
        <v>77</v>
      </c>
      <c r="F9" s="2">
        <v>43633</v>
      </c>
      <c r="G9" t="s">
        <v>259</v>
      </c>
      <c r="H9" t="s">
        <v>89</v>
      </c>
      <c r="I9" t="s">
        <v>260</v>
      </c>
      <c r="J9">
        <v>108230009</v>
      </c>
      <c r="K9" t="s">
        <v>81</v>
      </c>
      <c r="L9" s="2">
        <v>26350</v>
      </c>
      <c r="M9" s="3">
        <f>(Tabla3[[#This Row],[FECHA_TRASPLANTE]]-Tabla3[[#This Row],[FECHA_NAC]])/365.25</f>
        <v>47.318275154004105</v>
      </c>
      <c r="O9" s="2"/>
      <c r="R9" t="s">
        <v>261</v>
      </c>
      <c r="AG9" t="s">
        <v>106</v>
      </c>
      <c r="AH9" s="2"/>
      <c r="AN9"/>
      <c r="BP9">
        <v>0</v>
      </c>
    </row>
    <row r="10" spans="1:71" x14ac:dyDescent="0.35">
      <c r="A10" t="s">
        <v>75</v>
      </c>
      <c r="B10" t="s">
        <v>75</v>
      </c>
      <c r="D10" t="s">
        <v>248</v>
      </c>
      <c r="E10" t="s">
        <v>77</v>
      </c>
      <c r="F10" s="2">
        <v>43712</v>
      </c>
      <c r="G10" t="s">
        <v>262</v>
      </c>
      <c r="H10" t="s">
        <v>99</v>
      </c>
      <c r="I10" t="s">
        <v>263</v>
      </c>
      <c r="J10">
        <v>114840714</v>
      </c>
      <c r="K10" t="s">
        <v>90</v>
      </c>
      <c r="L10" s="2">
        <v>33565</v>
      </c>
      <c r="M10" s="3">
        <f>(Tabla3[[#This Row],[FECHA_TRASPLANTE]]-Tabla3[[#This Row],[FECHA_NAC]])/365.25</f>
        <v>27.780971937029431</v>
      </c>
      <c r="O10" s="2"/>
      <c r="R10" t="s">
        <v>252</v>
      </c>
      <c r="AG10" t="s">
        <v>86</v>
      </c>
      <c r="AH10" s="2">
        <v>45109</v>
      </c>
      <c r="AN10"/>
      <c r="BP10">
        <v>1</v>
      </c>
    </row>
    <row r="11" spans="1:71" x14ac:dyDescent="0.35">
      <c r="A11" t="s">
        <v>75</v>
      </c>
      <c r="B11" t="s">
        <v>75</v>
      </c>
      <c r="D11" t="s">
        <v>248</v>
      </c>
      <c r="E11" t="s">
        <v>77</v>
      </c>
      <c r="F11" s="2">
        <v>43888</v>
      </c>
      <c r="G11" t="s">
        <v>264</v>
      </c>
      <c r="H11" t="s">
        <v>265</v>
      </c>
      <c r="I11" t="s">
        <v>114</v>
      </c>
      <c r="J11">
        <v>113200212</v>
      </c>
      <c r="K11" t="s">
        <v>90</v>
      </c>
      <c r="L11" s="2">
        <v>31949</v>
      </c>
      <c r="M11" s="3">
        <f>(Tabla3[[#This Row],[FECHA_TRASPLANTE]]-Tabla3[[#This Row],[FECHA_NAC]])/365.25</f>
        <v>32.687200547570157</v>
      </c>
      <c r="O11" s="2"/>
      <c r="R11" t="s">
        <v>252</v>
      </c>
      <c r="AG11" t="s">
        <v>86</v>
      </c>
      <c r="AH11" s="2">
        <v>43963</v>
      </c>
      <c r="AN11"/>
      <c r="BP11">
        <v>1</v>
      </c>
    </row>
    <row r="12" spans="1:71" x14ac:dyDescent="0.35">
      <c r="A12" t="s">
        <v>75</v>
      </c>
      <c r="B12" t="s">
        <v>75</v>
      </c>
      <c r="D12" t="s">
        <v>248</v>
      </c>
      <c r="E12" t="s">
        <v>77</v>
      </c>
      <c r="F12" s="2">
        <v>44000</v>
      </c>
      <c r="G12" t="s">
        <v>266</v>
      </c>
      <c r="H12" t="s">
        <v>224</v>
      </c>
      <c r="I12" t="s">
        <v>267</v>
      </c>
      <c r="J12">
        <v>401080061</v>
      </c>
      <c r="K12" t="s">
        <v>81</v>
      </c>
      <c r="L12" s="2">
        <v>20034</v>
      </c>
      <c r="M12" s="3">
        <f>(Tabla3[[#This Row],[FECHA_TRASPLANTE]]-Tabla3[[#This Row],[FECHA_NAC]])/365.25</f>
        <v>65.615331964407943</v>
      </c>
      <c r="O12" s="2"/>
      <c r="R12" t="s">
        <v>110</v>
      </c>
      <c r="AG12" t="s">
        <v>86</v>
      </c>
      <c r="AH12" s="2">
        <v>44004</v>
      </c>
      <c r="AN12"/>
      <c r="BP12">
        <v>1</v>
      </c>
    </row>
    <row r="13" spans="1:71" x14ac:dyDescent="0.35">
      <c r="A13" t="s">
        <v>75</v>
      </c>
      <c r="B13" t="s">
        <v>75</v>
      </c>
      <c r="D13" t="s">
        <v>248</v>
      </c>
      <c r="E13" t="s">
        <v>77</v>
      </c>
      <c r="F13" s="2">
        <v>44180</v>
      </c>
      <c r="G13" t="s">
        <v>268</v>
      </c>
      <c r="H13" t="s">
        <v>99</v>
      </c>
      <c r="I13" t="s">
        <v>269</v>
      </c>
      <c r="J13">
        <v>111210866</v>
      </c>
      <c r="K13" t="s">
        <v>90</v>
      </c>
      <c r="L13" s="2">
        <v>29909</v>
      </c>
      <c r="M13" s="3">
        <f>(Tabla3[[#This Row],[FECHA_TRASPLANTE]]-Tabla3[[#This Row],[FECHA_NAC]])/365.25</f>
        <v>39.071868583162221</v>
      </c>
      <c r="O13" s="2"/>
      <c r="R13" t="s">
        <v>252</v>
      </c>
      <c r="AG13" t="s">
        <v>106</v>
      </c>
      <c r="AH13" s="2"/>
      <c r="AN13"/>
      <c r="BP13">
        <v>0</v>
      </c>
    </row>
    <row r="14" spans="1:71" x14ac:dyDescent="0.35">
      <c r="A14" t="s">
        <v>75</v>
      </c>
      <c r="B14" t="s">
        <v>75</v>
      </c>
      <c r="D14" t="s">
        <v>248</v>
      </c>
      <c r="E14" t="s">
        <v>77</v>
      </c>
      <c r="F14" s="2">
        <v>44300</v>
      </c>
      <c r="G14" t="s">
        <v>270</v>
      </c>
      <c r="H14" t="s">
        <v>271</v>
      </c>
      <c r="I14" t="s">
        <v>272</v>
      </c>
      <c r="J14">
        <v>105640347</v>
      </c>
      <c r="K14" t="s">
        <v>81</v>
      </c>
      <c r="L14" s="2">
        <v>22251</v>
      </c>
      <c r="M14" s="3">
        <f>(Tabla3[[#This Row],[FECHA_TRASPLANTE]]-Tabla3[[#This Row],[FECHA_NAC]])/365.25</f>
        <v>60.366872005475699</v>
      </c>
      <c r="O14" s="2"/>
      <c r="R14" t="s">
        <v>252</v>
      </c>
      <c r="AG14" t="s">
        <v>86</v>
      </c>
      <c r="AH14" s="2">
        <v>45084</v>
      </c>
      <c r="AN14"/>
      <c r="BP14">
        <v>1</v>
      </c>
    </row>
    <row r="15" spans="1:71" x14ac:dyDescent="0.35">
      <c r="A15" t="s">
        <v>75</v>
      </c>
      <c r="B15" t="s">
        <v>75</v>
      </c>
      <c r="D15" t="s">
        <v>248</v>
      </c>
      <c r="E15" t="s">
        <v>77</v>
      </c>
      <c r="F15" s="2">
        <v>44438</v>
      </c>
      <c r="G15" t="s">
        <v>273</v>
      </c>
      <c r="H15" t="s">
        <v>274</v>
      </c>
      <c r="I15" t="s">
        <v>132</v>
      </c>
      <c r="J15">
        <v>303870979</v>
      </c>
      <c r="K15" t="s">
        <v>90</v>
      </c>
      <c r="L15" s="2">
        <v>30461</v>
      </c>
      <c r="M15" s="3">
        <f>(Tabla3[[#This Row],[FECHA_TRASPLANTE]]-Tabla3[[#This Row],[FECHA_NAC]])/365.25</f>
        <v>38.266940451745377</v>
      </c>
      <c r="O15" s="2"/>
      <c r="R15" t="s">
        <v>110</v>
      </c>
      <c r="AG15" t="s">
        <v>106</v>
      </c>
      <c r="AH15" s="2"/>
      <c r="AN15"/>
      <c r="BP15">
        <v>0</v>
      </c>
    </row>
    <row r="16" spans="1:71" x14ac:dyDescent="0.35">
      <c r="A16" t="s">
        <v>75</v>
      </c>
      <c r="B16" t="s">
        <v>75</v>
      </c>
      <c r="D16" t="s">
        <v>248</v>
      </c>
      <c r="E16" t="s">
        <v>77</v>
      </c>
      <c r="F16" s="2">
        <v>44700</v>
      </c>
      <c r="G16" t="s">
        <v>275</v>
      </c>
      <c r="H16" t="s">
        <v>155</v>
      </c>
      <c r="I16" t="s">
        <v>203</v>
      </c>
      <c r="J16">
        <v>502220862</v>
      </c>
      <c r="K16" t="s">
        <v>81</v>
      </c>
      <c r="L16" s="2">
        <v>23787</v>
      </c>
      <c r="M16" s="3">
        <f>(Tabla3[[#This Row],[FECHA_TRASPLANTE]]-Tabla3[[#This Row],[FECHA_NAC]])/365.25</f>
        <v>57.256673511293634</v>
      </c>
      <c r="O16" s="2"/>
      <c r="R16" t="s">
        <v>115</v>
      </c>
      <c r="AG16" t="s">
        <v>106</v>
      </c>
      <c r="AH16" s="2"/>
      <c r="AN16"/>
      <c r="BP16">
        <v>0</v>
      </c>
    </row>
    <row r="17" spans="1:68" x14ac:dyDescent="0.35">
      <c r="A17" t="s">
        <v>75</v>
      </c>
      <c r="B17" t="s">
        <v>75</v>
      </c>
      <c r="D17" t="s">
        <v>248</v>
      </c>
      <c r="E17" t="s">
        <v>77</v>
      </c>
      <c r="F17" s="2">
        <v>44741</v>
      </c>
      <c r="G17" t="s">
        <v>276</v>
      </c>
      <c r="H17" t="s">
        <v>228</v>
      </c>
      <c r="I17" t="s">
        <v>277</v>
      </c>
      <c r="J17">
        <v>304640030</v>
      </c>
      <c r="K17" t="s">
        <v>81</v>
      </c>
      <c r="L17" s="2">
        <v>33794</v>
      </c>
      <c r="M17" s="3">
        <f>(Tabla3[[#This Row],[FECHA_TRASPLANTE]]-Tabla3[[#This Row],[FECHA_NAC]])/365.25</f>
        <v>29.971252566735114</v>
      </c>
      <c r="O17" s="2"/>
      <c r="R17" t="s">
        <v>110</v>
      </c>
      <c r="AG17" t="s">
        <v>86</v>
      </c>
      <c r="AH17" s="2">
        <v>45792</v>
      </c>
      <c r="AN17"/>
      <c r="BP17">
        <v>0</v>
      </c>
    </row>
    <row r="18" spans="1:68" x14ac:dyDescent="0.35">
      <c r="A18" t="s">
        <v>75</v>
      </c>
      <c r="B18" t="s">
        <v>75</v>
      </c>
      <c r="D18" t="s">
        <v>248</v>
      </c>
      <c r="E18" t="s">
        <v>77</v>
      </c>
      <c r="F18" s="2">
        <v>44858</v>
      </c>
      <c r="G18" t="s">
        <v>278</v>
      </c>
      <c r="H18" t="s">
        <v>184</v>
      </c>
      <c r="I18" t="s">
        <v>141</v>
      </c>
      <c r="J18">
        <v>302540993</v>
      </c>
      <c r="K18" t="s">
        <v>90</v>
      </c>
      <c r="L18" s="2">
        <v>22797</v>
      </c>
      <c r="M18" s="3">
        <f>(Tabla3[[#This Row],[FECHA_TRASPLANTE]]-Tabla3[[#This Row],[FECHA_NAC]])/365.25</f>
        <v>60.399726214921287</v>
      </c>
      <c r="O18" s="2"/>
      <c r="R18" t="s">
        <v>110</v>
      </c>
      <c r="AG18" t="s">
        <v>86</v>
      </c>
      <c r="AH18" s="2">
        <v>44860</v>
      </c>
      <c r="AN18"/>
      <c r="BP18">
        <v>1</v>
      </c>
    </row>
    <row r="19" spans="1:68" x14ac:dyDescent="0.35">
      <c r="A19" t="s">
        <v>75</v>
      </c>
      <c r="B19" t="s">
        <v>75</v>
      </c>
      <c r="D19" t="s">
        <v>248</v>
      </c>
      <c r="E19" t="s">
        <v>77</v>
      </c>
      <c r="F19" s="2">
        <v>44896</v>
      </c>
      <c r="G19" t="s">
        <v>279</v>
      </c>
      <c r="H19" t="s">
        <v>267</v>
      </c>
      <c r="I19" t="s">
        <v>280</v>
      </c>
      <c r="J19">
        <v>302870995</v>
      </c>
      <c r="K19" t="s">
        <v>90</v>
      </c>
      <c r="L19" s="2">
        <v>24543</v>
      </c>
      <c r="M19" s="3">
        <f>(Tabla3[[#This Row],[FECHA_TRASPLANTE]]-Tabla3[[#This Row],[FECHA_NAC]])/365.25</f>
        <v>55.723477070499655</v>
      </c>
      <c r="O19" s="2"/>
      <c r="R19" t="s">
        <v>110</v>
      </c>
      <c r="AG19" t="s">
        <v>106</v>
      </c>
      <c r="AH19" s="2"/>
      <c r="AN19"/>
      <c r="BP19">
        <v>0</v>
      </c>
    </row>
    <row r="20" spans="1:68" x14ac:dyDescent="0.35">
      <c r="A20" t="s">
        <v>75</v>
      </c>
      <c r="B20" t="s">
        <v>75</v>
      </c>
      <c r="C20" t="s">
        <v>281</v>
      </c>
      <c r="D20" t="s">
        <v>248</v>
      </c>
      <c r="E20" t="s">
        <v>77</v>
      </c>
      <c r="F20" s="2">
        <v>45041</v>
      </c>
      <c r="G20" t="s">
        <v>282</v>
      </c>
      <c r="H20" t="s">
        <v>283</v>
      </c>
      <c r="I20" t="s">
        <v>284</v>
      </c>
      <c r="J20">
        <v>105000703</v>
      </c>
      <c r="K20" t="s">
        <v>81</v>
      </c>
      <c r="L20" s="2">
        <v>21536</v>
      </c>
      <c r="M20" s="3">
        <f>(Tabla3[[#This Row],[FECHA_TRASPLANTE]]-Tabla3[[#This Row],[FECHA_NAC]])/365.25</f>
        <v>64.353182751540047</v>
      </c>
      <c r="N20" t="s">
        <v>200</v>
      </c>
      <c r="O20" s="2">
        <v>44901</v>
      </c>
      <c r="P20" t="s">
        <v>285</v>
      </c>
      <c r="Q20" t="s">
        <v>82</v>
      </c>
      <c r="R20" t="s">
        <v>91</v>
      </c>
      <c r="S20" t="s">
        <v>211</v>
      </c>
      <c r="T20" t="s">
        <v>286</v>
      </c>
      <c r="AG20" t="s">
        <v>86</v>
      </c>
      <c r="AH20" s="2">
        <v>45228</v>
      </c>
      <c r="AN20"/>
      <c r="BP20">
        <v>1</v>
      </c>
    </row>
    <row r="21" spans="1:68" x14ac:dyDescent="0.35">
      <c r="A21" t="s">
        <v>75</v>
      </c>
      <c r="B21" t="s">
        <v>75</v>
      </c>
      <c r="C21" t="s">
        <v>287</v>
      </c>
      <c r="D21" t="s">
        <v>248</v>
      </c>
      <c r="E21" t="s">
        <v>77</v>
      </c>
      <c r="F21" s="2">
        <v>45096</v>
      </c>
      <c r="G21" t="s">
        <v>288</v>
      </c>
      <c r="H21" t="s">
        <v>274</v>
      </c>
      <c r="I21" t="s">
        <v>289</v>
      </c>
      <c r="J21">
        <v>702480538</v>
      </c>
      <c r="K21" t="s">
        <v>90</v>
      </c>
      <c r="L21" s="2">
        <v>35381</v>
      </c>
      <c r="M21" s="3">
        <f>(Tabla3[[#This Row],[FECHA_TRASPLANTE]]-Tabla3[[#This Row],[FECHA_NAC]])/365.25</f>
        <v>26.598220396988363</v>
      </c>
      <c r="N21" t="s">
        <v>200</v>
      </c>
      <c r="O21" s="2">
        <v>45020</v>
      </c>
      <c r="P21" t="s">
        <v>290</v>
      </c>
      <c r="Q21" t="s">
        <v>82</v>
      </c>
      <c r="R21" t="s">
        <v>120</v>
      </c>
      <c r="S21" t="s">
        <v>291</v>
      </c>
      <c r="T21" t="s">
        <v>292</v>
      </c>
      <c r="AG21" t="s">
        <v>86</v>
      </c>
      <c r="AH21" s="2">
        <v>45627</v>
      </c>
      <c r="AN21"/>
    </row>
    <row r="22" spans="1:68" x14ac:dyDescent="0.35">
      <c r="A22" t="s">
        <v>75</v>
      </c>
      <c r="B22" t="s">
        <v>75</v>
      </c>
      <c r="C22" t="s">
        <v>293</v>
      </c>
      <c r="D22" t="s">
        <v>248</v>
      </c>
      <c r="E22" t="s">
        <v>77</v>
      </c>
      <c r="F22" s="2">
        <v>45122</v>
      </c>
      <c r="G22" t="s">
        <v>294</v>
      </c>
      <c r="H22" t="s">
        <v>295</v>
      </c>
      <c r="I22" t="s">
        <v>124</v>
      </c>
      <c r="J22">
        <v>108810930</v>
      </c>
      <c r="K22" t="s">
        <v>90</v>
      </c>
      <c r="L22" s="2">
        <v>27200</v>
      </c>
      <c r="M22" s="3">
        <f>(Tabla3[[#This Row],[FECHA_TRASPLANTE]]-Tabla3[[#This Row],[FECHA_NAC]])/365.25</f>
        <v>49.067761806981522</v>
      </c>
      <c r="N22" t="s">
        <v>200</v>
      </c>
      <c r="O22" s="2">
        <v>44719</v>
      </c>
      <c r="P22" t="s">
        <v>296</v>
      </c>
      <c r="Q22" t="s">
        <v>82</v>
      </c>
      <c r="R22" t="s">
        <v>125</v>
      </c>
      <c r="S22" t="s">
        <v>297</v>
      </c>
      <c r="T22" t="s">
        <v>298</v>
      </c>
      <c r="AG22" t="s">
        <v>106</v>
      </c>
      <c r="AH22" s="2"/>
      <c r="AN22"/>
    </row>
    <row r="23" spans="1:68" x14ac:dyDescent="0.35">
      <c r="A23" t="s">
        <v>75</v>
      </c>
      <c r="B23" t="s">
        <v>75</v>
      </c>
      <c r="C23" t="s">
        <v>299</v>
      </c>
      <c r="D23" t="s">
        <v>248</v>
      </c>
      <c r="E23" t="s">
        <v>77</v>
      </c>
      <c r="F23" s="2">
        <v>45203</v>
      </c>
      <c r="G23" t="s">
        <v>300</v>
      </c>
      <c r="H23" t="s">
        <v>94</v>
      </c>
      <c r="I23" t="s">
        <v>156</v>
      </c>
      <c r="J23">
        <v>501780051</v>
      </c>
      <c r="K23" t="s">
        <v>90</v>
      </c>
      <c r="L23" s="2">
        <v>21409</v>
      </c>
      <c r="M23" s="3">
        <f>(Tabla3[[#This Row],[FECHA_TRASPLANTE]]-Tabla3[[#This Row],[FECHA_NAC]])/365.25</f>
        <v>65.144421629021224</v>
      </c>
      <c r="N23" t="s">
        <v>210</v>
      </c>
      <c r="O23" s="2">
        <v>45153</v>
      </c>
      <c r="P23" t="s">
        <v>301</v>
      </c>
      <c r="Q23" t="s">
        <v>82</v>
      </c>
      <c r="R23" t="s">
        <v>261</v>
      </c>
      <c r="S23" t="s">
        <v>261</v>
      </c>
      <c r="T23" t="s">
        <v>302</v>
      </c>
      <c r="AG23" t="s">
        <v>106</v>
      </c>
      <c r="AH23" s="2"/>
      <c r="AN23"/>
    </row>
    <row r="24" spans="1:68" x14ac:dyDescent="0.35">
      <c r="A24" t="s">
        <v>75</v>
      </c>
      <c r="B24" t="s">
        <v>75</v>
      </c>
      <c r="C24" t="s">
        <v>303</v>
      </c>
      <c r="D24" t="s">
        <v>248</v>
      </c>
      <c r="E24" t="s">
        <v>77</v>
      </c>
      <c r="F24" s="2">
        <v>45237</v>
      </c>
      <c r="G24" t="s">
        <v>304</v>
      </c>
      <c r="H24" t="s">
        <v>305</v>
      </c>
      <c r="I24" t="s">
        <v>243</v>
      </c>
      <c r="J24">
        <v>106040475</v>
      </c>
      <c r="K24" t="s">
        <v>81</v>
      </c>
      <c r="L24" s="2">
        <v>23130</v>
      </c>
      <c r="M24" s="3">
        <f>(Tabla3[[#This Row],[FECHA_TRASPLANTE]]-Tabla3[[#This Row],[FECHA_NAC]])/365.25</f>
        <v>60.525667351129364</v>
      </c>
      <c r="N24" t="s">
        <v>205</v>
      </c>
      <c r="O24" s="2">
        <v>44960</v>
      </c>
      <c r="P24" t="s">
        <v>306</v>
      </c>
      <c r="Q24" t="s">
        <v>82</v>
      </c>
      <c r="R24" t="s">
        <v>91</v>
      </c>
      <c r="S24" t="s">
        <v>91</v>
      </c>
      <c r="T24" t="s">
        <v>307</v>
      </c>
      <c r="AG24" t="s">
        <v>106</v>
      </c>
      <c r="AH24" s="2"/>
      <c r="AN24"/>
    </row>
    <row r="25" spans="1:68" x14ac:dyDescent="0.35">
      <c r="A25" t="s">
        <v>75</v>
      </c>
      <c r="B25" t="s">
        <v>75</v>
      </c>
      <c r="C25" t="s">
        <v>308</v>
      </c>
      <c r="D25" t="s">
        <v>248</v>
      </c>
      <c r="E25" t="s">
        <v>77</v>
      </c>
      <c r="F25" s="2">
        <v>45280</v>
      </c>
      <c r="G25" t="s">
        <v>309</v>
      </c>
      <c r="H25" t="s">
        <v>269</v>
      </c>
      <c r="I25" t="s">
        <v>108</v>
      </c>
      <c r="J25">
        <v>105280986</v>
      </c>
      <c r="K25" t="s">
        <v>81</v>
      </c>
      <c r="L25" s="2">
        <v>22039</v>
      </c>
      <c r="M25" s="3">
        <f>(Tabla3[[#This Row],[FECHA_TRASPLANTE]]-Tabla3[[#This Row],[FECHA_NAC]])/365.25</f>
        <v>63.630390143737166</v>
      </c>
      <c r="N25" t="s">
        <v>210</v>
      </c>
      <c r="O25" s="2">
        <v>45179</v>
      </c>
      <c r="P25" t="s">
        <v>310</v>
      </c>
      <c r="Q25" t="s">
        <v>82</v>
      </c>
      <c r="R25" t="s">
        <v>261</v>
      </c>
      <c r="S25" t="s">
        <v>311</v>
      </c>
      <c r="T25" t="s">
        <v>311</v>
      </c>
      <c r="AG25" t="s">
        <v>106</v>
      </c>
      <c r="AH25" s="2"/>
      <c r="AN25"/>
    </row>
    <row r="26" spans="1:68" x14ac:dyDescent="0.35">
      <c r="A26" t="s">
        <v>75</v>
      </c>
      <c r="B26" t="s">
        <v>75</v>
      </c>
      <c r="C26" t="s">
        <v>312</v>
      </c>
      <c r="D26" t="s">
        <v>248</v>
      </c>
      <c r="E26" t="s">
        <v>77</v>
      </c>
      <c r="F26" s="2">
        <v>45297</v>
      </c>
      <c r="G26" t="s">
        <v>313</v>
      </c>
      <c r="H26" t="s">
        <v>314</v>
      </c>
      <c r="I26" t="s">
        <v>133</v>
      </c>
      <c r="J26">
        <v>110270500</v>
      </c>
      <c r="K26" t="s">
        <v>81</v>
      </c>
      <c r="L26" s="2">
        <v>28900</v>
      </c>
      <c r="M26" s="3">
        <f>(Tabla3[[#This Row],[FECHA_TRASPLANTE]]-Tabla3[[#This Row],[FECHA_NAC]])/365.25</f>
        <v>44.892539356605063</v>
      </c>
      <c r="N26" t="s">
        <v>200</v>
      </c>
      <c r="O26" s="2">
        <v>44460</v>
      </c>
      <c r="P26" t="s">
        <v>315</v>
      </c>
      <c r="Q26" t="s">
        <v>82</v>
      </c>
      <c r="R26" t="s">
        <v>115</v>
      </c>
      <c r="S26" t="s">
        <v>115</v>
      </c>
      <c r="T26" t="s">
        <v>116</v>
      </c>
      <c r="AG26" t="s">
        <v>106</v>
      </c>
      <c r="AH26" s="2"/>
      <c r="AN26"/>
      <c r="BP26">
        <v>0</v>
      </c>
    </row>
    <row r="27" spans="1:68" x14ac:dyDescent="0.35">
      <c r="A27" t="s">
        <v>75</v>
      </c>
      <c r="B27" t="s">
        <v>75</v>
      </c>
      <c r="C27" t="s">
        <v>316</v>
      </c>
      <c r="D27" t="s">
        <v>248</v>
      </c>
      <c r="E27" t="s">
        <v>77</v>
      </c>
      <c r="F27" s="2">
        <v>45321</v>
      </c>
      <c r="G27" t="s">
        <v>317</v>
      </c>
      <c r="H27" t="s">
        <v>318</v>
      </c>
      <c r="I27" t="s">
        <v>167</v>
      </c>
      <c r="J27">
        <v>602780313</v>
      </c>
      <c r="K27" t="s">
        <v>81</v>
      </c>
      <c r="L27" s="2">
        <v>27922</v>
      </c>
      <c r="M27" s="3">
        <f>(Tabla3[[#This Row],[FECHA_TRASPLANTE]]-Tabla3[[#This Row],[FECHA_NAC]])/365.25</f>
        <v>47.635865845311429</v>
      </c>
      <c r="N27" t="s">
        <v>210</v>
      </c>
      <c r="O27" s="2">
        <v>44880</v>
      </c>
      <c r="P27" t="s">
        <v>319</v>
      </c>
      <c r="Q27" t="s">
        <v>82</v>
      </c>
      <c r="R27" t="s">
        <v>83</v>
      </c>
      <c r="S27" t="s">
        <v>320</v>
      </c>
      <c r="T27" t="s">
        <v>321</v>
      </c>
      <c r="AG27" t="s">
        <v>106</v>
      </c>
      <c r="AH27" s="2"/>
      <c r="AN27"/>
      <c r="BP27">
        <v>0</v>
      </c>
    </row>
    <row r="28" spans="1:68" x14ac:dyDescent="0.35">
      <c r="A28" t="s">
        <v>75</v>
      </c>
      <c r="B28" t="s">
        <v>75</v>
      </c>
      <c r="C28" t="s">
        <v>322</v>
      </c>
      <c r="D28" t="s">
        <v>248</v>
      </c>
      <c r="E28" t="s">
        <v>77</v>
      </c>
      <c r="F28" s="2">
        <v>45329</v>
      </c>
      <c r="G28" t="s">
        <v>323</v>
      </c>
      <c r="H28" t="s">
        <v>324</v>
      </c>
      <c r="I28" t="s">
        <v>325</v>
      </c>
      <c r="J28">
        <v>117960905</v>
      </c>
      <c r="K28" t="s">
        <v>90</v>
      </c>
      <c r="L28" s="2">
        <v>36859</v>
      </c>
      <c r="M28" s="3">
        <f>(Tabla3[[#This Row],[FECHA_TRASPLANTE]]-Tabla3[[#This Row],[FECHA_NAC]])/365.25</f>
        <v>23.189596167008897</v>
      </c>
      <c r="N28" t="s">
        <v>200</v>
      </c>
      <c r="O28" s="2">
        <v>44621</v>
      </c>
      <c r="P28" t="s">
        <v>326</v>
      </c>
      <c r="Q28" t="s">
        <v>82</v>
      </c>
      <c r="R28" t="s">
        <v>261</v>
      </c>
      <c r="S28" t="s">
        <v>261</v>
      </c>
      <c r="T28" t="s">
        <v>212</v>
      </c>
      <c r="AG28" t="s">
        <v>106</v>
      </c>
      <c r="AH28" s="2"/>
      <c r="AN28"/>
      <c r="BP28">
        <v>0</v>
      </c>
    </row>
    <row r="29" spans="1:68" x14ac:dyDescent="0.35">
      <c r="A29" t="s">
        <v>75</v>
      </c>
      <c r="B29" t="s">
        <v>75</v>
      </c>
      <c r="C29" t="s">
        <v>327</v>
      </c>
      <c r="D29" t="s">
        <v>248</v>
      </c>
      <c r="E29" t="s">
        <v>77</v>
      </c>
      <c r="F29" s="2">
        <v>45492</v>
      </c>
      <c r="G29" t="s">
        <v>328</v>
      </c>
      <c r="H29" t="s">
        <v>329</v>
      </c>
      <c r="I29" t="s">
        <v>330</v>
      </c>
      <c r="J29">
        <v>111430680</v>
      </c>
      <c r="K29" t="s">
        <v>90</v>
      </c>
      <c r="L29" s="2">
        <v>30150</v>
      </c>
      <c r="M29" s="3">
        <f>(Tabla3[[#This Row],[FECHA_TRASPLANTE]]-Tabla3[[#This Row],[FECHA_NAC]])/365.25</f>
        <v>42.004106776180699</v>
      </c>
      <c r="N29" t="s">
        <v>200</v>
      </c>
      <c r="O29" s="2">
        <v>45342</v>
      </c>
      <c r="P29" t="s">
        <v>331</v>
      </c>
      <c r="Q29" t="s">
        <v>82</v>
      </c>
      <c r="R29" t="s">
        <v>91</v>
      </c>
      <c r="S29" t="s">
        <v>152</v>
      </c>
      <c r="T29" t="s">
        <v>332</v>
      </c>
      <c r="AG29" t="s">
        <v>106</v>
      </c>
      <c r="AH29" s="2"/>
      <c r="AN29"/>
      <c r="BP29">
        <v>0</v>
      </c>
    </row>
    <row r="30" spans="1:68" x14ac:dyDescent="0.35">
      <c r="A30" t="s">
        <v>75</v>
      </c>
      <c r="B30" t="s">
        <v>75</v>
      </c>
      <c r="C30" t="s">
        <v>333</v>
      </c>
      <c r="D30" t="s">
        <v>248</v>
      </c>
      <c r="E30" t="s">
        <v>77</v>
      </c>
      <c r="F30" s="2">
        <v>45495</v>
      </c>
      <c r="G30" t="s">
        <v>334</v>
      </c>
      <c r="H30" t="s">
        <v>243</v>
      </c>
      <c r="I30" t="s">
        <v>203</v>
      </c>
      <c r="J30">
        <v>106990583</v>
      </c>
      <c r="K30" t="s">
        <v>90</v>
      </c>
      <c r="L30" s="2">
        <v>24588</v>
      </c>
      <c r="M30" s="3">
        <f>(Tabla3[[#This Row],[FECHA_TRASPLANTE]]-Tabla3[[#This Row],[FECHA_NAC]])/365.25</f>
        <v>57.24024640657084</v>
      </c>
      <c r="N30" t="s">
        <v>210</v>
      </c>
      <c r="O30" s="2">
        <v>45020</v>
      </c>
      <c r="P30" t="s">
        <v>335</v>
      </c>
      <c r="Q30" t="s">
        <v>82</v>
      </c>
      <c r="R30" t="s">
        <v>91</v>
      </c>
      <c r="S30" t="s">
        <v>157</v>
      </c>
      <c r="T30" t="s">
        <v>158</v>
      </c>
      <c r="AG30" t="s">
        <v>106</v>
      </c>
      <c r="AH30" s="2"/>
      <c r="AN30"/>
      <c r="BP30">
        <v>0</v>
      </c>
    </row>
    <row r="31" spans="1:68" x14ac:dyDescent="0.35">
      <c r="A31" t="s">
        <v>75</v>
      </c>
      <c r="B31" t="s">
        <v>75</v>
      </c>
      <c r="C31" t="s">
        <v>336</v>
      </c>
      <c r="D31" t="s">
        <v>248</v>
      </c>
      <c r="E31" t="s">
        <v>77</v>
      </c>
      <c r="F31" s="2">
        <v>45556</v>
      </c>
      <c r="G31" t="s">
        <v>337</v>
      </c>
      <c r="H31" t="s">
        <v>98</v>
      </c>
      <c r="I31" t="s">
        <v>338</v>
      </c>
      <c r="J31">
        <v>702120308</v>
      </c>
      <c r="K31" t="s">
        <v>81</v>
      </c>
      <c r="L31" s="2">
        <v>33760</v>
      </c>
      <c r="M31" s="3">
        <f>(Tabla3[[#This Row],[FECHA_TRASPLANTE]]-Tabla3[[#This Row],[FECHA_NAC]])/365.25</f>
        <v>32.295687885010267</v>
      </c>
      <c r="N31" t="s">
        <v>200</v>
      </c>
      <c r="O31" s="2">
        <v>45433</v>
      </c>
      <c r="P31" t="s">
        <v>339</v>
      </c>
      <c r="Q31" t="s">
        <v>82</v>
      </c>
      <c r="R31" t="s">
        <v>110</v>
      </c>
      <c r="S31" t="s">
        <v>110</v>
      </c>
      <c r="T31" t="s">
        <v>340</v>
      </c>
      <c r="AG31" t="s">
        <v>106</v>
      </c>
      <c r="AH31" s="2"/>
      <c r="AN31"/>
    </row>
    <row r="32" spans="1:68" x14ac:dyDescent="0.35">
      <c r="A32" t="s">
        <v>75</v>
      </c>
      <c r="B32" t="s">
        <v>75</v>
      </c>
      <c r="C32" t="s">
        <v>341</v>
      </c>
      <c r="D32" t="s">
        <v>248</v>
      </c>
      <c r="E32" t="s">
        <v>77</v>
      </c>
      <c r="F32" s="2">
        <v>45647</v>
      </c>
      <c r="G32" t="s">
        <v>342</v>
      </c>
      <c r="H32" t="s">
        <v>203</v>
      </c>
      <c r="I32" t="s">
        <v>343</v>
      </c>
      <c r="J32">
        <v>204890791</v>
      </c>
      <c r="K32" t="s">
        <v>90</v>
      </c>
      <c r="L32" s="2">
        <v>27005</v>
      </c>
      <c r="M32" s="3">
        <f>(Tabla3[[#This Row],[FECHA_TRASPLANTE]]-Tabla3[[#This Row],[FECHA_NAC]])/365.25</f>
        <v>51.039014373716633</v>
      </c>
      <c r="N32" t="s">
        <v>344</v>
      </c>
      <c r="O32" s="2">
        <v>45475</v>
      </c>
      <c r="P32" t="s">
        <v>345</v>
      </c>
      <c r="Q32" t="s">
        <v>82</v>
      </c>
      <c r="R32" t="s">
        <v>83</v>
      </c>
      <c r="S32" t="s">
        <v>83</v>
      </c>
      <c r="T32" t="s">
        <v>83</v>
      </c>
      <c r="AG32" t="s">
        <v>106</v>
      </c>
      <c r="AH32" s="2"/>
      <c r="AN32"/>
    </row>
    <row r="33" spans="1:68" x14ac:dyDescent="0.35">
      <c r="A33" t="s">
        <v>75</v>
      </c>
      <c r="B33" t="s">
        <v>75</v>
      </c>
      <c r="C33" t="s">
        <v>346</v>
      </c>
      <c r="D33" t="s">
        <v>248</v>
      </c>
      <c r="E33" t="s">
        <v>77</v>
      </c>
      <c r="F33" s="2">
        <v>45305</v>
      </c>
      <c r="G33" t="s">
        <v>347</v>
      </c>
      <c r="H33" t="s">
        <v>348</v>
      </c>
      <c r="I33" t="s">
        <v>208</v>
      </c>
      <c r="J33">
        <v>204200489</v>
      </c>
      <c r="K33" t="s">
        <v>90</v>
      </c>
      <c r="L33" s="2">
        <v>24385</v>
      </c>
      <c r="M33" s="3">
        <f>(Tabla3[[#This Row],[FECHA_TRASPLANTE]]-Tabla3[[#This Row],[FECHA_NAC]])/365.25</f>
        <v>57.275838466803556</v>
      </c>
      <c r="N33" t="s">
        <v>210</v>
      </c>
      <c r="O33" s="2">
        <v>45552</v>
      </c>
      <c r="P33" t="s">
        <v>349</v>
      </c>
      <c r="Q33" t="s">
        <v>82</v>
      </c>
      <c r="R33" t="s">
        <v>115</v>
      </c>
      <c r="S33" t="s">
        <v>115</v>
      </c>
      <c r="T33" t="s">
        <v>115</v>
      </c>
      <c r="AG33" t="s">
        <v>106</v>
      </c>
      <c r="AH33" s="2"/>
      <c r="AN33"/>
    </row>
    <row r="34" spans="1:68" x14ac:dyDescent="0.35">
      <c r="A34" t="s">
        <v>75</v>
      </c>
      <c r="B34" t="s">
        <v>75</v>
      </c>
      <c r="D34" t="s">
        <v>248</v>
      </c>
      <c r="E34" t="s">
        <v>77</v>
      </c>
      <c r="F34" s="2">
        <v>45723</v>
      </c>
      <c r="G34" t="s">
        <v>350</v>
      </c>
      <c r="H34" t="s">
        <v>145</v>
      </c>
      <c r="I34" t="s">
        <v>351</v>
      </c>
      <c r="J34">
        <v>17421571</v>
      </c>
      <c r="K34" t="s">
        <v>90</v>
      </c>
      <c r="L34" s="2">
        <v>27171</v>
      </c>
      <c r="M34" s="3">
        <f>(Tabla3[[#This Row],[FECHA_TRASPLANTE]]-Tabla3[[#This Row],[FECHA_NAC]])/365.25</f>
        <v>50.792607802874741</v>
      </c>
      <c r="N34" t="s">
        <v>200</v>
      </c>
      <c r="O34" s="2">
        <v>45433</v>
      </c>
      <c r="P34" t="s">
        <v>352</v>
      </c>
      <c r="Q34" t="s">
        <v>82</v>
      </c>
      <c r="R34" t="s">
        <v>261</v>
      </c>
      <c r="S34" t="s">
        <v>353</v>
      </c>
      <c r="T34" t="s">
        <v>244</v>
      </c>
      <c r="AG34" t="s">
        <v>106</v>
      </c>
      <c r="AH34" s="2"/>
    </row>
    <row r="35" spans="1:68" x14ac:dyDescent="0.35">
      <c r="A35" t="s">
        <v>75</v>
      </c>
      <c r="B35" t="s">
        <v>75</v>
      </c>
      <c r="D35" t="s">
        <v>248</v>
      </c>
      <c r="E35" t="s">
        <v>77</v>
      </c>
      <c r="F35" s="2">
        <v>45743</v>
      </c>
      <c r="G35" t="s">
        <v>354</v>
      </c>
      <c r="H35" t="s">
        <v>228</v>
      </c>
      <c r="I35" t="s">
        <v>99</v>
      </c>
      <c r="J35">
        <v>205700877</v>
      </c>
      <c r="K35" t="s">
        <v>90</v>
      </c>
      <c r="L35" s="2">
        <v>30073</v>
      </c>
      <c r="M35" s="3">
        <f>(Tabla3[[#This Row],[FECHA_TRASPLANTE]]-Tabla3[[#This Row],[FECHA_NAC]])/365.25</f>
        <v>42.902121834360024</v>
      </c>
      <c r="N35" t="s">
        <v>205</v>
      </c>
      <c r="O35" s="2">
        <v>45266</v>
      </c>
      <c r="P35" t="s">
        <v>345</v>
      </c>
      <c r="Q35" t="s">
        <v>82</v>
      </c>
      <c r="R35" t="s">
        <v>115</v>
      </c>
      <c r="S35" t="s">
        <v>115</v>
      </c>
      <c r="T35" t="s">
        <v>115</v>
      </c>
      <c r="AG35" t="s">
        <v>106</v>
      </c>
      <c r="AH35" s="2"/>
    </row>
    <row r="36" spans="1:68" x14ac:dyDescent="0.35">
      <c r="A36" t="s">
        <v>75</v>
      </c>
      <c r="B36" t="s">
        <v>75</v>
      </c>
      <c r="D36" t="s">
        <v>248</v>
      </c>
      <c r="E36" t="s">
        <v>77</v>
      </c>
      <c r="F36" s="2">
        <v>45747</v>
      </c>
      <c r="G36" t="s">
        <v>355</v>
      </c>
      <c r="H36" t="s">
        <v>356</v>
      </c>
      <c r="I36" t="s">
        <v>239</v>
      </c>
      <c r="J36">
        <v>106360762</v>
      </c>
      <c r="K36" t="s">
        <v>81</v>
      </c>
      <c r="L36" s="2">
        <v>23611</v>
      </c>
      <c r="M36" s="3">
        <f>(Tabla3[[#This Row],[FECHA_TRASPLANTE]]-Tabla3[[#This Row],[FECHA_NAC]])/365.25</f>
        <v>60.605065023956193</v>
      </c>
      <c r="N36" t="s">
        <v>200</v>
      </c>
      <c r="O36" s="2">
        <v>45232</v>
      </c>
      <c r="P36" t="s">
        <v>352</v>
      </c>
      <c r="Q36" t="s">
        <v>82</v>
      </c>
      <c r="R36" t="s">
        <v>91</v>
      </c>
      <c r="S36" t="s">
        <v>357</v>
      </c>
      <c r="T36" t="s">
        <v>311</v>
      </c>
      <c r="AG36" t="s">
        <v>106</v>
      </c>
      <c r="AH36" s="2"/>
      <c r="AK36" t="s">
        <v>358</v>
      </c>
      <c r="AU36" t="s">
        <v>106</v>
      </c>
      <c r="AZ36" t="s">
        <v>106</v>
      </c>
      <c r="BO36">
        <v>2025</v>
      </c>
      <c r="BP36">
        <v>0</v>
      </c>
    </row>
    <row r="37" spans="1:68" x14ac:dyDescent="0.35">
      <c r="A37" t="s">
        <v>75</v>
      </c>
      <c r="B37" t="s">
        <v>75</v>
      </c>
      <c r="D37" t="s">
        <v>248</v>
      </c>
      <c r="E37" t="s">
        <v>77</v>
      </c>
      <c r="F37" s="2">
        <v>45762</v>
      </c>
      <c r="G37" t="s">
        <v>359</v>
      </c>
      <c r="H37" t="s">
        <v>360</v>
      </c>
      <c r="I37" t="s">
        <v>280</v>
      </c>
      <c r="J37">
        <v>203420344</v>
      </c>
      <c r="K37" t="s">
        <v>90</v>
      </c>
      <c r="L37" s="2">
        <v>21768</v>
      </c>
      <c r="M37" s="3">
        <f>(Tabla3[[#This Row],[FECHA_TRASPLANTE]]-Tabla3[[#This Row],[FECHA_NAC]])/365.25</f>
        <v>65.691991786447645</v>
      </c>
      <c r="O37" s="2">
        <v>45279</v>
      </c>
      <c r="P37" t="s">
        <v>352</v>
      </c>
      <c r="Q37" t="s">
        <v>82</v>
      </c>
      <c r="R37" t="s">
        <v>91</v>
      </c>
      <c r="S37" t="s">
        <v>179</v>
      </c>
      <c r="T37" t="s">
        <v>180</v>
      </c>
      <c r="AG37" t="s">
        <v>106</v>
      </c>
      <c r="AH37" s="2"/>
    </row>
    <row r="38" spans="1:68" x14ac:dyDescent="0.35">
      <c r="A38" t="s">
        <v>75</v>
      </c>
      <c r="B38" t="s">
        <v>75</v>
      </c>
      <c r="D38" t="s">
        <v>248</v>
      </c>
      <c r="E38" t="s">
        <v>77</v>
      </c>
      <c r="F38" s="2">
        <v>45777</v>
      </c>
      <c r="G38" t="s">
        <v>361</v>
      </c>
      <c r="H38" t="s">
        <v>260</v>
      </c>
      <c r="I38" t="s">
        <v>362</v>
      </c>
      <c r="J38">
        <v>502320685</v>
      </c>
      <c r="K38" t="s">
        <v>81</v>
      </c>
      <c r="L38" s="2">
        <v>24295</v>
      </c>
      <c r="M38" s="3">
        <f>(Tabla3[[#This Row],[FECHA_TRASPLANTE]]-Tabla3[[#This Row],[FECHA_NAC]])/365.25</f>
        <v>58.814510609171798</v>
      </c>
      <c r="O38" s="2">
        <v>45342</v>
      </c>
      <c r="P38" t="s">
        <v>301</v>
      </c>
      <c r="Q38" t="s">
        <v>82</v>
      </c>
      <c r="R38" t="s">
        <v>125</v>
      </c>
      <c r="S38" t="s">
        <v>297</v>
      </c>
      <c r="T38" t="s">
        <v>297</v>
      </c>
      <c r="AG38" t="s">
        <v>106</v>
      </c>
      <c r="AH38" s="2"/>
    </row>
    <row r="39" spans="1:68" x14ac:dyDescent="0.35">
      <c r="A39" t="s">
        <v>75</v>
      </c>
      <c r="B39" t="s">
        <v>75</v>
      </c>
      <c r="D39" t="s">
        <v>248</v>
      </c>
      <c r="E39" t="s">
        <v>77</v>
      </c>
      <c r="F39" s="2">
        <v>45781</v>
      </c>
      <c r="G39" t="s">
        <v>363</v>
      </c>
      <c r="H39" t="s">
        <v>155</v>
      </c>
      <c r="I39" t="s">
        <v>243</v>
      </c>
      <c r="J39">
        <v>204310318</v>
      </c>
      <c r="K39" t="s">
        <v>90</v>
      </c>
      <c r="L39" s="2">
        <v>24737</v>
      </c>
      <c r="M39" s="3">
        <f>(Tabla3[[#This Row],[FECHA_TRASPLANTE]]-Tabla3[[#This Row],[FECHA_NAC]])/365.25</f>
        <v>57.615331964407943</v>
      </c>
      <c r="O39" s="2">
        <v>45717</v>
      </c>
      <c r="P39" t="s">
        <v>364</v>
      </c>
      <c r="Q39" t="s">
        <v>82</v>
      </c>
      <c r="R39" t="s">
        <v>115</v>
      </c>
      <c r="S39" t="s">
        <v>365</v>
      </c>
      <c r="T39" t="s">
        <v>366</v>
      </c>
      <c r="AG39" t="s">
        <v>106</v>
      </c>
      <c r="AH39" s="2"/>
      <c r="AU39" t="s">
        <v>86</v>
      </c>
      <c r="AZ39" t="s">
        <v>86</v>
      </c>
      <c r="BB39" t="s">
        <v>367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3FE8C-E533-4C6E-AAE4-6398275F9FE5}">
  <dimension ref="A3:E14"/>
  <sheetViews>
    <sheetView workbookViewId="0">
      <selection activeCell="C6" sqref="C6"/>
    </sheetView>
  </sheetViews>
  <sheetFormatPr defaultColWidth="11.453125" defaultRowHeight="14.5" x14ac:dyDescent="0.35"/>
  <cols>
    <col min="1" max="1" width="49.453125" bestFit="1" customWidth="1"/>
    <col min="2" max="2" width="22.81640625" bestFit="1" customWidth="1"/>
    <col min="3" max="4" width="6.81640625" bestFit="1" customWidth="1"/>
    <col min="5" max="5" width="12.54296875" bestFit="1" customWidth="1"/>
    <col min="6" max="16" width="5" bestFit="1" customWidth="1"/>
    <col min="17" max="17" width="12.453125" bestFit="1" customWidth="1"/>
    <col min="18" max="155" width="10.453125" bestFit="1" customWidth="1"/>
    <col min="156" max="172" width="15.453125" bestFit="1" customWidth="1"/>
    <col min="173" max="173" width="10.453125" bestFit="1" customWidth="1"/>
    <col min="174" max="174" width="15.453125" bestFit="1" customWidth="1"/>
    <col min="175" max="175" width="10.453125" bestFit="1" customWidth="1"/>
    <col min="176" max="183" width="15.453125" bestFit="1" customWidth="1"/>
    <col min="184" max="185" width="10.453125" bestFit="1" customWidth="1"/>
    <col min="186" max="187" width="15.453125" bestFit="1" customWidth="1"/>
    <col min="188" max="205" width="10.453125" bestFit="1" customWidth="1"/>
    <col min="206" max="210" width="15.453125" bestFit="1" customWidth="1"/>
    <col min="211" max="211" width="10.453125" bestFit="1" customWidth="1"/>
    <col min="212" max="216" width="15.453125" bestFit="1" customWidth="1"/>
    <col min="217" max="222" width="10.453125" bestFit="1" customWidth="1"/>
    <col min="223" max="223" width="12.453125" bestFit="1" customWidth="1"/>
  </cols>
  <sheetData>
    <row r="3" spans="1:5" x14ac:dyDescent="0.35">
      <c r="A3" s="5" t="s">
        <v>368</v>
      </c>
      <c r="B3" s="5" t="s">
        <v>369</v>
      </c>
    </row>
    <row r="4" spans="1:5" x14ac:dyDescent="0.35">
      <c r="B4" t="s">
        <v>370</v>
      </c>
      <c r="C4" t="s">
        <v>371</v>
      </c>
      <c r="D4" t="s">
        <v>372</v>
      </c>
      <c r="E4" t="s">
        <v>373</v>
      </c>
    </row>
    <row r="5" spans="1:5" x14ac:dyDescent="0.35">
      <c r="A5" s="5" t="s">
        <v>374</v>
      </c>
    </row>
    <row r="6" spans="1:5" x14ac:dyDescent="0.35">
      <c r="A6" s="6" t="s">
        <v>75</v>
      </c>
      <c r="B6">
        <v>12</v>
      </c>
      <c r="C6">
        <v>23</v>
      </c>
      <c r="D6">
        <v>22</v>
      </c>
      <c r="E6">
        <v>57</v>
      </c>
    </row>
    <row r="7" spans="1:5" x14ac:dyDescent="0.35">
      <c r="A7" s="9" t="s">
        <v>77</v>
      </c>
      <c r="B7">
        <v>11</v>
      </c>
      <c r="C7">
        <v>22</v>
      </c>
      <c r="D7">
        <v>22</v>
      </c>
      <c r="E7">
        <v>55</v>
      </c>
    </row>
    <row r="8" spans="1:5" x14ac:dyDescent="0.35">
      <c r="A8" s="9" t="s">
        <v>375</v>
      </c>
      <c r="B8">
        <v>1</v>
      </c>
      <c r="C8">
        <v>1</v>
      </c>
      <c r="D8">
        <v>0</v>
      </c>
      <c r="E8">
        <v>2</v>
      </c>
    </row>
    <row r="9" spans="1:5" x14ac:dyDescent="0.35">
      <c r="A9" s="6" t="s">
        <v>376</v>
      </c>
      <c r="B9">
        <v>6</v>
      </c>
      <c r="C9">
        <v>1</v>
      </c>
      <c r="D9">
        <v>3</v>
      </c>
      <c r="E9">
        <v>10</v>
      </c>
    </row>
    <row r="10" spans="1:5" x14ac:dyDescent="0.35">
      <c r="A10" s="9" t="s">
        <v>77</v>
      </c>
      <c r="B10">
        <v>2</v>
      </c>
      <c r="C10">
        <v>1</v>
      </c>
      <c r="D10">
        <v>2</v>
      </c>
      <c r="E10">
        <v>5</v>
      </c>
    </row>
    <row r="11" spans="1:5" x14ac:dyDescent="0.35">
      <c r="A11" s="9" t="s">
        <v>375</v>
      </c>
      <c r="B11">
        <v>4</v>
      </c>
      <c r="C11">
        <v>0</v>
      </c>
      <c r="D11">
        <v>1</v>
      </c>
      <c r="E11">
        <v>5</v>
      </c>
    </row>
    <row r="12" spans="1:5" x14ac:dyDescent="0.35">
      <c r="A12" s="6" t="s">
        <v>377</v>
      </c>
      <c r="B12">
        <v>3</v>
      </c>
      <c r="C12">
        <v>3</v>
      </c>
      <c r="D12">
        <v>10</v>
      </c>
      <c r="E12">
        <v>16</v>
      </c>
    </row>
    <row r="13" spans="1:5" x14ac:dyDescent="0.35">
      <c r="A13" s="9" t="s">
        <v>77</v>
      </c>
      <c r="B13">
        <v>3</v>
      </c>
      <c r="C13">
        <v>3</v>
      </c>
      <c r="D13">
        <v>10</v>
      </c>
      <c r="E13">
        <v>16</v>
      </c>
    </row>
    <row r="14" spans="1:5" x14ac:dyDescent="0.35">
      <c r="A14" s="6" t="s">
        <v>373</v>
      </c>
      <c r="B14">
        <v>21</v>
      </c>
      <c r="C14">
        <v>27</v>
      </c>
      <c r="D14">
        <v>35</v>
      </c>
      <c r="E14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0BE89-03D8-6143-AAE0-22169738B257}">
  <dimension ref="A1:BW240"/>
  <sheetViews>
    <sheetView tabSelected="1" topLeftCell="BM220" workbookViewId="0">
      <selection activeCell="BN253" sqref="BN253"/>
    </sheetView>
  </sheetViews>
  <sheetFormatPr defaultColWidth="11.453125" defaultRowHeight="14.5" x14ac:dyDescent="0.35"/>
  <cols>
    <col min="1" max="1" width="40.26953125" bestFit="1" customWidth="1"/>
    <col min="2" max="2" width="13.81640625" customWidth="1"/>
    <col min="3" max="3" width="17.1796875" customWidth="1"/>
    <col min="4" max="4" width="11.453125" customWidth="1"/>
    <col min="5" max="5" width="17.1796875" customWidth="1"/>
    <col min="6" max="6" width="34.7265625" customWidth="1"/>
    <col min="7" max="7" width="15.453125" customWidth="1"/>
    <col min="8" max="8" width="16.453125" customWidth="1"/>
    <col min="9" max="9" width="11.453125" style="3" customWidth="1"/>
    <col min="10" max="10" width="17.26953125" customWidth="1"/>
    <col min="11" max="11" width="11.453125" customWidth="1"/>
    <col min="12" max="12" width="19.81640625" customWidth="1"/>
    <col min="13" max="13" width="22.1796875" customWidth="1"/>
    <col min="14" max="14" width="13.26953125" customWidth="1"/>
    <col min="15" max="15" width="21.453125" style="2" customWidth="1"/>
    <col min="17" max="17" width="14.1796875" customWidth="1"/>
    <col min="18" max="18" width="11.453125" customWidth="1"/>
    <col min="19" max="19" width="13.1796875" customWidth="1"/>
    <col min="20" max="20" width="14.453125" style="2" customWidth="1"/>
    <col min="21" max="21" width="14.7265625" customWidth="1"/>
    <col min="22" max="22" width="13.7265625" customWidth="1"/>
    <col min="23" max="23" width="17.26953125" customWidth="1"/>
    <col min="24" max="24" width="13.26953125" customWidth="1"/>
    <col min="25" max="26" width="11.453125" customWidth="1"/>
    <col min="27" max="27" width="32" customWidth="1"/>
    <col min="28" max="28" width="41.453125" customWidth="1"/>
    <col min="29" max="29" width="46.453125" customWidth="1"/>
    <col min="30" max="30" width="24.26953125" customWidth="1"/>
    <col min="31" max="31" width="41.81640625" customWidth="1"/>
    <col min="32" max="32" width="37" customWidth="1"/>
    <col min="33" max="33" width="31.453125" customWidth="1"/>
    <col min="34" max="34" width="33.81640625" customWidth="1"/>
    <col min="35" max="35" width="32.1796875" customWidth="1"/>
    <col min="36" max="37" width="32.81640625" customWidth="1"/>
    <col min="38" max="38" width="33.81640625" customWidth="1"/>
    <col min="39" max="39" width="19" customWidth="1"/>
    <col min="40" max="40" width="23.81640625" style="2" customWidth="1"/>
    <col min="41" max="41" width="17.1796875" customWidth="1"/>
    <col min="42" max="42" width="43.81640625" customWidth="1"/>
    <col min="43" max="43" width="29.1796875" customWidth="1"/>
    <col min="44" max="44" width="29.26953125" customWidth="1"/>
    <col min="45" max="46" width="30.453125" customWidth="1"/>
    <col min="47" max="47" width="31.81640625" customWidth="1"/>
    <col min="48" max="48" width="23.26953125" customWidth="1"/>
    <col min="49" max="49" width="29.26953125" customWidth="1"/>
    <col min="50" max="50" width="14.1796875" customWidth="1"/>
    <col min="51" max="51" width="19.1796875" customWidth="1"/>
    <col min="52" max="52" width="25.7265625" customWidth="1"/>
    <col min="53" max="53" width="68" customWidth="1"/>
    <col min="54" max="54" width="44.453125" customWidth="1"/>
    <col min="55" max="55" width="32.26953125" customWidth="1"/>
    <col min="56" max="56" width="45.453125" customWidth="1"/>
    <col min="57" max="57" width="39.453125" customWidth="1"/>
    <col min="58" max="58" width="26.1796875" customWidth="1"/>
    <col min="59" max="59" width="36.7265625" customWidth="1"/>
    <col min="60" max="60" width="28.1796875" customWidth="1"/>
    <col min="61" max="61" width="19.26953125" customWidth="1"/>
    <col min="62" max="62" width="23.1796875" customWidth="1"/>
    <col min="63" max="63" width="21.1796875" customWidth="1"/>
    <col min="64" max="64" width="26.453125" customWidth="1"/>
    <col min="65" max="65" width="23.7265625" customWidth="1"/>
    <col min="66" max="66" width="18.453125" customWidth="1"/>
    <col min="67" max="67" width="15.453125" customWidth="1"/>
    <col min="69" max="69" width="19.453125" customWidth="1"/>
    <col min="70" max="70" width="18.7265625" customWidth="1"/>
    <col min="71" max="71" width="19.453125" customWidth="1"/>
    <col min="72" max="72" width="18.453125" customWidth="1"/>
    <col min="74" max="74" width="12.453125" customWidth="1"/>
  </cols>
  <sheetData>
    <row r="1" spans="1:7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378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2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s="1" t="s">
        <v>379</v>
      </c>
      <c r="BW1" t="s">
        <v>74</v>
      </c>
    </row>
    <row r="2" spans="1:75" x14ac:dyDescent="0.35">
      <c r="A2" t="s">
        <v>377</v>
      </c>
      <c r="D2" t="s">
        <v>380</v>
      </c>
      <c r="E2" t="s">
        <v>77</v>
      </c>
      <c r="H2" s="2"/>
      <c r="I2" s="3">
        <f>(higado[[#This Row],[FECHA_TRASPLANTE]]-higado[[#This Row],[FECHA_NAC_D]])/365.25</f>
        <v>111.04175222450377</v>
      </c>
      <c r="K2" t="s">
        <v>381</v>
      </c>
      <c r="L2" t="s">
        <v>233</v>
      </c>
      <c r="M2" t="s">
        <v>382</v>
      </c>
      <c r="N2">
        <v>203750684</v>
      </c>
      <c r="O2" s="18">
        <v>40558</v>
      </c>
      <c r="P2" t="s">
        <v>90</v>
      </c>
      <c r="Q2" s="2">
        <v>22929</v>
      </c>
      <c r="R2" s="1">
        <f>(higado[[#This Row],[FECHA_TRASPLANTE]]-higado[[#This Row],[FECHA_NAC]])/365.25</f>
        <v>48.265571526351813</v>
      </c>
      <c r="V2">
        <v>8</v>
      </c>
      <c r="W2" t="s">
        <v>82</v>
      </c>
      <c r="X2" t="s">
        <v>115</v>
      </c>
      <c r="Y2" t="s">
        <v>84</v>
      </c>
      <c r="Z2" t="s">
        <v>383</v>
      </c>
      <c r="AD2">
        <v>1</v>
      </c>
      <c r="AM2" t="s">
        <v>86</v>
      </c>
      <c r="AN2" s="2">
        <v>40559</v>
      </c>
      <c r="BS2" s="17">
        <f>higado[[#This Row],[FECHA_TRASPLANTE]]</f>
        <v>40558</v>
      </c>
      <c r="BT2">
        <f>IF(higado[[#This Row],[FALLECIDO SI/NO]]="NO",0,1)</f>
        <v>1</v>
      </c>
      <c r="BU2" s="1">
        <f ca="1">IF(higado[[#This Row],[FALLECIDO_COD]]=0,TODAY()-higado[[#This Row],[FECHA_TRASPLANTE]],higado[[#This Row],[FECHA DE DEFUNCIÓN]]-higado[[#This Row],[FECHA_TRASPLANTE]])</f>
        <v>1</v>
      </c>
      <c r="BV2" s="1">
        <f ca="1">IF(higado[[#This Row],[FALLECIDO_COD]]=0,TODAY()-higado[[#This Row],[FECHA_TRASPLANTE]],higado[[#This Row],[FECHA DE DEFUNCIÓN]]-higado[[#This Row],[FECHA_TRASPLANTE]])/30.4375</f>
        <v>3.2854209445585217E-2</v>
      </c>
      <c r="BW2" s="1">
        <f ca="1">IF(higado[[#This Row],[FALLECIDO_COD]]=0,TODAY()-higado[[#This Row],[FECHA_TRASPLANTE]],higado[[#This Row],[FECHA DE DEFUNCIÓN]]-higado[[#This Row],[FECHA_TRASPLANTE]])/365.25</f>
        <v>2.7378507871321013E-3</v>
      </c>
    </row>
    <row r="3" spans="1:75" x14ac:dyDescent="0.35">
      <c r="A3" t="s">
        <v>377</v>
      </c>
      <c r="D3" t="s">
        <v>380</v>
      </c>
      <c r="E3" t="s">
        <v>77</v>
      </c>
      <c r="H3" s="2"/>
      <c r="I3" s="3">
        <f>(higado[[#This Row],[FECHA_TRASPLANTE]]-higado[[#This Row],[FECHA_NAC_D]])/365.25</f>
        <v>111.08829568788501</v>
      </c>
      <c r="K3" t="s">
        <v>384</v>
      </c>
      <c r="L3" t="s">
        <v>385</v>
      </c>
      <c r="M3" t="s">
        <v>132</v>
      </c>
      <c r="N3">
        <v>205020809</v>
      </c>
      <c r="O3" s="18">
        <v>40575</v>
      </c>
      <c r="P3" t="s">
        <v>81</v>
      </c>
      <c r="Q3" s="2">
        <v>27577</v>
      </c>
      <c r="R3" s="1">
        <f>(higado[[#This Row],[FECHA_TRASPLANTE]]-higado[[#This Row],[FECHA_NAC]])/365.25</f>
        <v>35.586584531143053</v>
      </c>
      <c r="V3">
        <v>17</v>
      </c>
      <c r="W3" t="s">
        <v>82</v>
      </c>
      <c r="X3" t="s">
        <v>115</v>
      </c>
      <c r="Y3" t="s">
        <v>365</v>
      </c>
      <c r="Z3" t="s">
        <v>386</v>
      </c>
      <c r="AD3">
        <v>3</v>
      </c>
      <c r="AM3" t="s">
        <v>86</v>
      </c>
      <c r="AN3" s="2">
        <v>40578</v>
      </c>
      <c r="BS3" s="17">
        <f>higado[[#This Row],[FECHA_TRASPLANTE]]</f>
        <v>40575</v>
      </c>
      <c r="BT3">
        <f>IF(higado[[#This Row],[FALLECIDO SI/NO]]="NO",0,1)</f>
        <v>1</v>
      </c>
      <c r="BU3" s="1">
        <f ca="1">IF(higado[[#This Row],[FALLECIDO_COD]]=0,TODAY()-higado[[#This Row],[FECHA_TRASPLANTE]],higado[[#This Row],[FECHA DE DEFUNCIÓN]]-higado[[#This Row],[FECHA_TRASPLANTE]])</f>
        <v>3</v>
      </c>
      <c r="BV3" s="1">
        <f ca="1">IF(higado[[#This Row],[FALLECIDO_COD]]=0,TODAY()-higado[[#This Row],[FECHA_TRASPLANTE]],higado[[#This Row],[FECHA DE DEFUNCIÓN]]-higado[[#This Row],[FECHA_TRASPLANTE]])/30.4375</f>
        <v>9.856262833675565E-2</v>
      </c>
      <c r="BW3" s="1">
        <f ca="1">IF(higado[[#This Row],[FALLECIDO_COD]]=0,TODAY()-higado[[#This Row],[FECHA_TRASPLANTE]],higado[[#This Row],[FECHA DE DEFUNCIÓN]]-higado[[#This Row],[FECHA_TRASPLANTE]])/365.25</f>
        <v>8.2135523613963042E-3</v>
      </c>
    </row>
    <row r="4" spans="1:75" x14ac:dyDescent="0.35">
      <c r="A4" t="s">
        <v>377</v>
      </c>
      <c r="D4" t="s">
        <v>380</v>
      </c>
      <c r="E4" t="s">
        <v>77</v>
      </c>
      <c r="H4" s="2"/>
      <c r="I4" s="3">
        <f>(higado[[#This Row],[FECHA_TRASPLANTE]]-higado[[#This Row],[FECHA_NAC_D]])/365.25</f>
        <v>111.10198494182067</v>
      </c>
      <c r="K4" t="s">
        <v>387</v>
      </c>
      <c r="L4" t="s">
        <v>229</v>
      </c>
      <c r="M4" t="s">
        <v>388</v>
      </c>
      <c r="N4">
        <v>700370737</v>
      </c>
      <c r="O4" s="18">
        <v>40580</v>
      </c>
      <c r="P4" t="s">
        <v>81</v>
      </c>
      <c r="Q4" s="2">
        <v>16808</v>
      </c>
      <c r="R4" s="1">
        <f>(higado[[#This Row],[FECHA_TRASPLANTE]]-higado[[#This Row],[FECHA_NAC]])/365.25</f>
        <v>65.084188911704317</v>
      </c>
      <c r="V4">
        <v>17</v>
      </c>
      <c r="W4" t="s">
        <v>82</v>
      </c>
      <c r="AD4">
        <v>0</v>
      </c>
      <c r="AM4" t="s">
        <v>86</v>
      </c>
      <c r="AN4" s="2">
        <v>40580</v>
      </c>
      <c r="BS4" s="17">
        <f>higado[[#This Row],[FECHA_TRASPLANTE]]</f>
        <v>40580</v>
      </c>
      <c r="BT4">
        <f>IF(higado[[#This Row],[FALLECIDO SI/NO]]="NO",0,1)</f>
        <v>1</v>
      </c>
      <c r="BU4" s="1">
        <f ca="1">IF(higado[[#This Row],[FALLECIDO_COD]]=0,TODAY()-higado[[#This Row],[FECHA_TRASPLANTE]],higado[[#This Row],[FECHA DE DEFUNCIÓN]]-higado[[#This Row],[FECHA_TRASPLANTE]])</f>
        <v>0</v>
      </c>
      <c r="BV4" s="1">
        <f ca="1">IF(higado[[#This Row],[FALLECIDO_COD]]=0,TODAY()-higado[[#This Row],[FECHA_TRASPLANTE]],higado[[#This Row],[FECHA DE DEFUNCIÓN]]-higado[[#This Row],[FECHA_TRASPLANTE]])/30.4375</f>
        <v>0</v>
      </c>
      <c r="BW4" s="1">
        <f ca="1">IF(higado[[#This Row],[FALLECIDO_COD]]=0,TODAY()-higado[[#This Row],[FECHA_TRASPLANTE]],higado[[#This Row],[FECHA DE DEFUNCIÓN]]-higado[[#This Row],[FECHA_TRASPLANTE]])/365.25</f>
        <v>0</v>
      </c>
    </row>
    <row r="5" spans="1:75" x14ac:dyDescent="0.35">
      <c r="A5" t="s">
        <v>75</v>
      </c>
      <c r="B5" t="s">
        <v>75</v>
      </c>
      <c r="D5" t="s">
        <v>380</v>
      </c>
      <c r="E5" t="s">
        <v>77</v>
      </c>
      <c r="I5">
        <v>111.19507186858316</v>
      </c>
      <c r="K5" t="s">
        <v>389</v>
      </c>
      <c r="L5" t="s">
        <v>390</v>
      </c>
      <c r="M5" t="s">
        <v>155</v>
      </c>
      <c r="N5">
        <v>204280581</v>
      </c>
      <c r="O5" s="18">
        <v>40614</v>
      </c>
      <c r="P5" t="s">
        <v>81</v>
      </c>
      <c r="Q5" s="2">
        <v>24631</v>
      </c>
      <c r="R5" s="1">
        <f>(higado[[#This Row],[FECHA_TRASPLANTE]]-higado[[#This Row],[FECHA_NAC]])/365.25</f>
        <v>43.759069130732378</v>
      </c>
      <c r="U5" t="s">
        <v>391</v>
      </c>
      <c r="V5">
        <v>15</v>
      </c>
      <c r="W5" t="s">
        <v>82</v>
      </c>
      <c r="X5" t="s">
        <v>115</v>
      </c>
      <c r="Y5" t="s">
        <v>84</v>
      </c>
      <c r="Z5" t="s">
        <v>383</v>
      </c>
      <c r="AD5">
        <v>11</v>
      </c>
      <c r="AM5" t="s">
        <v>106</v>
      </c>
      <c r="AY5" t="s">
        <v>106</v>
      </c>
      <c r="BS5" s="17">
        <f>higado[[#This Row],[FECHA_TRASPLANTE]]</f>
        <v>40614</v>
      </c>
      <c r="BT5">
        <f>IF(higado[[#This Row],[FALLECIDO SI/NO]]="NO",0,1)</f>
        <v>0</v>
      </c>
      <c r="BU5" s="1">
        <f ca="1">IF(higado[[#This Row],[FALLECIDO_COD]]=0,TODAY()-higado[[#This Row],[FECHA_TRASPLANTE]],higado[[#This Row],[FECHA DE DEFUNCIÓN]]-higado[[#This Row],[FECHA_TRASPLANTE]])</f>
        <v>5261</v>
      </c>
      <c r="BV5" s="1">
        <f ca="1">IF(higado[[#This Row],[FALLECIDO_COD]]=0,TODAY()-higado[[#This Row],[FECHA_TRASPLANTE]],higado[[#This Row],[FECHA DE DEFUNCIÓN]]-higado[[#This Row],[FECHA_TRASPLANTE]])/30.4375</f>
        <v>172.84599589322383</v>
      </c>
      <c r="BW5" s="1">
        <f ca="1">IF(higado[[#This Row],[FALLECIDO_COD]]=0,TODAY()-higado[[#This Row],[FECHA_TRASPLANTE]],higado[[#This Row],[FECHA DE DEFUNCIÓN]]-higado[[#This Row],[FECHA_TRASPLANTE]])/365.25</f>
        <v>14.403832991101986</v>
      </c>
    </row>
    <row r="6" spans="1:75" x14ac:dyDescent="0.35">
      <c r="A6" t="s">
        <v>75</v>
      </c>
      <c r="B6" t="s">
        <v>75</v>
      </c>
      <c r="D6" t="s">
        <v>380</v>
      </c>
      <c r="E6" t="s">
        <v>77</v>
      </c>
      <c r="I6">
        <v>111.23613963039014</v>
      </c>
      <c r="K6" t="s">
        <v>392</v>
      </c>
      <c r="L6" t="s">
        <v>393</v>
      </c>
      <c r="M6" t="s">
        <v>114</v>
      </c>
      <c r="N6">
        <v>900300548</v>
      </c>
      <c r="O6" s="18">
        <v>40629</v>
      </c>
      <c r="P6" t="s">
        <v>81</v>
      </c>
      <c r="Q6" s="2">
        <v>21641</v>
      </c>
      <c r="R6" s="1">
        <f>(higado[[#This Row],[FECHA_TRASPLANTE]]-higado[[#This Row],[FECHA_NAC]])/365.25</f>
        <v>51.986310746064341</v>
      </c>
      <c r="U6" t="s">
        <v>394</v>
      </c>
      <c r="V6">
        <v>10</v>
      </c>
      <c r="W6" t="s">
        <v>82</v>
      </c>
      <c r="X6" t="s">
        <v>110</v>
      </c>
      <c r="Y6" t="s">
        <v>84</v>
      </c>
      <c r="Z6" t="s">
        <v>395</v>
      </c>
      <c r="AD6">
        <v>12</v>
      </c>
      <c r="AM6" t="s">
        <v>106</v>
      </c>
      <c r="AY6" t="s">
        <v>106</v>
      </c>
      <c r="BS6" s="17">
        <f>higado[[#This Row],[FECHA_TRASPLANTE]]</f>
        <v>40629</v>
      </c>
      <c r="BT6">
        <f>IF(higado[[#This Row],[FALLECIDO SI/NO]]="NO",0,1)</f>
        <v>0</v>
      </c>
      <c r="BU6" s="1">
        <f ca="1">IF(higado[[#This Row],[FALLECIDO_COD]]=0,TODAY()-higado[[#This Row],[FECHA_TRASPLANTE]],higado[[#This Row],[FECHA DE DEFUNCIÓN]]-higado[[#This Row],[FECHA_TRASPLANTE]])</f>
        <v>5246</v>
      </c>
      <c r="BV6" s="1">
        <f ca="1">IF(higado[[#This Row],[FALLECIDO_COD]]=0,TODAY()-higado[[#This Row],[FECHA_TRASPLANTE]],higado[[#This Row],[FECHA DE DEFUNCIÓN]]-higado[[#This Row],[FECHA_TRASPLANTE]])/30.4375</f>
        <v>172.35318275154003</v>
      </c>
      <c r="BW6" s="1">
        <f ca="1">IF(higado[[#This Row],[FALLECIDO_COD]]=0,TODAY()-higado[[#This Row],[FECHA_TRASPLANTE]],higado[[#This Row],[FECHA DE DEFUNCIÓN]]-higado[[#This Row],[FECHA_TRASPLANTE]])/365.25</f>
        <v>14.362765229295004</v>
      </c>
    </row>
    <row r="7" spans="1:75" x14ac:dyDescent="0.35">
      <c r="A7" t="s">
        <v>376</v>
      </c>
      <c r="B7" t="s">
        <v>376</v>
      </c>
      <c r="D7" t="s">
        <v>380</v>
      </c>
      <c r="E7" t="s">
        <v>77</v>
      </c>
      <c r="I7">
        <v>111.30458590006845</v>
      </c>
      <c r="K7" t="s">
        <v>396</v>
      </c>
      <c r="L7" t="s">
        <v>397</v>
      </c>
      <c r="M7" t="s">
        <v>167</v>
      </c>
      <c r="N7">
        <v>120780565</v>
      </c>
      <c r="O7" s="18">
        <v>40654</v>
      </c>
      <c r="P7" t="s">
        <v>90</v>
      </c>
      <c r="Q7" s="2">
        <v>40204</v>
      </c>
      <c r="R7" s="1">
        <f>(higado[[#This Row],[FECHA_TRASPLANTE]]-higado[[#This Row],[FECHA_NAC]])/365.25</f>
        <v>1.2320328542094456</v>
      </c>
      <c r="W7" t="s">
        <v>82</v>
      </c>
      <c r="X7" t="s">
        <v>91</v>
      </c>
      <c r="Y7" t="s">
        <v>91</v>
      </c>
      <c r="Z7" t="s">
        <v>307</v>
      </c>
      <c r="AM7" t="s">
        <v>106</v>
      </c>
      <c r="AY7" t="s">
        <v>106</v>
      </c>
      <c r="BS7" s="17">
        <f>higado[[#This Row],[FECHA_TRASPLANTE]]</f>
        <v>40654</v>
      </c>
      <c r="BT7">
        <f>IF(higado[[#This Row],[FALLECIDO SI/NO]]="NO",0,1)</f>
        <v>0</v>
      </c>
      <c r="BU7" s="1">
        <f ca="1">IF(higado[[#This Row],[FALLECIDO_COD]]=0,TODAY()-higado[[#This Row],[FECHA_TRASPLANTE]],higado[[#This Row],[FECHA DE DEFUNCIÓN]]-higado[[#This Row],[FECHA_TRASPLANTE]])</f>
        <v>5221</v>
      </c>
      <c r="BV7" s="1">
        <f ca="1">IF(higado[[#This Row],[FALLECIDO_COD]]=0,TODAY()-higado[[#This Row],[FECHA_TRASPLANTE]],higado[[#This Row],[FECHA DE DEFUNCIÓN]]-higado[[#This Row],[FECHA_TRASPLANTE]])/30.4375</f>
        <v>171.53182751540041</v>
      </c>
      <c r="BW7" s="1">
        <f ca="1">IF(higado[[#This Row],[FALLECIDO_COD]]=0,TODAY()-higado[[#This Row],[FECHA_TRASPLANTE]],higado[[#This Row],[FECHA DE DEFUNCIÓN]]-higado[[#This Row],[FECHA_TRASPLANTE]])/365.25</f>
        <v>14.294318959616701</v>
      </c>
    </row>
    <row r="8" spans="1:75" x14ac:dyDescent="0.35">
      <c r="A8" t="s">
        <v>377</v>
      </c>
      <c r="D8" t="s">
        <v>380</v>
      </c>
      <c r="E8" t="s">
        <v>77</v>
      </c>
      <c r="I8">
        <v>111.31553730321697</v>
      </c>
      <c r="K8" t="s">
        <v>398</v>
      </c>
      <c r="L8" t="s">
        <v>399</v>
      </c>
      <c r="M8" t="s">
        <v>400</v>
      </c>
      <c r="N8">
        <v>113440354</v>
      </c>
      <c r="O8" s="18">
        <v>40658</v>
      </c>
      <c r="P8" t="s">
        <v>90</v>
      </c>
      <c r="Q8" s="2">
        <v>32197</v>
      </c>
      <c r="R8" s="1">
        <f>(higado[[#This Row],[FECHA_TRASPLANTE]]-higado[[#This Row],[FECHA_NAC]])/365.25</f>
        <v>23.16495550992471</v>
      </c>
      <c r="U8" t="s">
        <v>401</v>
      </c>
      <c r="V8">
        <v>12</v>
      </c>
      <c r="W8" t="s">
        <v>82</v>
      </c>
      <c r="X8" t="s">
        <v>115</v>
      </c>
      <c r="Y8" t="s">
        <v>84</v>
      </c>
      <c r="Z8" t="s">
        <v>286</v>
      </c>
      <c r="AM8" t="s">
        <v>106</v>
      </c>
      <c r="AY8" t="s">
        <v>106</v>
      </c>
      <c r="BS8" s="17">
        <f>higado[[#This Row],[FECHA_TRASPLANTE]]</f>
        <v>40658</v>
      </c>
      <c r="BT8">
        <f>IF(higado[[#This Row],[FALLECIDO SI/NO]]="NO",0,1)</f>
        <v>0</v>
      </c>
      <c r="BU8" s="1">
        <f ca="1">IF(higado[[#This Row],[FALLECIDO_COD]]=0,TODAY()-higado[[#This Row],[FECHA_TRASPLANTE]],higado[[#This Row],[FECHA DE DEFUNCIÓN]]-higado[[#This Row],[FECHA_TRASPLANTE]])</f>
        <v>5217</v>
      </c>
      <c r="BV8" s="1">
        <f ca="1">IF(higado[[#This Row],[FALLECIDO_COD]]=0,TODAY()-higado[[#This Row],[FECHA_TRASPLANTE]],higado[[#This Row],[FECHA DE DEFUNCIÓN]]-higado[[#This Row],[FECHA_TRASPLANTE]])/30.4375</f>
        <v>171.40041067761808</v>
      </c>
      <c r="BW8" s="1">
        <f ca="1">IF(higado[[#This Row],[FALLECIDO_COD]]=0,TODAY()-higado[[#This Row],[FECHA_TRASPLANTE]],higado[[#This Row],[FECHA DE DEFUNCIÓN]]-higado[[#This Row],[FECHA_TRASPLANTE]])/365.25</f>
        <v>14.283367556468173</v>
      </c>
    </row>
    <row r="9" spans="1:75" x14ac:dyDescent="0.35">
      <c r="A9" t="s">
        <v>377</v>
      </c>
      <c r="D9" t="s">
        <v>380</v>
      </c>
      <c r="E9" t="s">
        <v>77</v>
      </c>
      <c r="I9">
        <v>111.34839151266256</v>
      </c>
      <c r="K9" t="s">
        <v>402</v>
      </c>
      <c r="L9" t="s">
        <v>119</v>
      </c>
      <c r="M9" t="s">
        <v>403</v>
      </c>
      <c r="N9">
        <v>116770536</v>
      </c>
      <c r="O9" s="18">
        <v>40670</v>
      </c>
      <c r="P9" t="s">
        <v>90</v>
      </c>
      <c r="Q9" s="2">
        <v>35582</v>
      </c>
      <c r="R9" s="1">
        <f>(higado[[#This Row],[FECHA_TRASPLANTE]]-higado[[#This Row],[FECHA_NAC]])/365.25</f>
        <v>13.930184804928132</v>
      </c>
      <c r="U9" t="s">
        <v>404</v>
      </c>
      <c r="V9">
        <v>24</v>
      </c>
      <c r="W9" t="s">
        <v>82</v>
      </c>
      <c r="X9" t="s">
        <v>91</v>
      </c>
      <c r="Y9" t="s">
        <v>215</v>
      </c>
      <c r="Z9" t="s">
        <v>405</v>
      </c>
      <c r="AD9">
        <v>13</v>
      </c>
      <c r="AM9" t="s">
        <v>106</v>
      </c>
      <c r="AY9" t="s">
        <v>106</v>
      </c>
      <c r="BS9" s="17">
        <f>higado[[#This Row],[FECHA_TRASPLANTE]]</f>
        <v>40670</v>
      </c>
      <c r="BT9">
        <f>IF(higado[[#This Row],[FALLECIDO SI/NO]]="NO",0,1)</f>
        <v>0</v>
      </c>
      <c r="BU9" s="1">
        <f ca="1">IF(higado[[#This Row],[FALLECIDO_COD]]=0,TODAY()-higado[[#This Row],[FECHA_TRASPLANTE]],higado[[#This Row],[FECHA DE DEFUNCIÓN]]-higado[[#This Row],[FECHA_TRASPLANTE]])</f>
        <v>5205</v>
      </c>
      <c r="BV9" s="1">
        <f ca="1">IF(higado[[#This Row],[FALLECIDO_COD]]=0,TODAY()-higado[[#This Row],[FECHA_TRASPLANTE]],higado[[#This Row],[FECHA DE DEFUNCIÓN]]-higado[[#This Row],[FECHA_TRASPLANTE]])/30.4375</f>
        <v>171.00616016427105</v>
      </c>
      <c r="BW9" s="1">
        <f ca="1">IF(higado[[#This Row],[FALLECIDO_COD]]=0,TODAY()-higado[[#This Row],[FECHA_TRASPLANTE]],higado[[#This Row],[FECHA DE DEFUNCIÓN]]-higado[[#This Row],[FECHA_TRASPLANTE]])/365.25</f>
        <v>14.250513347022586</v>
      </c>
    </row>
    <row r="10" spans="1:75" x14ac:dyDescent="0.35">
      <c r="A10" t="s">
        <v>377</v>
      </c>
      <c r="D10" t="s">
        <v>380</v>
      </c>
      <c r="E10" t="s">
        <v>77</v>
      </c>
      <c r="H10" s="2"/>
      <c r="I10" s="3">
        <f>(higado[[#This Row],[FECHA_TRASPLANTE]]-higado[[#This Row],[FECHA_NAC_D]])/365.25</f>
        <v>111.36208076659823</v>
      </c>
      <c r="K10" t="s">
        <v>226</v>
      </c>
      <c r="L10" t="s">
        <v>88</v>
      </c>
      <c r="M10" t="s">
        <v>406</v>
      </c>
      <c r="N10">
        <v>502160982</v>
      </c>
      <c r="O10" s="18">
        <v>40675</v>
      </c>
      <c r="P10" t="s">
        <v>90</v>
      </c>
      <c r="Q10" s="2">
        <v>23519</v>
      </c>
      <c r="R10" s="1">
        <f>(higado[[#This Row],[FECHA_TRASPLANTE]]-higado[[#This Row],[FECHA_NAC]])/365.25</f>
        <v>46.970568104038328</v>
      </c>
      <c r="V10">
        <v>12</v>
      </c>
      <c r="W10" t="s">
        <v>82</v>
      </c>
      <c r="AD10">
        <v>1</v>
      </c>
      <c r="AM10" t="s">
        <v>86</v>
      </c>
      <c r="AN10" s="2">
        <v>40676</v>
      </c>
      <c r="BS10" s="17">
        <f>higado[[#This Row],[FECHA_TRASPLANTE]]</f>
        <v>40675</v>
      </c>
      <c r="BT10">
        <f>IF(higado[[#This Row],[FALLECIDO SI/NO]]="NO",0,1)</f>
        <v>1</v>
      </c>
      <c r="BU10" s="1">
        <f ca="1">IF(higado[[#This Row],[FALLECIDO_COD]]=0,TODAY()-higado[[#This Row],[FECHA_TRASPLANTE]],higado[[#This Row],[FECHA DE DEFUNCIÓN]]-higado[[#This Row],[FECHA_TRASPLANTE]])</f>
        <v>1</v>
      </c>
      <c r="BV10" s="1">
        <f ca="1">IF(higado[[#This Row],[FALLECIDO_COD]]=0,TODAY()-higado[[#This Row],[FECHA_TRASPLANTE]],higado[[#This Row],[FECHA DE DEFUNCIÓN]]-higado[[#This Row],[FECHA_TRASPLANTE]])/30.4375</f>
        <v>3.2854209445585217E-2</v>
      </c>
      <c r="BW10" s="1">
        <f ca="1">IF(higado[[#This Row],[FALLECIDO_COD]]=0,TODAY()-higado[[#This Row],[FECHA_TRASPLANTE]],higado[[#This Row],[FECHA DE DEFUNCIÓN]]-higado[[#This Row],[FECHA_TRASPLANTE]])/365.25</f>
        <v>2.7378507871321013E-3</v>
      </c>
    </row>
    <row r="11" spans="1:75" x14ac:dyDescent="0.35">
      <c r="A11" t="s">
        <v>75</v>
      </c>
      <c r="B11" t="s">
        <v>75</v>
      </c>
      <c r="D11" t="s">
        <v>380</v>
      </c>
      <c r="E11" t="s">
        <v>77</v>
      </c>
      <c r="H11" s="2"/>
      <c r="I11" s="3">
        <f>(higado[[#This Row],[FECHA_TRASPLANTE]]-higado[[#This Row],[FECHA_NAC_D]])/365.25</f>
        <v>111.37303216974675</v>
      </c>
      <c r="K11" t="s">
        <v>407</v>
      </c>
      <c r="L11" t="s">
        <v>280</v>
      </c>
      <c r="M11" t="s">
        <v>408</v>
      </c>
      <c r="N11">
        <v>601290990</v>
      </c>
      <c r="O11" s="18">
        <v>40679</v>
      </c>
      <c r="P11" t="s">
        <v>90</v>
      </c>
      <c r="Q11" s="2">
        <v>20909</v>
      </c>
      <c r="R11" s="1">
        <f>(higado[[#This Row],[FECHA_TRASPLANTE]]-higado[[#This Row],[FECHA_NAC]])/365.25</f>
        <v>54.127310061601641</v>
      </c>
      <c r="U11" t="s">
        <v>394</v>
      </c>
      <c r="V11">
        <v>11</v>
      </c>
      <c r="W11" t="s">
        <v>82</v>
      </c>
      <c r="X11" t="s">
        <v>91</v>
      </c>
      <c r="Y11" t="s">
        <v>157</v>
      </c>
      <c r="Z11" t="s">
        <v>409</v>
      </c>
      <c r="AD11">
        <v>11</v>
      </c>
      <c r="AM11" t="s">
        <v>86</v>
      </c>
      <c r="AN11" s="2">
        <v>45542</v>
      </c>
      <c r="AY11" t="s">
        <v>106</v>
      </c>
      <c r="BS11" s="17">
        <f>higado[[#This Row],[FECHA_TRASPLANTE]]</f>
        <v>40679</v>
      </c>
      <c r="BT11">
        <f>IF(higado[[#This Row],[FALLECIDO SI/NO]]="NO",0,1)</f>
        <v>1</v>
      </c>
      <c r="BU11" s="1">
        <f ca="1">IF(higado[[#This Row],[FALLECIDO_COD]]=0,TODAY()-higado[[#This Row],[FECHA_TRASPLANTE]],higado[[#This Row],[FECHA DE DEFUNCIÓN]]-higado[[#This Row],[FECHA_TRASPLANTE]])</f>
        <v>4863</v>
      </c>
      <c r="BV11" s="1">
        <f ca="1">IF(higado[[#This Row],[FALLECIDO_COD]]=0,TODAY()-higado[[#This Row],[FECHA_TRASPLANTE]],higado[[#This Row],[FECHA DE DEFUNCIÓN]]-higado[[#This Row],[FECHA_TRASPLANTE]])/30.4375</f>
        <v>159.77002053388091</v>
      </c>
      <c r="BW11" s="1">
        <f ca="1">IF(higado[[#This Row],[FALLECIDO_COD]]=0,TODAY()-higado[[#This Row],[FECHA_TRASPLANTE]],higado[[#This Row],[FECHA DE DEFUNCIÓN]]-higado[[#This Row],[FECHA_TRASPLANTE]])/365.25</f>
        <v>13.314168377823409</v>
      </c>
    </row>
    <row r="12" spans="1:75" x14ac:dyDescent="0.35">
      <c r="A12" t="s">
        <v>377</v>
      </c>
      <c r="D12" t="s">
        <v>380</v>
      </c>
      <c r="E12" t="s">
        <v>77</v>
      </c>
      <c r="H12" s="2"/>
      <c r="I12" s="3">
        <f>(higado[[#This Row],[FECHA_TRASPLANTE]]-higado[[#This Row],[FECHA_NAC_D]])/365.25</f>
        <v>111.5482546201232</v>
      </c>
      <c r="K12" t="s">
        <v>410</v>
      </c>
      <c r="L12" t="s">
        <v>411</v>
      </c>
      <c r="M12" t="s">
        <v>412</v>
      </c>
      <c r="N12">
        <v>114300665</v>
      </c>
      <c r="O12" s="18">
        <v>40743</v>
      </c>
      <c r="P12" t="s">
        <v>81</v>
      </c>
      <c r="Q12" s="2">
        <v>33085</v>
      </c>
      <c r="R12" s="1">
        <f>(higado[[#This Row],[FECHA_TRASPLANTE]]-higado[[#This Row],[FECHA_NAC]])/365.25</f>
        <v>20.966461327857633</v>
      </c>
      <c r="W12" t="s">
        <v>82</v>
      </c>
      <c r="X12" t="s">
        <v>83</v>
      </c>
      <c r="Y12" t="s">
        <v>320</v>
      </c>
      <c r="Z12" t="s">
        <v>413</v>
      </c>
      <c r="AD12">
        <v>29</v>
      </c>
      <c r="AM12" t="s">
        <v>86</v>
      </c>
      <c r="AN12" s="2">
        <v>41861</v>
      </c>
      <c r="BS12" s="17">
        <f>higado[[#This Row],[FECHA_TRASPLANTE]]</f>
        <v>40743</v>
      </c>
      <c r="BT12">
        <f>IF(higado[[#This Row],[FALLECIDO SI/NO]]="NO",0,1)</f>
        <v>1</v>
      </c>
      <c r="BU12" s="1">
        <f ca="1">IF(higado[[#This Row],[FALLECIDO_COD]]=0,TODAY()-higado[[#This Row],[FECHA_TRASPLANTE]],higado[[#This Row],[FECHA DE DEFUNCIÓN]]-higado[[#This Row],[FECHA_TRASPLANTE]])</f>
        <v>1118</v>
      </c>
      <c r="BV12" s="1">
        <f ca="1">IF(higado[[#This Row],[FALLECIDO_COD]]=0,TODAY()-higado[[#This Row],[FECHA_TRASPLANTE]],higado[[#This Row],[FECHA DE DEFUNCIÓN]]-higado[[#This Row],[FECHA_TRASPLANTE]])/30.4375</f>
        <v>36.73100616016427</v>
      </c>
      <c r="BW12" s="1">
        <f ca="1">IF(higado[[#This Row],[FALLECIDO_COD]]=0,TODAY()-higado[[#This Row],[FECHA_TRASPLANTE]],higado[[#This Row],[FECHA DE DEFUNCIÓN]]-higado[[#This Row],[FECHA_TRASPLANTE]])/365.25</f>
        <v>3.0609171800136892</v>
      </c>
    </row>
    <row r="13" spans="1:75" x14ac:dyDescent="0.35">
      <c r="A13" t="s">
        <v>75</v>
      </c>
      <c r="B13" t="s">
        <v>75</v>
      </c>
      <c r="D13" t="s">
        <v>380</v>
      </c>
      <c r="E13" t="s">
        <v>77</v>
      </c>
      <c r="I13">
        <v>111.56194387405887</v>
      </c>
      <c r="K13" t="s">
        <v>414</v>
      </c>
      <c r="L13" t="s">
        <v>188</v>
      </c>
      <c r="M13" t="s">
        <v>415</v>
      </c>
      <c r="N13">
        <v>104430904</v>
      </c>
      <c r="O13" s="18">
        <v>40748</v>
      </c>
      <c r="P13" t="s">
        <v>90</v>
      </c>
      <c r="Q13" s="2">
        <v>19995</v>
      </c>
      <c r="R13" s="1">
        <f>(higado[[#This Row],[FECHA_TRASPLANTE]]-higado[[#This Row],[FECHA_NAC]])/365.25</f>
        <v>56.818617385352496</v>
      </c>
      <c r="U13" t="s">
        <v>416</v>
      </c>
      <c r="V13">
        <v>21</v>
      </c>
      <c r="W13" t="s">
        <v>82</v>
      </c>
      <c r="X13" t="s">
        <v>110</v>
      </c>
      <c r="Y13" t="s">
        <v>196</v>
      </c>
      <c r="Z13" t="s">
        <v>417</v>
      </c>
      <c r="AD13">
        <v>12</v>
      </c>
      <c r="AM13" t="s">
        <v>106</v>
      </c>
      <c r="AY13" t="s">
        <v>106</v>
      </c>
      <c r="BS13" s="17">
        <f>higado[[#This Row],[FECHA_TRASPLANTE]]</f>
        <v>40748</v>
      </c>
      <c r="BT13">
        <f>IF(higado[[#This Row],[FALLECIDO SI/NO]]="NO",0,1)</f>
        <v>0</v>
      </c>
      <c r="BU13" s="1">
        <f ca="1">IF(higado[[#This Row],[FALLECIDO_COD]]=0,TODAY()-higado[[#This Row],[FECHA_TRASPLANTE]],higado[[#This Row],[FECHA DE DEFUNCIÓN]]-higado[[#This Row],[FECHA_TRASPLANTE]])</f>
        <v>5127</v>
      </c>
      <c r="BV13" s="1">
        <f ca="1">IF(higado[[#This Row],[FALLECIDO_COD]]=0,TODAY()-higado[[#This Row],[FECHA_TRASPLANTE]],higado[[#This Row],[FECHA DE DEFUNCIÓN]]-higado[[#This Row],[FECHA_TRASPLANTE]])/30.4375</f>
        <v>168.44353182751541</v>
      </c>
      <c r="BW13" s="1">
        <f ca="1">IF(higado[[#This Row],[FALLECIDO_COD]]=0,TODAY()-higado[[#This Row],[FECHA_TRASPLANTE]],higado[[#This Row],[FECHA DE DEFUNCIÓN]]-higado[[#This Row],[FECHA_TRASPLANTE]])/365.25</f>
        <v>14.036960985626283</v>
      </c>
    </row>
    <row r="14" spans="1:75" x14ac:dyDescent="0.35">
      <c r="A14" t="s">
        <v>376</v>
      </c>
      <c r="B14" t="s">
        <v>376</v>
      </c>
      <c r="D14" t="s">
        <v>380</v>
      </c>
      <c r="E14" t="s">
        <v>375</v>
      </c>
      <c r="H14" s="2"/>
      <c r="I14" s="3">
        <f>(higado[[#This Row],[FECHA_TRASPLANTE]]-higado[[#This Row],[FECHA_NAC_D]])/365.25</f>
        <v>111.76180698151951</v>
      </c>
      <c r="N14">
        <v>21030011118363</v>
      </c>
      <c r="O14" s="18">
        <v>40821</v>
      </c>
      <c r="P14" t="s">
        <v>90</v>
      </c>
      <c r="Q14" s="2">
        <v>40084</v>
      </c>
      <c r="R14" s="1">
        <f>(higado[[#This Row],[FECHA_TRASPLANTE]]-higado[[#This Row],[FECHA_NAC]])/365.25</f>
        <v>2.0177960301163584</v>
      </c>
      <c r="U14" t="s">
        <v>418</v>
      </c>
      <c r="V14">
        <v>37</v>
      </c>
      <c r="X14" t="s">
        <v>91</v>
      </c>
      <c r="Y14" t="s">
        <v>91</v>
      </c>
      <c r="Z14" t="s">
        <v>307</v>
      </c>
      <c r="AM14" t="s">
        <v>86</v>
      </c>
      <c r="AN14" s="2">
        <v>44551.605740740742</v>
      </c>
      <c r="AO14" t="s">
        <v>419</v>
      </c>
      <c r="AY14" t="s">
        <v>106</v>
      </c>
      <c r="BS14" s="17">
        <f>higado[[#This Row],[FECHA_TRASPLANTE]]</f>
        <v>40821</v>
      </c>
      <c r="BT14">
        <f>IF(higado[[#This Row],[FALLECIDO SI/NO]]="NO",0,1)</f>
        <v>1</v>
      </c>
      <c r="BU14" s="1">
        <f ca="1">IF(higado[[#This Row],[FALLECIDO_COD]]=0,TODAY()-higado[[#This Row],[FECHA_TRASPLANTE]],higado[[#This Row],[FECHA DE DEFUNCIÓN]]-higado[[#This Row],[FECHA_TRASPLANTE]])</f>
        <v>3730.6057407407425</v>
      </c>
      <c r="BV14" s="1">
        <f ca="1">IF(higado[[#This Row],[FALLECIDO_COD]]=0,TODAY()-higado[[#This Row],[FECHA_TRASPLANTE]],higado[[#This Row],[FECHA DE DEFUNCIÓN]]-higado[[#This Row],[FECHA_TRASPLANTE]])/30.4375</f>
        <v>122.56610236519893</v>
      </c>
      <c r="BW14" s="1">
        <f ca="1">IF(higado[[#This Row],[FALLECIDO_COD]]=0,TODAY()-higado[[#This Row],[FECHA_TRASPLANTE]],higado[[#This Row],[FECHA DE DEFUNCIÓN]]-higado[[#This Row],[FECHA_TRASPLANTE]])/365.25</f>
        <v>10.213841863766577</v>
      </c>
    </row>
    <row r="15" spans="1:75" x14ac:dyDescent="0.35">
      <c r="A15" t="s">
        <v>75</v>
      </c>
      <c r="B15" t="s">
        <v>75</v>
      </c>
      <c r="D15" t="s">
        <v>380</v>
      </c>
      <c r="E15" t="s">
        <v>77</v>
      </c>
      <c r="H15" s="2"/>
      <c r="I15" s="3">
        <f>(higado[[#This Row],[FECHA_TRASPLANTE]]-higado[[#This Row],[FECHA_NAC_D]])/365.25</f>
        <v>111.76454483230664</v>
      </c>
      <c r="K15" t="s">
        <v>420</v>
      </c>
      <c r="L15" t="s">
        <v>243</v>
      </c>
      <c r="M15" t="s">
        <v>114</v>
      </c>
      <c r="N15">
        <v>700660464</v>
      </c>
      <c r="O15" s="18">
        <v>40822</v>
      </c>
      <c r="P15" t="s">
        <v>81</v>
      </c>
      <c r="Q15" s="2">
        <v>21853</v>
      </c>
      <c r="R15" s="1">
        <f>(higado[[#This Row],[FECHA_TRASPLANTE]]-higado[[#This Row],[FECHA_NAC]])/365.25</f>
        <v>51.93429158110883</v>
      </c>
      <c r="U15" t="s">
        <v>394</v>
      </c>
      <c r="V15">
        <v>13</v>
      </c>
      <c r="W15" t="s">
        <v>82</v>
      </c>
      <c r="X15" t="s">
        <v>120</v>
      </c>
      <c r="Y15" t="s">
        <v>225</v>
      </c>
      <c r="Z15" t="s">
        <v>421</v>
      </c>
      <c r="AM15" t="s">
        <v>86</v>
      </c>
      <c r="AN15" s="2">
        <v>40823</v>
      </c>
      <c r="AY15" t="s">
        <v>106</v>
      </c>
      <c r="BS15" s="17">
        <f>higado[[#This Row],[FECHA_TRASPLANTE]]</f>
        <v>40822</v>
      </c>
      <c r="BT15">
        <f>IF(higado[[#This Row],[FALLECIDO SI/NO]]="NO",0,1)</f>
        <v>1</v>
      </c>
      <c r="BU15" s="1">
        <f ca="1">IF(higado[[#This Row],[FALLECIDO_COD]]=0,TODAY()-higado[[#This Row],[FECHA_TRASPLANTE]],higado[[#This Row],[FECHA DE DEFUNCIÓN]]-higado[[#This Row],[FECHA_TRASPLANTE]])</f>
        <v>1</v>
      </c>
      <c r="BV15" s="1">
        <f ca="1">IF(higado[[#This Row],[FALLECIDO_COD]]=0,TODAY()-higado[[#This Row],[FECHA_TRASPLANTE]],higado[[#This Row],[FECHA DE DEFUNCIÓN]]-higado[[#This Row],[FECHA_TRASPLANTE]])/30.4375</f>
        <v>3.2854209445585217E-2</v>
      </c>
      <c r="BW15" s="1">
        <f ca="1">IF(higado[[#This Row],[FALLECIDO_COD]]=0,TODAY()-higado[[#This Row],[FECHA_TRASPLANTE]],higado[[#This Row],[FECHA DE DEFUNCIÓN]]-higado[[#This Row],[FECHA_TRASPLANTE]])/365.25</f>
        <v>2.7378507871321013E-3</v>
      </c>
    </row>
    <row r="16" spans="1:75" x14ac:dyDescent="0.35">
      <c r="A16" t="s">
        <v>75</v>
      </c>
      <c r="B16" t="s">
        <v>75</v>
      </c>
      <c r="D16" t="s">
        <v>380</v>
      </c>
      <c r="E16" t="s">
        <v>77</v>
      </c>
      <c r="H16" s="2"/>
      <c r="I16" s="3">
        <f>(higado[[#This Row],[FECHA_TRASPLANTE]]-higado[[#This Row],[FECHA_NAC_D]])/365.25</f>
        <v>111.78644763860369</v>
      </c>
      <c r="K16" t="s">
        <v>422</v>
      </c>
      <c r="L16" t="s">
        <v>195</v>
      </c>
      <c r="M16" t="s">
        <v>406</v>
      </c>
      <c r="N16">
        <v>302400183</v>
      </c>
      <c r="O16" s="18">
        <v>40830</v>
      </c>
      <c r="P16" t="s">
        <v>90</v>
      </c>
      <c r="Q16" s="2">
        <v>22033</v>
      </c>
      <c r="R16" s="1">
        <f>(higado[[#This Row],[FECHA_TRASPLANTE]]-higado[[#This Row],[FECHA_NAC]])/365.25</f>
        <v>51.463381245722111</v>
      </c>
      <c r="U16" t="s">
        <v>394</v>
      </c>
      <c r="V16">
        <v>25</v>
      </c>
      <c r="W16" t="s">
        <v>82</v>
      </c>
      <c r="X16" t="s">
        <v>110</v>
      </c>
      <c r="Y16" t="s">
        <v>134</v>
      </c>
      <c r="Z16" t="s">
        <v>423</v>
      </c>
      <c r="AD16">
        <v>17</v>
      </c>
      <c r="AM16" t="s">
        <v>86</v>
      </c>
      <c r="AN16" s="2">
        <v>45533</v>
      </c>
      <c r="AY16" t="s">
        <v>106</v>
      </c>
      <c r="BS16" s="17">
        <f>higado[[#This Row],[FECHA_TRASPLANTE]]</f>
        <v>40830</v>
      </c>
      <c r="BT16">
        <f>IF(higado[[#This Row],[FALLECIDO SI/NO]]="NO",0,1)</f>
        <v>1</v>
      </c>
      <c r="BU16" s="1">
        <f ca="1">IF(higado[[#This Row],[FALLECIDO_COD]]=0,TODAY()-higado[[#This Row],[FECHA_TRASPLANTE]],higado[[#This Row],[FECHA DE DEFUNCIÓN]]-higado[[#This Row],[FECHA_TRASPLANTE]])</f>
        <v>4703</v>
      </c>
      <c r="BV16" s="1">
        <f ca="1">IF(higado[[#This Row],[FALLECIDO_COD]]=0,TODAY()-higado[[#This Row],[FECHA_TRASPLANTE]],higado[[#This Row],[FECHA DE DEFUNCIÓN]]-higado[[#This Row],[FECHA_TRASPLANTE]])/30.4375</f>
        <v>154.51334702258728</v>
      </c>
      <c r="BW16" s="1">
        <f ca="1">IF(higado[[#This Row],[FALLECIDO_COD]]=0,TODAY()-higado[[#This Row],[FECHA_TRASPLANTE]],higado[[#This Row],[FECHA DE DEFUNCIÓN]]-higado[[#This Row],[FECHA_TRASPLANTE]])/365.25</f>
        <v>12.876112251882272</v>
      </c>
    </row>
    <row r="17" spans="1:75" x14ac:dyDescent="0.35">
      <c r="A17" t="s">
        <v>377</v>
      </c>
      <c r="D17" t="s">
        <v>380</v>
      </c>
      <c r="E17" t="s">
        <v>77</v>
      </c>
      <c r="H17" s="2"/>
      <c r="I17" s="3">
        <f>(higado[[#This Row],[FECHA_TRASPLANTE]]-higado[[#This Row],[FECHA_NAC_D]])/365.25</f>
        <v>111.81108829568788</v>
      </c>
      <c r="K17" t="s">
        <v>424</v>
      </c>
      <c r="L17" t="s">
        <v>390</v>
      </c>
      <c r="M17" t="s">
        <v>425</v>
      </c>
      <c r="N17">
        <v>207930719</v>
      </c>
      <c r="O17" s="18">
        <v>40839</v>
      </c>
      <c r="P17" t="s">
        <v>90</v>
      </c>
      <c r="Q17" s="2">
        <v>36349</v>
      </c>
      <c r="R17" s="1">
        <f>(higado[[#This Row],[FECHA_TRASPLANTE]]-higado[[#This Row],[FECHA_NAC]])/365.25</f>
        <v>12.292950034223136</v>
      </c>
      <c r="W17" t="s">
        <v>82</v>
      </c>
      <c r="X17" t="s">
        <v>115</v>
      </c>
      <c r="Y17" t="s">
        <v>426</v>
      </c>
      <c r="Z17" t="s">
        <v>91</v>
      </c>
      <c r="AD17">
        <v>30</v>
      </c>
      <c r="AM17" t="s">
        <v>86</v>
      </c>
      <c r="AN17" s="2">
        <v>42962</v>
      </c>
      <c r="BS17" s="17">
        <f>higado[[#This Row],[FECHA_TRASPLANTE]]</f>
        <v>40839</v>
      </c>
      <c r="BT17">
        <f>IF(higado[[#This Row],[FALLECIDO SI/NO]]="NO",0,1)</f>
        <v>1</v>
      </c>
      <c r="BU17" s="1">
        <f ca="1">IF(higado[[#This Row],[FALLECIDO_COD]]=0,TODAY()-higado[[#This Row],[FECHA_TRASPLANTE]],higado[[#This Row],[FECHA DE DEFUNCIÓN]]-higado[[#This Row],[FECHA_TRASPLANTE]])</f>
        <v>2123</v>
      </c>
      <c r="BV17" s="1">
        <f ca="1">IF(higado[[#This Row],[FALLECIDO_COD]]=0,TODAY()-higado[[#This Row],[FECHA_TRASPLANTE]],higado[[#This Row],[FECHA DE DEFUNCIÓN]]-higado[[#This Row],[FECHA_TRASPLANTE]])/30.4375</f>
        <v>69.74948665297741</v>
      </c>
      <c r="BW17" s="1">
        <f ca="1">IF(higado[[#This Row],[FALLECIDO_COD]]=0,TODAY()-higado[[#This Row],[FECHA_TRASPLANTE]],higado[[#This Row],[FECHA DE DEFUNCIÓN]]-higado[[#This Row],[FECHA_TRASPLANTE]])/365.25</f>
        <v>5.8124572210814511</v>
      </c>
    </row>
    <row r="18" spans="1:75" x14ac:dyDescent="0.35">
      <c r="A18" t="s">
        <v>376</v>
      </c>
      <c r="B18" t="s">
        <v>376</v>
      </c>
      <c r="D18" t="s">
        <v>380</v>
      </c>
      <c r="E18" t="s">
        <v>77</v>
      </c>
      <c r="I18">
        <v>111.83299110198494</v>
      </c>
      <c r="K18" t="s">
        <v>427</v>
      </c>
      <c r="L18" t="s">
        <v>403</v>
      </c>
      <c r="M18" t="s">
        <v>145</v>
      </c>
      <c r="N18">
        <v>605020288</v>
      </c>
      <c r="O18" s="18">
        <v>40847</v>
      </c>
      <c r="P18" t="s">
        <v>81</v>
      </c>
      <c r="Q18" s="2">
        <v>39023</v>
      </c>
      <c r="R18" s="1">
        <f>(higado[[#This Row],[FECHA_TRASPLANTE]]-higado[[#This Row],[FECHA_NAC]])/365.25</f>
        <v>4.9938398357289531</v>
      </c>
      <c r="U18" t="s">
        <v>428</v>
      </c>
      <c r="V18">
        <v>23</v>
      </c>
      <c r="W18" t="s">
        <v>82</v>
      </c>
      <c r="X18" t="s">
        <v>83</v>
      </c>
      <c r="Y18" t="s">
        <v>320</v>
      </c>
      <c r="Z18" t="s">
        <v>429</v>
      </c>
      <c r="AM18" t="s">
        <v>106</v>
      </c>
      <c r="AY18" t="s">
        <v>86</v>
      </c>
      <c r="BS18" s="17">
        <f>higado[[#This Row],[FECHA_TRASPLANTE]]</f>
        <v>40847</v>
      </c>
      <c r="BT18">
        <f>IF(higado[[#This Row],[FALLECIDO SI/NO]]="NO",0,1)</f>
        <v>0</v>
      </c>
      <c r="BU18" s="1">
        <f ca="1">IF(higado[[#This Row],[FALLECIDO_COD]]=0,TODAY()-higado[[#This Row],[FECHA_TRASPLANTE]],higado[[#This Row],[FECHA DE DEFUNCIÓN]]-higado[[#This Row],[FECHA_TRASPLANTE]])</f>
        <v>5028</v>
      </c>
      <c r="BV18" s="1">
        <f ca="1">IF(higado[[#This Row],[FALLECIDO_COD]]=0,TODAY()-higado[[#This Row],[FECHA_TRASPLANTE]],higado[[#This Row],[FECHA DE DEFUNCIÓN]]-higado[[#This Row],[FECHA_TRASPLANTE]])/30.4375</f>
        <v>165.19096509240245</v>
      </c>
      <c r="BW18" s="1">
        <f ca="1">IF(higado[[#This Row],[FALLECIDO_COD]]=0,TODAY()-higado[[#This Row],[FECHA_TRASPLANTE]],higado[[#This Row],[FECHA DE DEFUNCIÓN]]-higado[[#This Row],[FECHA_TRASPLANTE]])/365.25</f>
        <v>13.765913757700206</v>
      </c>
    </row>
    <row r="19" spans="1:75" x14ac:dyDescent="0.35">
      <c r="A19" t="s">
        <v>377</v>
      </c>
      <c r="D19" t="s">
        <v>380</v>
      </c>
      <c r="E19" t="s">
        <v>77</v>
      </c>
      <c r="H19" s="2"/>
      <c r="I19" s="3">
        <f>(higado[[#This Row],[FECHA_TRASPLANTE]]-higado[[#This Row],[FECHA_NAC_D]])/365.25</f>
        <v>111.97262149212868</v>
      </c>
      <c r="K19" t="s">
        <v>430</v>
      </c>
      <c r="L19" t="s">
        <v>431</v>
      </c>
      <c r="M19" t="s">
        <v>432</v>
      </c>
      <c r="N19">
        <v>205990314</v>
      </c>
      <c r="O19" s="18">
        <v>40898</v>
      </c>
      <c r="P19" t="s">
        <v>90</v>
      </c>
      <c r="Q19" s="2">
        <v>30968</v>
      </c>
      <c r="R19" s="1">
        <f>(higado[[#This Row],[FECHA_TRASPLANTE]]-higado[[#This Row],[FECHA_NAC]])/365.25</f>
        <v>27.186858316221766</v>
      </c>
      <c r="W19" t="s">
        <v>82</v>
      </c>
      <c r="AD19">
        <v>9</v>
      </c>
      <c r="AM19" t="s">
        <v>86</v>
      </c>
      <c r="AN19" s="2">
        <v>40907</v>
      </c>
      <c r="BS19" s="17">
        <f>higado[[#This Row],[FECHA_TRASPLANTE]]</f>
        <v>40898</v>
      </c>
      <c r="BT19">
        <f>IF(higado[[#This Row],[FALLECIDO SI/NO]]="NO",0,1)</f>
        <v>1</v>
      </c>
      <c r="BU19" s="1">
        <f ca="1">IF(higado[[#This Row],[FALLECIDO_COD]]=0,TODAY()-higado[[#This Row],[FECHA_TRASPLANTE]],higado[[#This Row],[FECHA DE DEFUNCIÓN]]-higado[[#This Row],[FECHA_TRASPLANTE]])</f>
        <v>9</v>
      </c>
      <c r="BV19" s="1">
        <f ca="1">IF(higado[[#This Row],[FALLECIDO_COD]]=0,TODAY()-higado[[#This Row],[FECHA_TRASPLANTE]],higado[[#This Row],[FECHA DE DEFUNCIÓN]]-higado[[#This Row],[FECHA_TRASPLANTE]])/30.4375</f>
        <v>0.29568788501026694</v>
      </c>
      <c r="BW19" s="1">
        <f ca="1">IF(higado[[#This Row],[FALLECIDO_COD]]=0,TODAY()-higado[[#This Row],[FECHA_TRASPLANTE]],higado[[#This Row],[FECHA DE DEFUNCIÓN]]-higado[[#This Row],[FECHA_TRASPLANTE]])/365.25</f>
        <v>2.4640657084188913E-2</v>
      </c>
    </row>
    <row r="20" spans="1:75" x14ac:dyDescent="0.35">
      <c r="A20" t="s">
        <v>75</v>
      </c>
      <c r="B20" t="s">
        <v>75</v>
      </c>
      <c r="D20" t="s">
        <v>380</v>
      </c>
      <c r="E20" t="s">
        <v>77</v>
      </c>
      <c r="I20">
        <v>112.15058179329226</v>
      </c>
      <c r="K20" t="s">
        <v>433</v>
      </c>
      <c r="L20" t="s">
        <v>184</v>
      </c>
      <c r="M20" t="s">
        <v>385</v>
      </c>
      <c r="N20">
        <v>105600574</v>
      </c>
      <c r="O20" s="18">
        <v>40963</v>
      </c>
      <c r="P20" t="s">
        <v>90</v>
      </c>
      <c r="Q20" s="2">
        <v>22468</v>
      </c>
      <c r="R20" s="1">
        <f>(higado[[#This Row],[FECHA_TRASPLANTE]]-higado[[#This Row],[FECHA_NAC]])/365.25</f>
        <v>50.636550308008211</v>
      </c>
      <c r="U20" t="s">
        <v>416</v>
      </c>
      <c r="V20">
        <v>9</v>
      </c>
      <c r="W20" t="s">
        <v>82</v>
      </c>
      <c r="X20" t="s">
        <v>91</v>
      </c>
      <c r="Y20" t="s">
        <v>434</v>
      </c>
      <c r="Z20" t="s">
        <v>435</v>
      </c>
      <c r="AD20">
        <v>10</v>
      </c>
      <c r="AM20" t="s">
        <v>106</v>
      </c>
      <c r="AY20" t="s">
        <v>106</v>
      </c>
      <c r="BS20" s="17">
        <f>higado[[#This Row],[FECHA_TRASPLANTE]]</f>
        <v>40963</v>
      </c>
      <c r="BT20">
        <f>IF(higado[[#This Row],[FALLECIDO SI/NO]]="NO",0,1)</f>
        <v>0</v>
      </c>
      <c r="BU20" s="1">
        <f ca="1">IF(higado[[#This Row],[FALLECIDO_COD]]=0,TODAY()-higado[[#This Row],[FECHA_TRASPLANTE]],higado[[#This Row],[FECHA DE DEFUNCIÓN]]-higado[[#This Row],[FECHA_TRASPLANTE]])</f>
        <v>4912</v>
      </c>
      <c r="BV20" s="1">
        <f ca="1">IF(higado[[#This Row],[FALLECIDO_COD]]=0,TODAY()-higado[[#This Row],[FECHA_TRASPLANTE]],higado[[#This Row],[FECHA DE DEFUNCIÓN]]-higado[[#This Row],[FECHA_TRASPLANTE]])/30.4375</f>
        <v>161.37987679671457</v>
      </c>
      <c r="BW20" s="1">
        <f ca="1">IF(higado[[#This Row],[FALLECIDO_COD]]=0,TODAY()-higado[[#This Row],[FECHA_TRASPLANTE]],higado[[#This Row],[FECHA DE DEFUNCIÓN]]-higado[[#This Row],[FECHA_TRASPLANTE]])/365.25</f>
        <v>13.448323066392881</v>
      </c>
    </row>
    <row r="21" spans="1:75" x14ac:dyDescent="0.35">
      <c r="A21" t="s">
        <v>377</v>
      </c>
      <c r="D21" t="s">
        <v>380</v>
      </c>
      <c r="E21" t="s">
        <v>77</v>
      </c>
      <c r="H21" s="2"/>
      <c r="I21" s="3">
        <f>(higado[[#This Row],[FECHA_TRASPLANTE]]-higado[[#This Row],[FECHA_NAC_D]])/365.25</f>
        <v>112.19164955509925</v>
      </c>
      <c r="K21" t="s">
        <v>436</v>
      </c>
      <c r="L21" t="s">
        <v>437</v>
      </c>
      <c r="M21" t="s">
        <v>251</v>
      </c>
      <c r="N21">
        <v>114240138</v>
      </c>
      <c r="O21" s="18">
        <v>40978</v>
      </c>
      <c r="P21" t="s">
        <v>90</v>
      </c>
      <c r="Q21" s="2">
        <v>32892</v>
      </c>
      <c r="R21" s="1">
        <f>(higado[[#This Row],[FECHA_TRASPLANTE]]-higado[[#This Row],[FECHA_NAC]])/365.25</f>
        <v>22.138261464750173</v>
      </c>
      <c r="W21" t="s">
        <v>82</v>
      </c>
      <c r="AD21">
        <v>15</v>
      </c>
      <c r="AM21" t="s">
        <v>86</v>
      </c>
      <c r="AN21" s="2">
        <v>40993</v>
      </c>
      <c r="BS21" s="17">
        <f>higado[[#This Row],[FECHA_TRASPLANTE]]</f>
        <v>40978</v>
      </c>
      <c r="BT21">
        <f>IF(higado[[#This Row],[FALLECIDO SI/NO]]="NO",0,1)</f>
        <v>1</v>
      </c>
      <c r="BU21" s="1">
        <f ca="1">IF(higado[[#This Row],[FALLECIDO_COD]]=0,TODAY()-higado[[#This Row],[FECHA_TRASPLANTE]],higado[[#This Row],[FECHA DE DEFUNCIÓN]]-higado[[#This Row],[FECHA_TRASPLANTE]])</f>
        <v>15</v>
      </c>
      <c r="BV21" s="1">
        <f ca="1">IF(higado[[#This Row],[FALLECIDO_COD]]=0,TODAY()-higado[[#This Row],[FECHA_TRASPLANTE]],higado[[#This Row],[FECHA DE DEFUNCIÓN]]-higado[[#This Row],[FECHA_TRASPLANTE]])/30.4375</f>
        <v>0.49281314168377821</v>
      </c>
      <c r="BW21" s="1">
        <f ca="1">IF(higado[[#This Row],[FALLECIDO_COD]]=0,TODAY()-higado[[#This Row],[FECHA_TRASPLANTE]],higado[[#This Row],[FECHA DE DEFUNCIÓN]]-higado[[#This Row],[FECHA_TRASPLANTE]])/365.25</f>
        <v>4.1067761806981518E-2</v>
      </c>
    </row>
    <row r="22" spans="1:75" x14ac:dyDescent="0.35">
      <c r="A22" t="s">
        <v>377</v>
      </c>
      <c r="D22" t="s">
        <v>380</v>
      </c>
      <c r="E22" t="s">
        <v>77</v>
      </c>
      <c r="H22" s="2"/>
      <c r="I22" s="3">
        <f>(higado[[#This Row],[FECHA_TRASPLANTE]]-higado[[#This Row],[FECHA_NAC_D]])/365.25</f>
        <v>112.33949349760438</v>
      </c>
      <c r="K22" t="s">
        <v>438</v>
      </c>
      <c r="L22" t="s">
        <v>99</v>
      </c>
      <c r="M22" t="s">
        <v>114</v>
      </c>
      <c r="N22">
        <v>105790562</v>
      </c>
      <c r="O22" s="18">
        <v>41032</v>
      </c>
      <c r="P22" t="s">
        <v>90</v>
      </c>
      <c r="Q22" s="2">
        <v>22766</v>
      </c>
      <c r="R22" s="1">
        <f>(higado[[#This Row],[FECHA_TRASPLANTE]]-higado[[#This Row],[FECHA_NAC]])/365.25</f>
        <v>50.009582477754961</v>
      </c>
      <c r="W22" t="s">
        <v>82</v>
      </c>
      <c r="AD22">
        <v>8</v>
      </c>
      <c r="AM22" t="s">
        <v>86</v>
      </c>
      <c r="AN22" s="2">
        <v>41040</v>
      </c>
      <c r="BS22" s="17">
        <f>higado[[#This Row],[FECHA_TRASPLANTE]]</f>
        <v>41032</v>
      </c>
      <c r="BT22">
        <f>IF(higado[[#This Row],[FALLECIDO SI/NO]]="NO",0,1)</f>
        <v>1</v>
      </c>
      <c r="BU22" s="1">
        <f ca="1">IF(higado[[#This Row],[FALLECIDO_COD]]=0,TODAY()-higado[[#This Row],[FECHA_TRASPLANTE]],higado[[#This Row],[FECHA DE DEFUNCIÓN]]-higado[[#This Row],[FECHA_TRASPLANTE]])</f>
        <v>8</v>
      </c>
      <c r="BV22" s="1">
        <f ca="1">IF(higado[[#This Row],[FALLECIDO_COD]]=0,TODAY()-higado[[#This Row],[FECHA_TRASPLANTE]],higado[[#This Row],[FECHA DE DEFUNCIÓN]]-higado[[#This Row],[FECHA_TRASPLANTE]])/30.4375</f>
        <v>0.26283367556468173</v>
      </c>
      <c r="BW22" s="1">
        <f ca="1">IF(higado[[#This Row],[FALLECIDO_COD]]=0,TODAY()-higado[[#This Row],[FECHA_TRASPLANTE]],higado[[#This Row],[FECHA DE DEFUNCIÓN]]-higado[[#This Row],[FECHA_TRASPLANTE]])/365.25</f>
        <v>2.190280629705681E-2</v>
      </c>
    </row>
    <row r="23" spans="1:75" x14ac:dyDescent="0.35">
      <c r="A23" t="s">
        <v>377</v>
      </c>
      <c r="D23" t="s">
        <v>380</v>
      </c>
      <c r="E23" t="s">
        <v>77</v>
      </c>
      <c r="H23" s="2"/>
      <c r="I23" s="3">
        <f>(higado[[#This Row],[FECHA_TRASPLANTE]]-higado[[#This Row],[FECHA_NAC_D]])/365.25</f>
        <v>113.15263518138262</v>
      </c>
      <c r="K23" t="s">
        <v>439</v>
      </c>
      <c r="L23" t="s">
        <v>388</v>
      </c>
      <c r="M23" t="s">
        <v>440</v>
      </c>
      <c r="N23">
        <v>504270188</v>
      </c>
      <c r="O23" s="18">
        <v>41329</v>
      </c>
      <c r="P23" t="s">
        <v>90</v>
      </c>
      <c r="Q23" s="2">
        <v>36292</v>
      </c>
      <c r="R23" s="1">
        <f>(higado[[#This Row],[FECHA_TRASPLANTE]]-higado[[#This Row],[FECHA_NAC]])/365.25</f>
        <v>13.790554414784394</v>
      </c>
      <c r="V23">
        <v>15</v>
      </c>
      <c r="W23" t="s">
        <v>82</v>
      </c>
      <c r="X23" t="s">
        <v>125</v>
      </c>
      <c r="Y23" t="s">
        <v>441</v>
      </c>
      <c r="Z23" t="s">
        <v>442</v>
      </c>
      <c r="AD23">
        <v>16</v>
      </c>
      <c r="AM23" t="s">
        <v>86</v>
      </c>
      <c r="AN23" s="2">
        <v>43076</v>
      </c>
      <c r="BS23" s="17">
        <f>higado[[#This Row],[FECHA_TRASPLANTE]]</f>
        <v>41329</v>
      </c>
      <c r="BT23">
        <f>IF(higado[[#This Row],[FALLECIDO SI/NO]]="NO",0,1)</f>
        <v>1</v>
      </c>
      <c r="BU23" s="1">
        <f ca="1">IF(higado[[#This Row],[FALLECIDO_COD]]=0,TODAY()-higado[[#This Row],[FECHA_TRASPLANTE]],higado[[#This Row],[FECHA DE DEFUNCIÓN]]-higado[[#This Row],[FECHA_TRASPLANTE]])</f>
        <v>1747</v>
      </c>
      <c r="BV23" s="1">
        <f ca="1">IF(higado[[#This Row],[FALLECIDO_COD]]=0,TODAY()-higado[[#This Row],[FECHA_TRASPLANTE]],higado[[#This Row],[FECHA DE DEFUNCIÓN]]-higado[[#This Row],[FECHA_TRASPLANTE]])/30.4375</f>
        <v>57.396303901437371</v>
      </c>
      <c r="BW23" s="1">
        <f ca="1">IF(higado[[#This Row],[FALLECIDO_COD]]=0,TODAY()-higado[[#This Row],[FECHA_TRASPLANTE]],higado[[#This Row],[FECHA DE DEFUNCIÓN]]-higado[[#This Row],[FECHA_TRASPLANTE]])/365.25</f>
        <v>4.7830253251197812</v>
      </c>
    </row>
    <row r="24" spans="1:75" x14ac:dyDescent="0.35">
      <c r="A24" t="s">
        <v>377</v>
      </c>
      <c r="D24" t="s">
        <v>380</v>
      </c>
      <c r="E24" t="s">
        <v>77</v>
      </c>
      <c r="I24">
        <v>113.2539356605065</v>
      </c>
      <c r="K24" t="s">
        <v>443</v>
      </c>
      <c r="L24" t="s">
        <v>444</v>
      </c>
      <c r="M24" t="s">
        <v>386</v>
      </c>
      <c r="N24">
        <v>104110285</v>
      </c>
      <c r="O24" s="18">
        <v>41366</v>
      </c>
      <c r="P24" t="s">
        <v>90</v>
      </c>
      <c r="Q24" s="2">
        <v>19373</v>
      </c>
      <c r="R24" s="1">
        <f>(higado[[#This Row],[FECHA_TRASPLANTE]]-higado[[#This Row],[FECHA_NAC]])/365.25</f>
        <v>60.213552361396303</v>
      </c>
      <c r="U24" t="s">
        <v>445</v>
      </c>
      <c r="V24">
        <v>18</v>
      </c>
      <c r="W24" t="s">
        <v>82</v>
      </c>
      <c r="X24" t="s">
        <v>91</v>
      </c>
      <c r="Y24" t="s">
        <v>91</v>
      </c>
      <c r="Z24" t="s">
        <v>446</v>
      </c>
      <c r="AD24">
        <v>27</v>
      </c>
      <c r="AM24" t="s">
        <v>106</v>
      </c>
      <c r="AY24" t="s">
        <v>106</v>
      </c>
      <c r="BS24" s="17">
        <f>higado[[#This Row],[FECHA_TRASPLANTE]]</f>
        <v>41366</v>
      </c>
      <c r="BT24">
        <f>IF(higado[[#This Row],[FALLECIDO SI/NO]]="NO",0,1)</f>
        <v>0</v>
      </c>
      <c r="BU24" s="1">
        <f ca="1">IF(higado[[#This Row],[FALLECIDO_COD]]=0,TODAY()-higado[[#This Row],[FECHA_TRASPLANTE]],higado[[#This Row],[FECHA DE DEFUNCIÓN]]-higado[[#This Row],[FECHA_TRASPLANTE]])</f>
        <v>4509</v>
      </c>
      <c r="BV24" s="1">
        <f ca="1">IF(higado[[#This Row],[FALLECIDO_COD]]=0,TODAY()-higado[[#This Row],[FECHA_TRASPLANTE]],higado[[#This Row],[FECHA DE DEFUNCIÓN]]-higado[[#This Row],[FECHA_TRASPLANTE]])/30.4375</f>
        <v>148.13963039014374</v>
      </c>
      <c r="BW24" s="1">
        <f ca="1">IF(higado[[#This Row],[FALLECIDO_COD]]=0,TODAY()-higado[[#This Row],[FECHA_TRASPLANTE]],higado[[#This Row],[FECHA DE DEFUNCIÓN]]-higado[[#This Row],[FECHA_TRASPLANTE]])/365.25</f>
        <v>12.344969199178644</v>
      </c>
    </row>
    <row r="25" spans="1:75" x14ac:dyDescent="0.35">
      <c r="A25" t="s">
        <v>377</v>
      </c>
      <c r="D25" t="s">
        <v>380</v>
      </c>
      <c r="E25" t="s">
        <v>77</v>
      </c>
      <c r="H25" s="2"/>
      <c r="I25" s="3">
        <f>(higado[[#This Row],[FECHA_TRASPLANTE]]-higado[[#This Row],[FECHA_NAC_D]])/365.25</f>
        <v>113.27310061601642</v>
      </c>
      <c r="K25" t="s">
        <v>447</v>
      </c>
      <c r="L25" t="s">
        <v>448</v>
      </c>
      <c r="M25" t="s">
        <v>449</v>
      </c>
      <c r="N25">
        <v>113500559</v>
      </c>
      <c r="O25" s="18">
        <v>41373</v>
      </c>
      <c r="P25" t="s">
        <v>81</v>
      </c>
      <c r="Q25" s="2">
        <v>32267</v>
      </c>
      <c r="R25" s="1">
        <f>(higado[[#This Row],[FECHA_TRASPLANTE]]-higado[[#This Row],[FECHA_NAC]])/365.25</f>
        <v>24.930869267624914</v>
      </c>
      <c r="V25">
        <v>25</v>
      </c>
      <c r="W25" t="s">
        <v>82</v>
      </c>
      <c r="X25" t="s">
        <v>91</v>
      </c>
      <c r="Y25" t="s">
        <v>84</v>
      </c>
      <c r="Z25" t="s">
        <v>450</v>
      </c>
      <c r="AD25">
        <v>35</v>
      </c>
      <c r="AM25" t="s">
        <v>86</v>
      </c>
      <c r="AN25" s="2">
        <v>41408</v>
      </c>
      <c r="BS25" s="17">
        <f>higado[[#This Row],[FECHA_TRASPLANTE]]</f>
        <v>41373</v>
      </c>
      <c r="BT25">
        <f>IF(higado[[#This Row],[FALLECIDO SI/NO]]="NO",0,1)</f>
        <v>1</v>
      </c>
      <c r="BU25" s="1">
        <f ca="1">IF(higado[[#This Row],[FALLECIDO_COD]]=0,TODAY()-higado[[#This Row],[FECHA_TRASPLANTE]],higado[[#This Row],[FECHA DE DEFUNCIÓN]]-higado[[#This Row],[FECHA_TRASPLANTE]])</f>
        <v>35</v>
      </c>
      <c r="BV25" s="1">
        <f ca="1">IF(higado[[#This Row],[FALLECIDO_COD]]=0,TODAY()-higado[[#This Row],[FECHA_TRASPLANTE]],higado[[#This Row],[FECHA DE DEFUNCIÓN]]-higado[[#This Row],[FECHA_TRASPLANTE]])/30.4375</f>
        <v>1.1498973305954825</v>
      </c>
      <c r="BW25" s="1">
        <f ca="1">IF(higado[[#This Row],[FALLECIDO_COD]]=0,TODAY()-higado[[#This Row],[FECHA_TRASPLANTE]],higado[[#This Row],[FECHA DE DEFUNCIÓN]]-higado[[#This Row],[FECHA_TRASPLANTE]])/365.25</f>
        <v>9.5824777549623541E-2</v>
      </c>
    </row>
    <row r="26" spans="1:75" x14ac:dyDescent="0.35">
      <c r="A26" t="s">
        <v>75</v>
      </c>
      <c r="B26" t="s">
        <v>75</v>
      </c>
      <c r="D26" t="s">
        <v>380</v>
      </c>
      <c r="E26" t="s">
        <v>77</v>
      </c>
      <c r="I26">
        <v>113.3305954825462</v>
      </c>
      <c r="K26" t="s">
        <v>451</v>
      </c>
      <c r="L26" t="s">
        <v>452</v>
      </c>
      <c r="M26" t="s">
        <v>453</v>
      </c>
      <c r="N26">
        <v>108090228</v>
      </c>
      <c r="O26" s="18">
        <v>41394</v>
      </c>
      <c r="P26" t="s">
        <v>81</v>
      </c>
      <c r="Q26" s="2">
        <v>26174</v>
      </c>
      <c r="R26" s="1">
        <f>(higado[[#This Row],[FECHA_TRASPLANTE]]-higado[[#This Row],[FECHA_NAC]])/365.25</f>
        <v>41.670088980150581</v>
      </c>
      <c r="U26" t="s">
        <v>394</v>
      </c>
      <c r="V26">
        <v>23</v>
      </c>
      <c r="W26" t="s">
        <v>82</v>
      </c>
      <c r="X26" t="s">
        <v>91</v>
      </c>
      <c r="Y26" t="s">
        <v>176</v>
      </c>
      <c r="Z26" t="s">
        <v>454</v>
      </c>
      <c r="AD26">
        <v>34</v>
      </c>
      <c r="AM26" t="s">
        <v>106</v>
      </c>
      <c r="AY26" t="s">
        <v>106</v>
      </c>
      <c r="BS26" s="17">
        <f>higado[[#This Row],[FECHA_TRASPLANTE]]</f>
        <v>41394</v>
      </c>
      <c r="BT26">
        <f>IF(higado[[#This Row],[FALLECIDO SI/NO]]="NO",0,1)</f>
        <v>0</v>
      </c>
      <c r="BU26" s="1">
        <f ca="1">IF(higado[[#This Row],[FALLECIDO_COD]]=0,TODAY()-higado[[#This Row],[FECHA_TRASPLANTE]],higado[[#This Row],[FECHA DE DEFUNCIÓN]]-higado[[#This Row],[FECHA_TRASPLANTE]])</f>
        <v>4481</v>
      </c>
      <c r="BV26" s="1">
        <f ca="1">IF(higado[[#This Row],[FALLECIDO_COD]]=0,TODAY()-higado[[#This Row],[FECHA_TRASPLANTE]],higado[[#This Row],[FECHA DE DEFUNCIÓN]]-higado[[#This Row],[FECHA_TRASPLANTE]])/30.4375</f>
        <v>147.21971252566735</v>
      </c>
      <c r="BW26" s="1">
        <f ca="1">IF(higado[[#This Row],[FALLECIDO_COD]]=0,TODAY()-higado[[#This Row],[FECHA_TRASPLANTE]],higado[[#This Row],[FECHA DE DEFUNCIÓN]]-higado[[#This Row],[FECHA_TRASPLANTE]])/365.25</f>
        <v>12.268309377138946</v>
      </c>
    </row>
    <row r="27" spans="1:75" x14ac:dyDescent="0.35">
      <c r="A27" t="s">
        <v>75</v>
      </c>
      <c r="B27" t="s">
        <v>75</v>
      </c>
      <c r="D27" t="s">
        <v>380</v>
      </c>
      <c r="E27" t="s">
        <v>77</v>
      </c>
      <c r="H27" s="2"/>
      <c r="I27" s="3">
        <f>(higado[[#This Row],[FECHA_TRASPLANTE]]-higado[[#This Row],[FECHA_NAC_D]])/365.25</f>
        <v>113.39356605065024</v>
      </c>
      <c r="K27" t="s">
        <v>455</v>
      </c>
      <c r="L27" t="s">
        <v>79</v>
      </c>
      <c r="M27" t="s">
        <v>195</v>
      </c>
      <c r="N27">
        <v>107560569</v>
      </c>
      <c r="O27" s="18">
        <v>41417</v>
      </c>
      <c r="P27" t="s">
        <v>81</v>
      </c>
      <c r="Q27" s="2">
        <v>25473</v>
      </c>
      <c r="R27" s="1">
        <f>(higado[[#This Row],[FECHA_TRASPLANTE]]-higado[[#This Row],[FECHA_NAC]])/365.25</f>
        <v>43.652292950034223</v>
      </c>
      <c r="U27" t="s">
        <v>456</v>
      </c>
      <c r="V27">
        <v>15</v>
      </c>
      <c r="W27" t="s">
        <v>82</v>
      </c>
      <c r="X27" t="s">
        <v>91</v>
      </c>
      <c r="Y27" t="s">
        <v>84</v>
      </c>
      <c r="Z27" t="s">
        <v>457</v>
      </c>
      <c r="AD27">
        <v>14</v>
      </c>
      <c r="AM27" t="s">
        <v>86</v>
      </c>
      <c r="AN27" s="2">
        <v>41430</v>
      </c>
      <c r="AY27" t="s">
        <v>106</v>
      </c>
      <c r="BS27" s="17">
        <f>higado[[#This Row],[FECHA_TRASPLANTE]]</f>
        <v>41417</v>
      </c>
      <c r="BT27">
        <f>IF(higado[[#This Row],[FALLECIDO SI/NO]]="NO",0,1)</f>
        <v>1</v>
      </c>
      <c r="BU27" s="1">
        <f ca="1">IF(higado[[#This Row],[FALLECIDO_COD]]=0,TODAY()-higado[[#This Row],[FECHA_TRASPLANTE]],higado[[#This Row],[FECHA DE DEFUNCIÓN]]-higado[[#This Row],[FECHA_TRASPLANTE]])</f>
        <v>13</v>
      </c>
      <c r="BV27" s="1">
        <f ca="1">IF(higado[[#This Row],[FALLECIDO_COD]]=0,TODAY()-higado[[#This Row],[FECHA_TRASPLANTE]],higado[[#This Row],[FECHA DE DEFUNCIÓN]]-higado[[#This Row],[FECHA_TRASPLANTE]])/30.4375</f>
        <v>0.4271047227926078</v>
      </c>
      <c r="BW27" s="1">
        <f ca="1">IF(higado[[#This Row],[FALLECIDO_COD]]=0,TODAY()-higado[[#This Row],[FECHA_TRASPLANTE]],higado[[#This Row],[FECHA DE DEFUNCIÓN]]-higado[[#This Row],[FECHA_TRASPLANTE]])/365.25</f>
        <v>3.5592060232717319E-2</v>
      </c>
    </row>
    <row r="28" spans="1:75" x14ac:dyDescent="0.35">
      <c r="A28" t="s">
        <v>377</v>
      </c>
      <c r="D28" t="s">
        <v>380</v>
      </c>
      <c r="E28" t="s">
        <v>77</v>
      </c>
      <c r="I28">
        <v>113.71115674195757</v>
      </c>
      <c r="K28" t="s">
        <v>458</v>
      </c>
      <c r="L28" t="s">
        <v>184</v>
      </c>
      <c r="M28" t="s">
        <v>431</v>
      </c>
      <c r="N28">
        <v>204950341</v>
      </c>
      <c r="O28" s="18">
        <v>41533</v>
      </c>
      <c r="P28" t="s">
        <v>81</v>
      </c>
      <c r="Q28" s="2">
        <v>27247</v>
      </c>
      <c r="R28" s="1">
        <f>(higado[[#This Row],[FECHA_TRASPLANTE]]-higado[[#This Row],[FECHA_NAC]])/365.25</f>
        <v>39.112936344969199</v>
      </c>
      <c r="U28" t="s">
        <v>404</v>
      </c>
      <c r="V28">
        <v>16</v>
      </c>
      <c r="W28" t="s">
        <v>82</v>
      </c>
      <c r="X28" t="s">
        <v>115</v>
      </c>
      <c r="Y28" t="s">
        <v>459</v>
      </c>
      <c r="Z28" t="s">
        <v>459</v>
      </c>
      <c r="AD28">
        <v>15</v>
      </c>
      <c r="AM28" t="s">
        <v>106</v>
      </c>
      <c r="AY28" t="s">
        <v>106</v>
      </c>
      <c r="BS28" s="17">
        <f>higado[[#This Row],[FECHA_TRASPLANTE]]</f>
        <v>41533</v>
      </c>
      <c r="BT28">
        <f>IF(higado[[#This Row],[FALLECIDO SI/NO]]="NO",0,1)</f>
        <v>0</v>
      </c>
      <c r="BU28" s="1">
        <f ca="1">IF(higado[[#This Row],[FALLECIDO_COD]]=0,TODAY()-higado[[#This Row],[FECHA_TRASPLANTE]],higado[[#This Row],[FECHA DE DEFUNCIÓN]]-higado[[#This Row],[FECHA_TRASPLANTE]])</f>
        <v>4342</v>
      </c>
      <c r="BV28" s="1">
        <f ca="1">IF(higado[[#This Row],[FALLECIDO_COD]]=0,TODAY()-higado[[#This Row],[FECHA_TRASPLANTE]],higado[[#This Row],[FECHA DE DEFUNCIÓN]]-higado[[#This Row],[FECHA_TRASPLANTE]])/30.4375</f>
        <v>142.65297741273102</v>
      </c>
      <c r="BW28" s="1">
        <f ca="1">IF(higado[[#This Row],[FALLECIDO_COD]]=0,TODAY()-higado[[#This Row],[FECHA_TRASPLANTE]],higado[[#This Row],[FECHA DE DEFUNCIÓN]]-higado[[#This Row],[FECHA_TRASPLANTE]])/365.25</f>
        <v>11.887748117727584</v>
      </c>
    </row>
    <row r="29" spans="1:75" x14ac:dyDescent="0.35">
      <c r="A29" t="s">
        <v>377</v>
      </c>
      <c r="D29" t="s">
        <v>380</v>
      </c>
      <c r="E29" t="s">
        <v>77</v>
      </c>
      <c r="H29" s="2"/>
      <c r="I29" s="3">
        <f>(higado[[#This Row],[FECHA_TRASPLANTE]]-higado[[#This Row],[FECHA_NAC_D]])/365.25</f>
        <v>113.84531143052703</v>
      </c>
      <c r="K29" t="s">
        <v>460</v>
      </c>
      <c r="L29" t="s">
        <v>99</v>
      </c>
      <c r="M29" t="s">
        <v>99</v>
      </c>
      <c r="N29">
        <v>203600807</v>
      </c>
      <c r="O29" s="18">
        <v>41582</v>
      </c>
      <c r="P29" t="s">
        <v>90</v>
      </c>
      <c r="Q29" s="2">
        <v>22368</v>
      </c>
      <c r="R29" s="1">
        <f>(higado[[#This Row],[FECHA_TRASPLANTE]]-higado[[#This Row],[FECHA_NAC]])/365.25</f>
        <v>52.605065023956193</v>
      </c>
      <c r="V29">
        <v>24</v>
      </c>
      <c r="W29" t="s">
        <v>82</v>
      </c>
      <c r="X29" t="s">
        <v>115</v>
      </c>
      <c r="Y29" t="s">
        <v>115</v>
      </c>
      <c r="Z29" t="s">
        <v>286</v>
      </c>
      <c r="AD29">
        <v>0</v>
      </c>
      <c r="AM29" t="s">
        <v>86</v>
      </c>
      <c r="AN29" s="2">
        <v>41582</v>
      </c>
      <c r="BS29" s="17">
        <f>higado[[#This Row],[FECHA_TRASPLANTE]]</f>
        <v>41582</v>
      </c>
      <c r="BT29">
        <f>IF(higado[[#This Row],[FALLECIDO SI/NO]]="NO",0,1)</f>
        <v>1</v>
      </c>
      <c r="BU29" s="1">
        <f ca="1">IF(higado[[#This Row],[FALLECIDO_COD]]=0,TODAY()-higado[[#This Row],[FECHA_TRASPLANTE]],higado[[#This Row],[FECHA DE DEFUNCIÓN]]-higado[[#This Row],[FECHA_TRASPLANTE]])</f>
        <v>0</v>
      </c>
      <c r="BV29" s="1">
        <f ca="1">IF(higado[[#This Row],[FALLECIDO_COD]]=0,TODAY()-higado[[#This Row],[FECHA_TRASPLANTE]],higado[[#This Row],[FECHA DE DEFUNCIÓN]]-higado[[#This Row],[FECHA_TRASPLANTE]])/30.4375</f>
        <v>0</v>
      </c>
      <c r="BW29" s="1">
        <f ca="1">IF(higado[[#This Row],[FALLECIDO_COD]]=0,TODAY()-higado[[#This Row],[FECHA_TRASPLANTE]],higado[[#This Row],[FECHA DE DEFUNCIÓN]]-higado[[#This Row],[FECHA_TRASPLANTE]])/365.25</f>
        <v>0</v>
      </c>
    </row>
    <row r="30" spans="1:75" x14ac:dyDescent="0.35">
      <c r="A30" t="s">
        <v>75</v>
      </c>
      <c r="B30" t="s">
        <v>75</v>
      </c>
      <c r="D30" t="s">
        <v>380</v>
      </c>
      <c r="E30" t="s">
        <v>77</v>
      </c>
      <c r="H30" s="2"/>
      <c r="I30" s="3">
        <f>(higado[[#This Row],[FECHA_TRASPLANTE]]-higado[[#This Row],[FECHA_NAC_D]])/365.25</f>
        <v>114.06707734428474</v>
      </c>
      <c r="K30" t="s">
        <v>461</v>
      </c>
      <c r="L30" t="s">
        <v>109</v>
      </c>
      <c r="M30" t="s">
        <v>149</v>
      </c>
      <c r="N30">
        <v>110030220</v>
      </c>
      <c r="O30" s="18">
        <v>41663</v>
      </c>
      <c r="P30" t="s">
        <v>90</v>
      </c>
      <c r="Q30" s="2">
        <v>28607</v>
      </c>
      <c r="R30" s="1">
        <f>(higado[[#This Row],[FECHA_TRASPLANTE]]-higado[[#This Row],[FECHA_NAC]])/365.25</f>
        <v>35.745379876796711</v>
      </c>
      <c r="U30" t="s">
        <v>462</v>
      </c>
      <c r="V30">
        <v>16</v>
      </c>
      <c r="W30" t="s">
        <v>82</v>
      </c>
      <c r="X30" t="s">
        <v>91</v>
      </c>
      <c r="Y30" t="s">
        <v>116</v>
      </c>
      <c r="Z30" t="s">
        <v>116</v>
      </c>
      <c r="AD30">
        <v>13</v>
      </c>
      <c r="AM30" t="s">
        <v>86</v>
      </c>
      <c r="AN30" s="2">
        <v>45706</v>
      </c>
      <c r="AY30" t="s">
        <v>106</v>
      </c>
      <c r="BS30" s="17">
        <f>higado[[#This Row],[FECHA_TRASPLANTE]]</f>
        <v>41663</v>
      </c>
      <c r="BT30">
        <f>IF(higado[[#This Row],[FALLECIDO SI/NO]]="NO",0,1)</f>
        <v>1</v>
      </c>
      <c r="BU30" s="1">
        <f ca="1">IF(higado[[#This Row],[FALLECIDO_COD]]=0,TODAY()-higado[[#This Row],[FECHA_TRASPLANTE]],higado[[#This Row],[FECHA DE DEFUNCIÓN]]-higado[[#This Row],[FECHA_TRASPLANTE]])</f>
        <v>4043</v>
      </c>
      <c r="BV30" s="1">
        <f ca="1">IF(higado[[#This Row],[FALLECIDO_COD]]=0,TODAY()-higado[[#This Row],[FECHA_TRASPLANTE]],higado[[#This Row],[FECHA DE DEFUNCIÓN]]-higado[[#This Row],[FECHA_TRASPLANTE]])/30.4375</f>
        <v>132.82956878850104</v>
      </c>
      <c r="BW30" s="1">
        <f ca="1">IF(higado[[#This Row],[FALLECIDO_COD]]=0,TODAY()-higado[[#This Row],[FECHA_TRASPLANTE]],higado[[#This Row],[FECHA DE DEFUNCIÓN]]-higado[[#This Row],[FECHA_TRASPLANTE]])/365.25</f>
        <v>11.069130732375086</v>
      </c>
    </row>
    <row r="31" spans="1:75" x14ac:dyDescent="0.35">
      <c r="A31" t="s">
        <v>377</v>
      </c>
      <c r="D31" t="s">
        <v>380</v>
      </c>
      <c r="E31" t="s">
        <v>77</v>
      </c>
      <c r="H31" s="2"/>
      <c r="I31" s="3">
        <f>(higado[[#This Row],[FECHA_TRASPLANTE]]-higado[[#This Row],[FECHA_NAC_D]])/365.25</f>
        <v>114.19301848049281</v>
      </c>
      <c r="K31" t="s">
        <v>463</v>
      </c>
      <c r="L31" t="s">
        <v>277</v>
      </c>
      <c r="M31" t="s">
        <v>251</v>
      </c>
      <c r="N31">
        <v>115400642</v>
      </c>
      <c r="O31" s="18">
        <v>41709</v>
      </c>
      <c r="P31" t="s">
        <v>90</v>
      </c>
      <c r="Q31" s="2">
        <v>34145</v>
      </c>
      <c r="R31" s="1">
        <f>(higado[[#This Row],[FECHA_TRASPLANTE]]-higado[[#This Row],[FECHA_NAC]])/365.25</f>
        <v>20.709103353867214</v>
      </c>
      <c r="V31">
        <v>32</v>
      </c>
      <c r="W31" t="s">
        <v>82</v>
      </c>
      <c r="X31" t="s">
        <v>91</v>
      </c>
      <c r="Y31" t="s">
        <v>116</v>
      </c>
      <c r="Z31" t="s">
        <v>116</v>
      </c>
      <c r="AD31">
        <v>40</v>
      </c>
      <c r="AM31" t="s">
        <v>86</v>
      </c>
      <c r="AN31" s="2">
        <v>42061</v>
      </c>
      <c r="BS31" s="17">
        <f>higado[[#This Row],[FECHA_TRASPLANTE]]</f>
        <v>41709</v>
      </c>
      <c r="BT31">
        <f>IF(higado[[#This Row],[FALLECIDO SI/NO]]="NO",0,1)</f>
        <v>1</v>
      </c>
      <c r="BU31" s="1">
        <f ca="1">IF(higado[[#This Row],[FALLECIDO_COD]]=0,TODAY()-higado[[#This Row],[FECHA_TRASPLANTE]],higado[[#This Row],[FECHA DE DEFUNCIÓN]]-higado[[#This Row],[FECHA_TRASPLANTE]])</f>
        <v>352</v>
      </c>
      <c r="BV31" s="1">
        <f ca="1">IF(higado[[#This Row],[FALLECIDO_COD]]=0,TODAY()-higado[[#This Row],[FECHA_TRASPLANTE]],higado[[#This Row],[FECHA DE DEFUNCIÓN]]-higado[[#This Row],[FECHA_TRASPLANTE]])/30.4375</f>
        <v>11.564681724845997</v>
      </c>
      <c r="BW31" s="1">
        <f ca="1">IF(higado[[#This Row],[FALLECIDO_COD]]=0,TODAY()-higado[[#This Row],[FECHA_TRASPLANTE]],higado[[#This Row],[FECHA DE DEFUNCIÓN]]-higado[[#This Row],[FECHA_TRASPLANTE]])/365.25</f>
        <v>0.96372347707049966</v>
      </c>
    </row>
    <row r="32" spans="1:75" x14ac:dyDescent="0.35">
      <c r="A32" t="s">
        <v>377</v>
      </c>
      <c r="D32" t="s">
        <v>380</v>
      </c>
      <c r="E32" t="s">
        <v>77</v>
      </c>
      <c r="H32" s="2"/>
      <c r="I32" s="3">
        <f>(higado[[#This Row],[FECHA_TRASPLANTE]]-higado[[#This Row],[FECHA_NAC_D]])/365.25</f>
        <v>114.3107460643395</v>
      </c>
      <c r="K32" t="s">
        <v>464</v>
      </c>
      <c r="L32" t="s">
        <v>465</v>
      </c>
      <c r="M32" t="s">
        <v>448</v>
      </c>
      <c r="N32">
        <v>105530628</v>
      </c>
      <c r="O32" s="18">
        <v>41752</v>
      </c>
      <c r="P32" t="s">
        <v>81</v>
      </c>
      <c r="Q32" s="2">
        <v>22348</v>
      </c>
      <c r="R32" s="1">
        <f>(higado[[#This Row],[FECHA_TRASPLANTE]]-higado[[#This Row],[FECHA_NAC]])/365.25</f>
        <v>53.125256673511295</v>
      </c>
      <c r="U32" t="s">
        <v>394</v>
      </c>
      <c r="V32">
        <v>18</v>
      </c>
      <c r="W32" t="s">
        <v>82</v>
      </c>
      <c r="X32" t="s">
        <v>91</v>
      </c>
      <c r="Y32" t="s">
        <v>116</v>
      </c>
      <c r="Z32" t="s">
        <v>116</v>
      </c>
      <c r="AD32">
        <v>16</v>
      </c>
      <c r="AM32" t="s">
        <v>86</v>
      </c>
      <c r="AN32" s="2">
        <v>43926</v>
      </c>
      <c r="AO32" t="s">
        <v>466</v>
      </c>
      <c r="AY32" t="s">
        <v>106</v>
      </c>
      <c r="BS32" s="17">
        <f>higado[[#This Row],[FECHA_TRASPLANTE]]</f>
        <v>41752</v>
      </c>
      <c r="BT32">
        <f>IF(higado[[#This Row],[FALLECIDO SI/NO]]="NO",0,1)</f>
        <v>1</v>
      </c>
      <c r="BU32" s="1">
        <f ca="1">IF(higado[[#This Row],[FALLECIDO_COD]]=0,TODAY()-higado[[#This Row],[FECHA_TRASPLANTE]],higado[[#This Row],[FECHA DE DEFUNCIÓN]]-higado[[#This Row],[FECHA_TRASPLANTE]])</f>
        <v>2174</v>
      </c>
      <c r="BV32" s="1">
        <f ca="1">IF(higado[[#This Row],[FALLECIDO_COD]]=0,TODAY()-higado[[#This Row],[FECHA_TRASPLANTE]],higado[[#This Row],[FECHA DE DEFUNCIÓN]]-higado[[#This Row],[FECHA_TRASPLANTE]])/30.4375</f>
        <v>71.42505133470226</v>
      </c>
      <c r="BW32" s="1">
        <f ca="1">IF(higado[[#This Row],[FALLECIDO_COD]]=0,TODAY()-higado[[#This Row],[FECHA_TRASPLANTE]],higado[[#This Row],[FECHA DE DEFUNCIÓN]]-higado[[#This Row],[FECHA_TRASPLANTE]])/365.25</f>
        <v>5.9520876112251884</v>
      </c>
    </row>
    <row r="33" spans="1:75" x14ac:dyDescent="0.35">
      <c r="A33" t="s">
        <v>377</v>
      </c>
      <c r="D33" t="s">
        <v>380</v>
      </c>
      <c r="E33" t="s">
        <v>77</v>
      </c>
      <c r="H33" s="2"/>
      <c r="I33" s="3">
        <f>(higado[[#This Row],[FECHA_TRASPLANTE]]-higado[[#This Row],[FECHA_NAC_D]])/365.25</f>
        <v>114.74332648870636</v>
      </c>
      <c r="K33" t="s">
        <v>467</v>
      </c>
      <c r="L33" t="s">
        <v>432</v>
      </c>
      <c r="M33" t="s">
        <v>94</v>
      </c>
      <c r="N33">
        <v>203220159</v>
      </c>
      <c r="O33" s="18">
        <v>41910</v>
      </c>
      <c r="P33" t="s">
        <v>81</v>
      </c>
      <c r="Q33" s="2">
        <v>20863</v>
      </c>
      <c r="R33" s="1">
        <f>(higado[[#This Row],[FECHA_TRASPLANTE]]-higado[[#This Row],[FECHA_NAC]])/365.25</f>
        <v>57.623545516769333</v>
      </c>
      <c r="U33" t="s">
        <v>468</v>
      </c>
      <c r="V33">
        <v>25</v>
      </c>
      <c r="W33" t="s">
        <v>82</v>
      </c>
      <c r="X33" t="s">
        <v>115</v>
      </c>
      <c r="Y33" t="s">
        <v>115</v>
      </c>
      <c r="Z33" t="s">
        <v>116</v>
      </c>
      <c r="AD33">
        <v>24</v>
      </c>
      <c r="AM33" t="s">
        <v>86</v>
      </c>
      <c r="AN33" s="2">
        <v>43926</v>
      </c>
      <c r="AY33" t="s">
        <v>106</v>
      </c>
      <c r="BS33" s="17">
        <f>higado[[#This Row],[FECHA_TRASPLANTE]]</f>
        <v>41910</v>
      </c>
      <c r="BT33">
        <f>IF(higado[[#This Row],[FALLECIDO SI/NO]]="NO",0,1)</f>
        <v>1</v>
      </c>
      <c r="BU33" s="1">
        <f ca="1">IF(higado[[#This Row],[FALLECIDO_COD]]=0,TODAY()-higado[[#This Row],[FECHA_TRASPLANTE]],higado[[#This Row],[FECHA DE DEFUNCIÓN]]-higado[[#This Row],[FECHA_TRASPLANTE]])</f>
        <v>2016</v>
      </c>
      <c r="BV33" s="1">
        <f ca="1">IF(higado[[#This Row],[FALLECIDO_COD]]=0,TODAY()-higado[[#This Row],[FECHA_TRASPLANTE]],higado[[#This Row],[FECHA DE DEFUNCIÓN]]-higado[[#This Row],[FECHA_TRASPLANTE]])/30.4375</f>
        <v>66.234086242299796</v>
      </c>
      <c r="BW33" s="1">
        <f ca="1">IF(higado[[#This Row],[FALLECIDO_COD]]=0,TODAY()-higado[[#This Row],[FECHA_TRASPLANTE]],higado[[#This Row],[FECHA DE DEFUNCIÓN]]-higado[[#This Row],[FECHA_TRASPLANTE]])/365.25</f>
        <v>5.5195071868583163</v>
      </c>
    </row>
    <row r="34" spans="1:75" x14ac:dyDescent="0.35">
      <c r="A34" t="s">
        <v>75</v>
      </c>
      <c r="B34" t="s">
        <v>75</v>
      </c>
      <c r="D34" t="s">
        <v>380</v>
      </c>
      <c r="E34" t="s">
        <v>77</v>
      </c>
      <c r="H34" s="2"/>
      <c r="I34" s="3">
        <f>(higado[[#This Row],[FECHA_TRASPLANTE]]-higado[[#This Row],[FECHA_NAC_D]])/365.25</f>
        <v>114.87200547570157</v>
      </c>
      <c r="K34" t="s">
        <v>469</v>
      </c>
      <c r="L34" t="s">
        <v>470</v>
      </c>
      <c r="M34" t="s">
        <v>145</v>
      </c>
      <c r="N34">
        <v>501980230</v>
      </c>
      <c r="O34" s="18">
        <v>41957</v>
      </c>
      <c r="P34" t="s">
        <v>81</v>
      </c>
      <c r="Q34" s="2">
        <v>22608</v>
      </c>
      <c r="R34" s="1">
        <f>(higado[[#This Row],[FECHA_TRASPLANTE]]-higado[[#This Row],[FECHA_NAC]])/365.25</f>
        <v>52.974674880219027</v>
      </c>
      <c r="U34" t="s">
        <v>394</v>
      </c>
      <c r="V34">
        <v>22</v>
      </c>
      <c r="W34" t="s">
        <v>82</v>
      </c>
      <c r="X34" t="s">
        <v>120</v>
      </c>
      <c r="Y34" t="s">
        <v>471</v>
      </c>
      <c r="Z34" t="s">
        <v>421</v>
      </c>
      <c r="AD34">
        <v>18</v>
      </c>
      <c r="AM34" t="s">
        <v>86</v>
      </c>
      <c r="AN34" s="2">
        <v>44424</v>
      </c>
      <c r="AY34" t="s">
        <v>106</v>
      </c>
      <c r="BS34" s="17">
        <f>higado[[#This Row],[FECHA_TRASPLANTE]]</f>
        <v>41957</v>
      </c>
      <c r="BT34">
        <f>IF(higado[[#This Row],[FALLECIDO SI/NO]]="NO",0,1)</f>
        <v>1</v>
      </c>
      <c r="BU34" s="1">
        <f ca="1">IF(higado[[#This Row],[FALLECIDO_COD]]=0,TODAY()-higado[[#This Row],[FECHA_TRASPLANTE]],higado[[#This Row],[FECHA DE DEFUNCIÓN]]-higado[[#This Row],[FECHA_TRASPLANTE]])</f>
        <v>2467</v>
      </c>
      <c r="BV34" s="1">
        <f ca="1">IF(higado[[#This Row],[FALLECIDO_COD]]=0,TODAY()-higado[[#This Row],[FECHA_TRASPLANTE]],higado[[#This Row],[FECHA DE DEFUNCIÓN]]-higado[[#This Row],[FECHA_TRASPLANTE]])/30.4375</f>
        <v>81.051334702258728</v>
      </c>
      <c r="BW34" s="1">
        <f ca="1">IF(higado[[#This Row],[FALLECIDO_COD]]=0,TODAY()-higado[[#This Row],[FECHA_TRASPLANTE]],higado[[#This Row],[FECHA DE DEFUNCIÓN]]-higado[[#This Row],[FECHA_TRASPLANTE]])/365.25</f>
        <v>6.754277891854894</v>
      </c>
    </row>
    <row r="35" spans="1:75" x14ac:dyDescent="0.35">
      <c r="A35" t="s">
        <v>377</v>
      </c>
      <c r="D35" t="s">
        <v>380</v>
      </c>
      <c r="E35" t="s">
        <v>77</v>
      </c>
      <c r="H35" s="2"/>
      <c r="I35" s="3">
        <f>(higado[[#This Row],[FECHA_TRASPLANTE]]-higado[[#This Row],[FECHA_NAC_D]])/365.25</f>
        <v>114.89117043121149</v>
      </c>
      <c r="K35" t="s">
        <v>472</v>
      </c>
      <c r="L35" t="s">
        <v>473</v>
      </c>
      <c r="M35" t="s">
        <v>94</v>
      </c>
      <c r="N35">
        <v>601001172</v>
      </c>
      <c r="O35" s="18">
        <v>41964</v>
      </c>
      <c r="P35" t="s">
        <v>81</v>
      </c>
      <c r="Q35" s="2">
        <v>19092</v>
      </c>
      <c r="R35" s="1">
        <f>(higado[[#This Row],[FECHA_TRASPLANTE]]-higado[[#This Row],[FECHA_NAC]])/365.25</f>
        <v>62.620123203285424</v>
      </c>
      <c r="V35">
        <v>6</v>
      </c>
      <c r="W35" t="s">
        <v>82</v>
      </c>
      <c r="X35" t="s">
        <v>83</v>
      </c>
      <c r="Y35" t="s">
        <v>104</v>
      </c>
      <c r="Z35" t="s">
        <v>105</v>
      </c>
      <c r="AD35">
        <v>5</v>
      </c>
      <c r="AM35" t="s">
        <v>86</v>
      </c>
      <c r="AN35" s="2">
        <v>42530</v>
      </c>
      <c r="BS35" s="17">
        <f>higado[[#This Row],[FECHA_TRASPLANTE]]</f>
        <v>41964</v>
      </c>
      <c r="BT35">
        <f>IF(higado[[#This Row],[FALLECIDO SI/NO]]="NO",0,1)</f>
        <v>1</v>
      </c>
      <c r="BU35" s="1">
        <f ca="1">IF(higado[[#This Row],[FALLECIDO_COD]]=0,TODAY()-higado[[#This Row],[FECHA_TRASPLANTE]],higado[[#This Row],[FECHA DE DEFUNCIÓN]]-higado[[#This Row],[FECHA_TRASPLANTE]])</f>
        <v>566</v>
      </c>
      <c r="BV35" s="1">
        <f ca="1">IF(higado[[#This Row],[FALLECIDO_COD]]=0,TODAY()-higado[[#This Row],[FECHA_TRASPLANTE]],higado[[#This Row],[FECHA DE DEFUNCIÓN]]-higado[[#This Row],[FECHA_TRASPLANTE]])/30.4375</f>
        <v>18.595482546201232</v>
      </c>
      <c r="BW35" s="1">
        <f ca="1">IF(higado[[#This Row],[FALLECIDO_COD]]=0,TODAY()-higado[[#This Row],[FECHA_TRASPLANTE]],higado[[#This Row],[FECHA DE DEFUNCIÓN]]-higado[[#This Row],[FECHA_TRASPLANTE]])/365.25</f>
        <v>1.5496235455167693</v>
      </c>
    </row>
    <row r="36" spans="1:75" x14ac:dyDescent="0.35">
      <c r="A36" t="s">
        <v>377</v>
      </c>
      <c r="D36" t="s">
        <v>380</v>
      </c>
      <c r="E36" t="s">
        <v>77</v>
      </c>
      <c r="H36" s="2"/>
      <c r="I36" s="3">
        <f>(higado[[#This Row],[FECHA_TRASPLANTE]]-higado[[#This Row],[FECHA_NAC_D]])/365.25</f>
        <v>114.92676249144422</v>
      </c>
      <c r="K36" t="s">
        <v>427</v>
      </c>
      <c r="L36" t="s">
        <v>474</v>
      </c>
      <c r="M36" t="s">
        <v>475</v>
      </c>
      <c r="N36">
        <v>118200421</v>
      </c>
      <c r="O36" s="18">
        <v>41977</v>
      </c>
      <c r="P36" t="s">
        <v>81</v>
      </c>
      <c r="Q36" s="2">
        <v>37126</v>
      </c>
      <c r="R36" s="1">
        <f>(higado[[#This Row],[FECHA_TRASPLANTE]]-higado[[#This Row],[FECHA_NAC]])/365.25</f>
        <v>13.281314168377824</v>
      </c>
      <c r="U36" t="s">
        <v>404</v>
      </c>
      <c r="V36">
        <v>33</v>
      </c>
      <c r="W36" t="s">
        <v>82</v>
      </c>
      <c r="X36" t="s">
        <v>91</v>
      </c>
      <c r="Y36" t="s">
        <v>91</v>
      </c>
      <c r="Z36" t="s">
        <v>186</v>
      </c>
      <c r="AD36">
        <v>16</v>
      </c>
      <c r="AM36" t="s">
        <v>86</v>
      </c>
      <c r="AN36" s="2">
        <v>44852</v>
      </c>
      <c r="AY36" t="s">
        <v>106</v>
      </c>
      <c r="BS36" s="17">
        <f>higado[[#This Row],[FECHA_TRASPLANTE]]</f>
        <v>41977</v>
      </c>
      <c r="BT36">
        <f>IF(higado[[#This Row],[FALLECIDO SI/NO]]="NO",0,1)</f>
        <v>1</v>
      </c>
      <c r="BU36" s="1">
        <f ca="1">IF(higado[[#This Row],[FALLECIDO_COD]]=0,TODAY()-higado[[#This Row],[FECHA_TRASPLANTE]],higado[[#This Row],[FECHA DE DEFUNCIÓN]]-higado[[#This Row],[FECHA_TRASPLANTE]])</f>
        <v>2875</v>
      </c>
      <c r="BV36" s="1">
        <f ca="1">IF(higado[[#This Row],[FALLECIDO_COD]]=0,TODAY()-higado[[#This Row],[FECHA_TRASPLANTE]],higado[[#This Row],[FECHA DE DEFUNCIÓN]]-higado[[#This Row],[FECHA_TRASPLANTE]])/30.4375</f>
        <v>94.455852156057489</v>
      </c>
      <c r="BW36" s="1">
        <f ca="1">IF(higado[[#This Row],[FALLECIDO_COD]]=0,TODAY()-higado[[#This Row],[FECHA_TRASPLANTE]],higado[[#This Row],[FECHA DE DEFUNCIÓN]]-higado[[#This Row],[FECHA_TRASPLANTE]])/365.25</f>
        <v>7.871321013004791</v>
      </c>
    </row>
    <row r="37" spans="1:75" x14ac:dyDescent="0.35">
      <c r="A37" t="s">
        <v>75</v>
      </c>
      <c r="B37" t="s">
        <v>75</v>
      </c>
      <c r="D37" t="s">
        <v>380</v>
      </c>
      <c r="E37" t="s">
        <v>77</v>
      </c>
      <c r="I37">
        <v>114.94592744695414</v>
      </c>
      <c r="K37" t="s">
        <v>476</v>
      </c>
      <c r="L37" t="s">
        <v>79</v>
      </c>
      <c r="M37" t="s">
        <v>167</v>
      </c>
      <c r="N37">
        <v>701330378</v>
      </c>
      <c r="O37" s="18">
        <v>41984</v>
      </c>
      <c r="P37" t="s">
        <v>90</v>
      </c>
      <c r="Q37" s="2">
        <v>29097</v>
      </c>
      <c r="R37" s="1">
        <f>(higado[[#This Row],[FECHA_TRASPLANTE]]-higado[[#This Row],[FECHA_NAC]])/365.25</f>
        <v>35.282683093771389</v>
      </c>
      <c r="U37" t="s">
        <v>477</v>
      </c>
      <c r="V37">
        <v>37</v>
      </c>
      <c r="W37" t="s">
        <v>82</v>
      </c>
      <c r="X37" t="s">
        <v>120</v>
      </c>
      <c r="Y37" t="s">
        <v>471</v>
      </c>
      <c r="Z37" t="s">
        <v>226</v>
      </c>
      <c r="AM37" t="s">
        <v>106</v>
      </c>
      <c r="AY37" t="s">
        <v>106</v>
      </c>
      <c r="BS37" s="17">
        <f>higado[[#This Row],[FECHA_TRASPLANTE]]</f>
        <v>41984</v>
      </c>
      <c r="BT37">
        <f>IF(higado[[#This Row],[FALLECIDO SI/NO]]="NO",0,1)</f>
        <v>0</v>
      </c>
      <c r="BU37" s="1">
        <f ca="1">IF(higado[[#This Row],[FALLECIDO_COD]]=0,TODAY()-higado[[#This Row],[FECHA_TRASPLANTE]],higado[[#This Row],[FECHA DE DEFUNCIÓN]]-higado[[#This Row],[FECHA_TRASPLANTE]])</f>
        <v>3891</v>
      </c>
      <c r="BV37" s="1">
        <f ca="1">IF(higado[[#This Row],[FALLECIDO_COD]]=0,TODAY()-higado[[#This Row],[FECHA_TRASPLANTE]],higado[[#This Row],[FECHA DE DEFUNCIÓN]]-higado[[#This Row],[FECHA_TRASPLANTE]])/30.4375</f>
        <v>127.83572895277207</v>
      </c>
      <c r="BW37" s="1">
        <f ca="1">IF(higado[[#This Row],[FALLECIDO_COD]]=0,TODAY()-higado[[#This Row],[FECHA_TRASPLANTE]],higado[[#This Row],[FECHA DE DEFUNCIÓN]]-higado[[#This Row],[FECHA_TRASPLANTE]])/365.25</f>
        <v>10.652977412731007</v>
      </c>
    </row>
    <row r="38" spans="1:75" x14ac:dyDescent="0.35">
      <c r="A38" t="s">
        <v>377</v>
      </c>
      <c r="D38" t="s">
        <v>380</v>
      </c>
      <c r="E38" t="s">
        <v>77</v>
      </c>
      <c r="I38">
        <v>114.9514031485284</v>
      </c>
      <c r="K38" t="s">
        <v>478</v>
      </c>
      <c r="L38" t="s">
        <v>479</v>
      </c>
      <c r="M38" t="s">
        <v>386</v>
      </c>
      <c r="N38">
        <v>700710216</v>
      </c>
      <c r="O38" s="18">
        <v>41986</v>
      </c>
      <c r="P38" t="s">
        <v>90</v>
      </c>
      <c r="Q38" s="2">
        <v>22494</v>
      </c>
      <c r="R38" s="1">
        <f>(higado[[#This Row],[FECHA_TRASPLANTE]]-higado[[#This Row],[FECHA_NAC]])/365.25</f>
        <v>53.366187542778917</v>
      </c>
      <c r="U38" t="s">
        <v>480</v>
      </c>
      <c r="V38">
        <v>15</v>
      </c>
      <c r="W38" t="s">
        <v>82</v>
      </c>
      <c r="X38" t="s">
        <v>261</v>
      </c>
      <c r="Y38" t="s">
        <v>84</v>
      </c>
      <c r="Z38" t="s">
        <v>261</v>
      </c>
      <c r="AD38">
        <v>20</v>
      </c>
      <c r="AM38" t="s">
        <v>106</v>
      </c>
      <c r="AY38" t="s">
        <v>106</v>
      </c>
      <c r="BS38" s="17">
        <f>higado[[#This Row],[FECHA_TRASPLANTE]]</f>
        <v>41986</v>
      </c>
      <c r="BT38">
        <f>IF(higado[[#This Row],[FALLECIDO SI/NO]]="NO",0,1)</f>
        <v>0</v>
      </c>
      <c r="BU38" s="1">
        <f ca="1">IF(higado[[#This Row],[FALLECIDO_COD]]=0,TODAY()-higado[[#This Row],[FECHA_TRASPLANTE]],higado[[#This Row],[FECHA DE DEFUNCIÓN]]-higado[[#This Row],[FECHA_TRASPLANTE]])</f>
        <v>3889</v>
      </c>
      <c r="BV38" s="1">
        <f ca="1">IF(higado[[#This Row],[FALLECIDO_COD]]=0,TODAY()-higado[[#This Row],[FECHA_TRASPLANTE]],higado[[#This Row],[FECHA DE DEFUNCIÓN]]-higado[[#This Row],[FECHA_TRASPLANTE]])/30.4375</f>
        <v>127.77002053388091</v>
      </c>
      <c r="BW38" s="1">
        <f ca="1">IF(higado[[#This Row],[FALLECIDO_COD]]=0,TODAY()-higado[[#This Row],[FECHA_TRASPLANTE]],higado[[#This Row],[FECHA DE DEFUNCIÓN]]-higado[[#This Row],[FECHA_TRASPLANTE]])/365.25</f>
        <v>10.647501711156742</v>
      </c>
    </row>
    <row r="39" spans="1:75" x14ac:dyDescent="0.35">
      <c r="A39" t="s">
        <v>75</v>
      </c>
      <c r="B39" t="s">
        <v>75</v>
      </c>
      <c r="D39" t="s">
        <v>380</v>
      </c>
      <c r="E39" t="s">
        <v>77</v>
      </c>
      <c r="I39">
        <v>114.97878165639973</v>
      </c>
      <c r="K39" t="s">
        <v>481</v>
      </c>
      <c r="L39" t="s">
        <v>482</v>
      </c>
      <c r="M39" t="s">
        <v>483</v>
      </c>
      <c r="N39">
        <v>105800125</v>
      </c>
      <c r="O39" s="18">
        <v>41996</v>
      </c>
      <c r="P39" t="s">
        <v>81</v>
      </c>
      <c r="Q39" s="2">
        <v>22693</v>
      </c>
      <c r="R39" s="1">
        <f>(higado[[#This Row],[FECHA_TRASPLANTE]]-higado[[#This Row],[FECHA_NAC]])/365.25</f>
        <v>52.84873374401095</v>
      </c>
      <c r="U39" t="s">
        <v>456</v>
      </c>
      <c r="V39">
        <v>25</v>
      </c>
      <c r="W39" t="s">
        <v>82</v>
      </c>
      <c r="X39" t="s">
        <v>91</v>
      </c>
      <c r="Y39" t="s">
        <v>484</v>
      </c>
      <c r="Z39" t="s">
        <v>485</v>
      </c>
      <c r="AD39">
        <v>8</v>
      </c>
      <c r="AM39" t="s">
        <v>106</v>
      </c>
      <c r="AY39" t="s">
        <v>106</v>
      </c>
      <c r="BS39" s="17">
        <f>higado[[#This Row],[FECHA_TRASPLANTE]]</f>
        <v>41996</v>
      </c>
      <c r="BT39">
        <f>IF(higado[[#This Row],[FALLECIDO SI/NO]]="NO",0,1)</f>
        <v>0</v>
      </c>
      <c r="BU39" s="1">
        <f ca="1">IF(higado[[#This Row],[FALLECIDO_COD]]=0,TODAY()-higado[[#This Row],[FECHA_TRASPLANTE]],higado[[#This Row],[FECHA DE DEFUNCIÓN]]-higado[[#This Row],[FECHA_TRASPLANTE]])</f>
        <v>3879</v>
      </c>
      <c r="BV39" s="1">
        <f ca="1">IF(higado[[#This Row],[FALLECIDO_COD]]=0,TODAY()-higado[[#This Row],[FECHA_TRASPLANTE]],higado[[#This Row],[FECHA DE DEFUNCIÓN]]-higado[[#This Row],[FECHA_TRASPLANTE]])/30.4375</f>
        <v>127.44147843942505</v>
      </c>
      <c r="BW39" s="1">
        <f ca="1">IF(higado[[#This Row],[FALLECIDO_COD]]=0,TODAY()-higado[[#This Row],[FECHA_TRASPLANTE]],higado[[#This Row],[FECHA DE DEFUNCIÓN]]-higado[[#This Row],[FECHA_TRASPLANTE]])/365.25</f>
        <v>10.620123203285422</v>
      </c>
    </row>
    <row r="40" spans="1:75" x14ac:dyDescent="0.35">
      <c r="A40" t="s">
        <v>377</v>
      </c>
      <c r="D40" t="s">
        <v>380</v>
      </c>
      <c r="E40" t="s">
        <v>77</v>
      </c>
      <c r="I40">
        <v>115.06091718001369</v>
      </c>
      <c r="K40" t="s">
        <v>486</v>
      </c>
      <c r="L40" t="s">
        <v>141</v>
      </c>
      <c r="M40" t="s">
        <v>487</v>
      </c>
      <c r="N40">
        <v>206210323</v>
      </c>
      <c r="O40" s="18">
        <v>42026</v>
      </c>
      <c r="P40" t="s">
        <v>81</v>
      </c>
      <c r="Q40" s="2">
        <v>31573</v>
      </c>
      <c r="R40" s="1">
        <f>(higado[[#This Row],[FECHA_TRASPLANTE]]-higado[[#This Row],[FECHA_NAC]])/365.25</f>
        <v>28.618754277891856</v>
      </c>
      <c r="U40" t="s">
        <v>488</v>
      </c>
      <c r="V40">
        <v>10</v>
      </c>
      <c r="W40" t="s">
        <v>82</v>
      </c>
      <c r="X40" t="s">
        <v>115</v>
      </c>
      <c r="Y40" t="s">
        <v>84</v>
      </c>
      <c r="Z40" t="s">
        <v>115</v>
      </c>
      <c r="AD40">
        <v>13</v>
      </c>
      <c r="AM40" t="s">
        <v>106</v>
      </c>
      <c r="AY40" t="s">
        <v>106</v>
      </c>
      <c r="BS40" s="17">
        <f>higado[[#This Row],[FECHA_TRASPLANTE]]</f>
        <v>42026</v>
      </c>
      <c r="BT40">
        <f>IF(higado[[#This Row],[FALLECIDO SI/NO]]="NO",0,1)</f>
        <v>0</v>
      </c>
      <c r="BU40" s="1">
        <f ca="1">IF(higado[[#This Row],[FALLECIDO_COD]]=0,TODAY()-higado[[#This Row],[FECHA_TRASPLANTE]],higado[[#This Row],[FECHA DE DEFUNCIÓN]]-higado[[#This Row],[FECHA_TRASPLANTE]])</f>
        <v>3849</v>
      </c>
      <c r="BV40" s="1">
        <f ca="1">IF(higado[[#This Row],[FALLECIDO_COD]]=0,TODAY()-higado[[#This Row],[FECHA_TRASPLANTE]],higado[[#This Row],[FECHA DE DEFUNCIÓN]]-higado[[#This Row],[FECHA_TRASPLANTE]])/30.4375</f>
        <v>126.45585215605749</v>
      </c>
      <c r="BW40" s="1">
        <f ca="1">IF(higado[[#This Row],[FALLECIDO_COD]]=0,TODAY()-higado[[#This Row],[FECHA_TRASPLANTE]],higado[[#This Row],[FECHA DE DEFUNCIÓN]]-higado[[#This Row],[FECHA_TRASPLANTE]])/365.25</f>
        <v>10.537987679671458</v>
      </c>
    </row>
    <row r="41" spans="1:75" x14ac:dyDescent="0.35">
      <c r="A41" t="s">
        <v>75</v>
      </c>
      <c r="B41" t="s">
        <v>75</v>
      </c>
      <c r="D41" t="s">
        <v>380</v>
      </c>
      <c r="E41" t="s">
        <v>77</v>
      </c>
      <c r="I41">
        <v>115.09650924024641</v>
      </c>
      <c r="K41" t="s">
        <v>489</v>
      </c>
      <c r="L41" t="s">
        <v>385</v>
      </c>
      <c r="M41" t="s">
        <v>490</v>
      </c>
      <c r="N41">
        <v>801430376</v>
      </c>
      <c r="O41" s="18">
        <v>42039</v>
      </c>
      <c r="P41" t="s">
        <v>90</v>
      </c>
      <c r="Q41" s="2">
        <v>24202</v>
      </c>
      <c r="R41" s="1">
        <f>(higado[[#This Row],[FECHA_TRASPLANTE]]-higado[[#This Row],[FECHA_NAC]])/365.25</f>
        <v>48.83504449007529</v>
      </c>
      <c r="U41" t="s">
        <v>491</v>
      </c>
      <c r="V41">
        <v>11</v>
      </c>
      <c r="W41" t="s">
        <v>82</v>
      </c>
      <c r="X41" t="s">
        <v>91</v>
      </c>
      <c r="Y41" t="s">
        <v>91</v>
      </c>
      <c r="Z41" t="s">
        <v>307</v>
      </c>
      <c r="AD41">
        <v>20</v>
      </c>
      <c r="AM41" t="s">
        <v>106</v>
      </c>
      <c r="AY41" t="s">
        <v>106</v>
      </c>
      <c r="BS41" s="17">
        <f>higado[[#This Row],[FECHA_TRASPLANTE]]</f>
        <v>42039</v>
      </c>
      <c r="BT41">
        <f>IF(higado[[#This Row],[FALLECIDO SI/NO]]="NO",0,1)</f>
        <v>0</v>
      </c>
      <c r="BU41" s="1">
        <f ca="1">IF(higado[[#This Row],[FALLECIDO_COD]]=0,TODAY()-higado[[#This Row],[FECHA_TRASPLANTE]],higado[[#This Row],[FECHA DE DEFUNCIÓN]]-higado[[#This Row],[FECHA_TRASPLANTE]])</f>
        <v>3836</v>
      </c>
      <c r="BV41" s="1">
        <f ca="1">IF(higado[[#This Row],[FALLECIDO_COD]]=0,TODAY()-higado[[#This Row],[FECHA_TRASPLANTE]],higado[[#This Row],[FECHA DE DEFUNCIÓN]]-higado[[#This Row],[FECHA_TRASPLANTE]])/30.4375</f>
        <v>126.02874743326488</v>
      </c>
      <c r="BW41" s="1">
        <f ca="1">IF(higado[[#This Row],[FALLECIDO_COD]]=0,TODAY()-higado[[#This Row],[FECHA_TRASPLANTE]],higado[[#This Row],[FECHA DE DEFUNCIÓN]]-higado[[#This Row],[FECHA_TRASPLANTE]])/365.25</f>
        <v>10.50239561943874</v>
      </c>
    </row>
    <row r="42" spans="1:75" x14ac:dyDescent="0.35">
      <c r="A42" t="s">
        <v>377</v>
      </c>
      <c r="D42" t="s">
        <v>380</v>
      </c>
      <c r="E42" t="s">
        <v>77</v>
      </c>
      <c r="I42">
        <v>115.29363449691992</v>
      </c>
      <c r="K42" t="s">
        <v>492</v>
      </c>
      <c r="L42" t="s">
        <v>386</v>
      </c>
      <c r="M42" t="s">
        <v>274</v>
      </c>
      <c r="N42">
        <v>105950157</v>
      </c>
      <c r="O42" s="18">
        <v>42111</v>
      </c>
      <c r="P42" t="s">
        <v>81</v>
      </c>
      <c r="Q42" s="2">
        <v>22963</v>
      </c>
      <c r="R42" s="1">
        <f>(higado[[#This Row],[FECHA_TRASPLANTE]]-higado[[#This Row],[FECHA_NAC]])/365.25</f>
        <v>52.424366872005479</v>
      </c>
      <c r="U42" t="s">
        <v>493</v>
      </c>
      <c r="V42">
        <v>16</v>
      </c>
      <c r="W42" t="s">
        <v>82</v>
      </c>
      <c r="X42" t="s">
        <v>91</v>
      </c>
      <c r="Y42" t="s">
        <v>84</v>
      </c>
      <c r="Z42" t="s">
        <v>494</v>
      </c>
      <c r="AD42">
        <v>30</v>
      </c>
      <c r="AM42" t="s">
        <v>106</v>
      </c>
      <c r="BS42" s="17">
        <f>higado[[#This Row],[FECHA_TRASPLANTE]]</f>
        <v>42111</v>
      </c>
      <c r="BT42">
        <f>IF(higado[[#This Row],[FALLECIDO SI/NO]]="NO",0,1)</f>
        <v>0</v>
      </c>
      <c r="BU42" s="1">
        <f ca="1">IF(higado[[#This Row],[FALLECIDO_COD]]=0,TODAY()-higado[[#This Row],[FECHA_TRASPLANTE]],higado[[#This Row],[FECHA DE DEFUNCIÓN]]-higado[[#This Row],[FECHA_TRASPLANTE]])</f>
        <v>3764</v>
      </c>
      <c r="BV42" s="1">
        <f ca="1">IF(higado[[#This Row],[FALLECIDO_COD]]=0,TODAY()-higado[[#This Row],[FECHA_TRASPLANTE]],higado[[#This Row],[FECHA DE DEFUNCIÓN]]-higado[[#This Row],[FECHA_TRASPLANTE]])/30.4375</f>
        <v>123.66324435318275</v>
      </c>
      <c r="BW42" s="1">
        <f ca="1">IF(higado[[#This Row],[FALLECIDO_COD]]=0,TODAY()-higado[[#This Row],[FECHA_TRASPLANTE]],higado[[#This Row],[FECHA DE DEFUNCIÓN]]-higado[[#This Row],[FECHA_TRASPLANTE]])/365.25</f>
        <v>10.30527036276523</v>
      </c>
    </row>
    <row r="43" spans="1:75" x14ac:dyDescent="0.35">
      <c r="A43" t="s">
        <v>377</v>
      </c>
      <c r="D43" t="s">
        <v>380</v>
      </c>
      <c r="E43" t="s">
        <v>77</v>
      </c>
      <c r="I43">
        <v>115.49897330595482</v>
      </c>
      <c r="K43" t="s">
        <v>495</v>
      </c>
      <c r="L43" t="s">
        <v>496</v>
      </c>
      <c r="M43" t="s">
        <v>251</v>
      </c>
      <c r="N43">
        <v>119420297</v>
      </c>
      <c r="O43" s="18">
        <v>42186</v>
      </c>
      <c r="P43" t="s">
        <v>90</v>
      </c>
      <c r="Q43" s="2">
        <v>38569</v>
      </c>
      <c r="R43" s="1">
        <f>(higado[[#This Row],[FECHA_TRASPLANTE]]-higado[[#This Row],[FECHA_NAC]])/365.25</f>
        <v>9.9028062970568111</v>
      </c>
      <c r="U43" t="s">
        <v>497</v>
      </c>
      <c r="V43">
        <v>37</v>
      </c>
      <c r="W43" t="s">
        <v>82</v>
      </c>
      <c r="X43" t="s">
        <v>91</v>
      </c>
      <c r="Y43" t="s">
        <v>498</v>
      </c>
      <c r="Z43" t="s">
        <v>499</v>
      </c>
      <c r="AD43">
        <v>26</v>
      </c>
      <c r="AM43" t="s">
        <v>106</v>
      </c>
      <c r="AY43" t="s">
        <v>106</v>
      </c>
      <c r="BS43" s="17">
        <f>higado[[#This Row],[FECHA_TRASPLANTE]]</f>
        <v>42186</v>
      </c>
      <c r="BT43">
        <f>IF(higado[[#This Row],[FALLECIDO SI/NO]]="NO",0,1)</f>
        <v>0</v>
      </c>
      <c r="BU43" s="1">
        <f ca="1">IF(higado[[#This Row],[FALLECIDO_COD]]=0,TODAY()-higado[[#This Row],[FECHA_TRASPLANTE]],higado[[#This Row],[FECHA DE DEFUNCIÓN]]-higado[[#This Row],[FECHA_TRASPLANTE]])</f>
        <v>3689</v>
      </c>
      <c r="BV43" s="1">
        <f ca="1">IF(higado[[#This Row],[FALLECIDO_COD]]=0,TODAY()-higado[[#This Row],[FECHA_TRASPLANTE]],higado[[#This Row],[FECHA DE DEFUNCIÓN]]-higado[[#This Row],[FECHA_TRASPLANTE]])/30.4375</f>
        <v>121.19917864476386</v>
      </c>
      <c r="BW43" s="1">
        <f ca="1">IF(higado[[#This Row],[FALLECIDO_COD]]=0,TODAY()-higado[[#This Row],[FECHA_TRASPLANTE]],higado[[#This Row],[FECHA DE DEFUNCIÓN]]-higado[[#This Row],[FECHA_TRASPLANTE]])/365.25</f>
        <v>10.099931553730322</v>
      </c>
    </row>
    <row r="44" spans="1:75" x14ac:dyDescent="0.35">
      <c r="A44" t="s">
        <v>377</v>
      </c>
      <c r="D44" t="s">
        <v>380</v>
      </c>
      <c r="E44" t="s">
        <v>77</v>
      </c>
      <c r="I44">
        <v>115.69336071184121</v>
      </c>
      <c r="K44" t="s">
        <v>500</v>
      </c>
      <c r="L44" t="s">
        <v>479</v>
      </c>
      <c r="M44" t="s">
        <v>501</v>
      </c>
      <c r="N44">
        <v>117350219</v>
      </c>
      <c r="O44" s="18">
        <v>42257</v>
      </c>
      <c r="P44" t="s">
        <v>90</v>
      </c>
      <c r="Q44" s="2">
        <v>36209</v>
      </c>
      <c r="R44" s="1">
        <f>(higado[[#This Row],[FECHA_TRASPLANTE]]-higado[[#This Row],[FECHA_NAC]])/365.25</f>
        <v>16.558521560574949</v>
      </c>
      <c r="U44" t="s">
        <v>404</v>
      </c>
      <c r="V44">
        <v>29</v>
      </c>
      <c r="W44" t="s">
        <v>82</v>
      </c>
      <c r="X44" t="s">
        <v>83</v>
      </c>
      <c r="Y44" t="s">
        <v>84</v>
      </c>
      <c r="Z44" t="s">
        <v>502</v>
      </c>
      <c r="AD44">
        <v>51</v>
      </c>
      <c r="AM44" t="s">
        <v>106</v>
      </c>
      <c r="AY44" t="s">
        <v>106</v>
      </c>
      <c r="BS44" s="17">
        <f>higado[[#This Row],[FECHA_TRASPLANTE]]</f>
        <v>42257</v>
      </c>
      <c r="BT44">
        <f>IF(higado[[#This Row],[FALLECIDO SI/NO]]="NO",0,1)</f>
        <v>0</v>
      </c>
      <c r="BU44" s="1">
        <f ca="1">IF(higado[[#This Row],[FALLECIDO_COD]]=0,TODAY()-higado[[#This Row],[FECHA_TRASPLANTE]],higado[[#This Row],[FECHA DE DEFUNCIÓN]]-higado[[#This Row],[FECHA_TRASPLANTE]])</f>
        <v>3618</v>
      </c>
      <c r="BV44" s="1">
        <f ca="1">IF(higado[[#This Row],[FALLECIDO_COD]]=0,TODAY()-higado[[#This Row],[FECHA_TRASPLANTE]],higado[[#This Row],[FECHA DE DEFUNCIÓN]]-higado[[#This Row],[FECHA_TRASPLANTE]])/30.4375</f>
        <v>118.86652977412732</v>
      </c>
      <c r="BW44" s="1">
        <f ca="1">IF(higado[[#This Row],[FALLECIDO_COD]]=0,TODAY()-higado[[#This Row],[FECHA_TRASPLANTE]],higado[[#This Row],[FECHA DE DEFUNCIÓN]]-higado[[#This Row],[FECHA_TRASPLANTE]])/365.25</f>
        <v>9.9055441478439423</v>
      </c>
    </row>
    <row r="45" spans="1:75" x14ac:dyDescent="0.35">
      <c r="A45" t="s">
        <v>377</v>
      </c>
      <c r="D45" t="s">
        <v>380</v>
      </c>
      <c r="E45" t="s">
        <v>77</v>
      </c>
      <c r="I45">
        <v>115.70704996577686</v>
      </c>
      <c r="K45" t="s">
        <v>503</v>
      </c>
      <c r="L45" t="s">
        <v>487</v>
      </c>
      <c r="M45" t="s">
        <v>403</v>
      </c>
      <c r="N45">
        <v>116470015</v>
      </c>
      <c r="O45" s="18">
        <v>42262</v>
      </c>
      <c r="P45" t="s">
        <v>81</v>
      </c>
      <c r="Q45" s="2">
        <v>35253</v>
      </c>
      <c r="R45" s="1">
        <f>(higado[[#This Row],[FECHA_TRASPLANTE]]-higado[[#This Row],[FECHA_NAC]])/365.25</f>
        <v>19.189596167008897</v>
      </c>
      <c r="U45" t="s">
        <v>504</v>
      </c>
      <c r="V45">
        <v>16</v>
      </c>
      <c r="W45" t="s">
        <v>82</v>
      </c>
      <c r="X45" t="s">
        <v>91</v>
      </c>
      <c r="Y45" t="s">
        <v>211</v>
      </c>
      <c r="Z45" t="s">
        <v>454</v>
      </c>
      <c r="AD45">
        <v>45</v>
      </c>
      <c r="AM45" t="s">
        <v>106</v>
      </c>
      <c r="AY45" t="s">
        <v>106</v>
      </c>
      <c r="BS45" s="17">
        <f>higado[[#This Row],[FECHA_TRASPLANTE]]</f>
        <v>42262</v>
      </c>
      <c r="BT45">
        <f>IF(higado[[#This Row],[FALLECIDO SI/NO]]="NO",0,1)</f>
        <v>0</v>
      </c>
      <c r="BU45" s="1">
        <f ca="1">IF(higado[[#This Row],[FALLECIDO_COD]]=0,TODAY()-higado[[#This Row],[FECHA_TRASPLANTE]],higado[[#This Row],[FECHA DE DEFUNCIÓN]]-higado[[#This Row],[FECHA_TRASPLANTE]])</f>
        <v>3613</v>
      </c>
      <c r="BV45" s="1">
        <f ca="1">IF(higado[[#This Row],[FALLECIDO_COD]]=0,TODAY()-higado[[#This Row],[FECHA_TRASPLANTE]],higado[[#This Row],[FECHA DE DEFUNCIÓN]]-higado[[#This Row],[FECHA_TRASPLANTE]])/30.4375</f>
        <v>118.70225872689939</v>
      </c>
      <c r="BW45" s="1">
        <f ca="1">IF(higado[[#This Row],[FALLECIDO_COD]]=0,TODAY()-higado[[#This Row],[FECHA_TRASPLANTE]],higado[[#This Row],[FECHA DE DEFUNCIÓN]]-higado[[#This Row],[FECHA_TRASPLANTE]])/365.25</f>
        <v>9.8918548939082829</v>
      </c>
    </row>
    <row r="46" spans="1:75" x14ac:dyDescent="0.35">
      <c r="A46" t="s">
        <v>377</v>
      </c>
      <c r="D46" t="s">
        <v>380</v>
      </c>
      <c r="E46" t="s">
        <v>77</v>
      </c>
      <c r="I46">
        <v>115.92607802874743</v>
      </c>
      <c r="K46" t="s">
        <v>505</v>
      </c>
      <c r="L46" t="s">
        <v>156</v>
      </c>
      <c r="M46" t="s">
        <v>108</v>
      </c>
      <c r="N46">
        <v>109460064</v>
      </c>
      <c r="O46" s="18">
        <v>42342</v>
      </c>
      <c r="P46" t="s">
        <v>90</v>
      </c>
      <c r="Q46" s="2">
        <v>27969</v>
      </c>
      <c r="R46" s="1">
        <f>(higado[[#This Row],[FECHA_TRASPLANTE]]-higado[[#This Row],[FECHA_NAC]])/365.25</f>
        <v>39.351129363449694</v>
      </c>
      <c r="U46" t="s">
        <v>506</v>
      </c>
      <c r="V46">
        <v>24</v>
      </c>
      <c r="W46" t="s">
        <v>82</v>
      </c>
      <c r="X46" t="s">
        <v>91</v>
      </c>
      <c r="Y46" t="s">
        <v>84</v>
      </c>
      <c r="Z46" t="s">
        <v>307</v>
      </c>
      <c r="AD46">
        <v>14</v>
      </c>
      <c r="AM46" t="s">
        <v>106</v>
      </c>
      <c r="AY46" t="s">
        <v>106</v>
      </c>
      <c r="BS46" s="17">
        <f>higado[[#This Row],[FECHA_TRASPLANTE]]</f>
        <v>42342</v>
      </c>
      <c r="BT46">
        <f>IF(higado[[#This Row],[FALLECIDO SI/NO]]="NO",0,1)</f>
        <v>0</v>
      </c>
      <c r="BU46" s="1">
        <f ca="1">IF(higado[[#This Row],[FALLECIDO_COD]]=0,TODAY()-higado[[#This Row],[FECHA_TRASPLANTE]],higado[[#This Row],[FECHA DE DEFUNCIÓN]]-higado[[#This Row],[FECHA_TRASPLANTE]])</f>
        <v>3533</v>
      </c>
      <c r="BV46" s="1">
        <f ca="1">IF(higado[[#This Row],[FALLECIDO_COD]]=0,TODAY()-higado[[#This Row],[FECHA_TRASPLANTE]],higado[[#This Row],[FECHA DE DEFUNCIÓN]]-higado[[#This Row],[FECHA_TRASPLANTE]])/30.4375</f>
        <v>116.07392197125257</v>
      </c>
      <c r="BW46" s="1">
        <f ca="1">IF(higado[[#This Row],[FALLECIDO_COD]]=0,TODAY()-higado[[#This Row],[FECHA_TRASPLANTE]],higado[[#This Row],[FECHA DE DEFUNCIÓN]]-higado[[#This Row],[FECHA_TRASPLANTE]])/365.25</f>
        <v>9.6728268309377139</v>
      </c>
    </row>
    <row r="47" spans="1:75" x14ac:dyDescent="0.35">
      <c r="A47" t="s">
        <v>75</v>
      </c>
      <c r="B47" t="s">
        <v>75</v>
      </c>
      <c r="D47" t="s">
        <v>380</v>
      </c>
      <c r="E47" t="s">
        <v>77</v>
      </c>
      <c r="I47">
        <v>116.17248459958932</v>
      </c>
      <c r="K47" t="s">
        <v>507</v>
      </c>
      <c r="L47" t="s">
        <v>390</v>
      </c>
      <c r="M47" t="s">
        <v>508</v>
      </c>
      <c r="N47">
        <v>109470523</v>
      </c>
      <c r="O47" s="18">
        <v>42432</v>
      </c>
      <c r="P47" t="s">
        <v>90</v>
      </c>
      <c r="Q47" s="2">
        <v>27996</v>
      </c>
      <c r="R47" s="1">
        <f>(higado[[#This Row],[FECHA_TRASPLANTE]]-higado[[#This Row],[FECHA_NAC]])/365.25</f>
        <v>39.523613963039011</v>
      </c>
      <c r="U47" t="s">
        <v>509</v>
      </c>
      <c r="V47">
        <v>15</v>
      </c>
      <c r="W47" t="s">
        <v>82</v>
      </c>
      <c r="X47" t="s">
        <v>261</v>
      </c>
      <c r="Y47" t="s">
        <v>442</v>
      </c>
      <c r="Z47" t="s">
        <v>510</v>
      </c>
      <c r="AD47">
        <v>11</v>
      </c>
      <c r="AM47" t="s">
        <v>106</v>
      </c>
      <c r="AY47" t="s">
        <v>106</v>
      </c>
      <c r="BS47" s="17">
        <f>higado[[#This Row],[FECHA_TRASPLANTE]]</f>
        <v>42432</v>
      </c>
      <c r="BT47">
        <f>IF(higado[[#This Row],[FALLECIDO SI/NO]]="NO",0,1)</f>
        <v>0</v>
      </c>
      <c r="BU47" s="1">
        <f ca="1">IF(higado[[#This Row],[FALLECIDO_COD]]=0,TODAY()-higado[[#This Row],[FECHA_TRASPLANTE]],higado[[#This Row],[FECHA DE DEFUNCIÓN]]-higado[[#This Row],[FECHA_TRASPLANTE]])</f>
        <v>3443</v>
      </c>
      <c r="BV47" s="1">
        <f ca="1">IF(higado[[#This Row],[FALLECIDO_COD]]=0,TODAY()-higado[[#This Row],[FECHA_TRASPLANTE]],higado[[#This Row],[FECHA DE DEFUNCIÓN]]-higado[[#This Row],[FECHA_TRASPLANTE]])/30.4375</f>
        <v>113.11704312114989</v>
      </c>
      <c r="BW47" s="1">
        <f ca="1">IF(higado[[#This Row],[FALLECIDO_COD]]=0,TODAY()-higado[[#This Row],[FECHA_TRASPLANTE]],higado[[#This Row],[FECHA DE DEFUNCIÓN]]-higado[[#This Row],[FECHA_TRASPLANTE]])/365.25</f>
        <v>9.4264202600958242</v>
      </c>
    </row>
    <row r="48" spans="1:75" x14ac:dyDescent="0.35">
      <c r="A48" t="s">
        <v>377</v>
      </c>
      <c r="D48" t="s">
        <v>380</v>
      </c>
      <c r="E48" t="s">
        <v>375</v>
      </c>
      <c r="H48" s="2"/>
      <c r="I48" s="3">
        <f>(higado[[#This Row],[FECHA_TRASPLANTE]]-higado[[#This Row],[FECHA_NAC_D]])/365.25</f>
        <v>116.38603696098562</v>
      </c>
      <c r="K48" t="s">
        <v>511</v>
      </c>
      <c r="L48" t="s">
        <v>512</v>
      </c>
      <c r="M48" t="s">
        <v>132</v>
      </c>
      <c r="N48">
        <v>117740069</v>
      </c>
      <c r="O48" s="18">
        <v>42510</v>
      </c>
      <c r="P48" t="s">
        <v>90</v>
      </c>
      <c r="Q48" s="2">
        <v>36628</v>
      </c>
      <c r="R48" s="1">
        <f>(higado[[#This Row],[FECHA_TRASPLANTE]]-higado[[#This Row],[FECHA_NAC]])/365.25</f>
        <v>16.10403832991102</v>
      </c>
      <c r="U48" t="s">
        <v>404</v>
      </c>
      <c r="V48">
        <v>9</v>
      </c>
      <c r="W48" t="s">
        <v>82</v>
      </c>
      <c r="X48" t="s">
        <v>83</v>
      </c>
      <c r="Y48" t="s">
        <v>83</v>
      </c>
      <c r="Z48" t="s">
        <v>502</v>
      </c>
      <c r="AD48">
        <v>13</v>
      </c>
      <c r="AM48" t="s">
        <v>86</v>
      </c>
      <c r="AN48" s="2">
        <v>42523</v>
      </c>
      <c r="BS48" s="17">
        <f>higado[[#This Row],[FECHA_TRASPLANTE]]</f>
        <v>42510</v>
      </c>
      <c r="BT48">
        <f>IF(higado[[#This Row],[FALLECIDO SI/NO]]="NO",0,1)</f>
        <v>1</v>
      </c>
      <c r="BU48" s="1">
        <f ca="1">IF(higado[[#This Row],[FALLECIDO_COD]]=0,TODAY()-higado[[#This Row],[FECHA_TRASPLANTE]],higado[[#This Row],[FECHA DE DEFUNCIÓN]]-higado[[#This Row],[FECHA_TRASPLANTE]])</f>
        <v>13</v>
      </c>
      <c r="BV48" s="1">
        <f ca="1">IF(higado[[#This Row],[FALLECIDO_COD]]=0,TODAY()-higado[[#This Row],[FECHA_TRASPLANTE]],higado[[#This Row],[FECHA DE DEFUNCIÓN]]-higado[[#This Row],[FECHA_TRASPLANTE]])/30.4375</f>
        <v>0.4271047227926078</v>
      </c>
      <c r="BW48" s="1">
        <f ca="1">IF(higado[[#This Row],[FALLECIDO_COD]]=0,TODAY()-higado[[#This Row],[FECHA_TRASPLANTE]],higado[[#This Row],[FECHA DE DEFUNCIÓN]]-higado[[#This Row],[FECHA_TRASPLANTE]])/365.25</f>
        <v>3.5592060232717319E-2</v>
      </c>
    </row>
    <row r="49" spans="1:75" x14ac:dyDescent="0.35">
      <c r="A49" t="s">
        <v>75</v>
      </c>
      <c r="B49" t="s">
        <v>75</v>
      </c>
      <c r="D49" t="s">
        <v>380</v>
      </c>
      <c r="E49" t="s">
        <v>77</v>
      </c>
      <c r="H49" s="2"/>
      <c r="I49" s="3">
        <f>(higado[[#This Row],[FECHA_TRASPLANTE]]-higado[[#This Row],[FECHA_NAC_D]])/365.25</f>
        <v>116.39425051334702</v>
      </c>
      <c r="K49" t="s">
        <v>513</v>
      </c>
      <c r="L49" t="s">
        <v>514</v>
      </c>
      <c r="M49" t="s">
        <v>99</v>
      </c>
      <c r="N49">
        <v>107020054</v>
      </c>
      <c r="O49" s="18">
        <v>42513</v>
      </c>
      <c r="P49" t="s">
        <v>81</v>
      </c>
      <c r="Q49" s="2">
        <v>24615</v>
      </c>
      <c r="R49" s="1">
        <f>(higado[[#This Row],[FECHA_TRASPLANTE]]-higado[[#This Row],[FECHA_NAC]])/365.25</f>
        <v>49.002053388090346</v>
      </c>
      <c r="U49" t="s">
        <v>515</v>
      </c>
      <c r="V49">
        <v>16</v>
      </c>
      <c r="W49" t="s">
        <v>82</v>
      </c>
      <c r="X49" t="s">
        <v>91</v>
      </c>
      <c r="Y49" t="s">
        <v>193</v>
      </c>
      <c r="Z49" t="s">
        <v>193</v>
      </c>
      <c r="AD49">
        <v>12</v>
      </c>
      <c r="AM49" t="s">
        <v>86</v>
      </c>
      <c r="AN49" s="2">
        <v>42535</v>
      </c>
      <c r="AY49" t="s">
        <v>106</v>
      </c>
      <c r="BS49" s="17">
        <f>higado[[#This Row],[FECHA_TRASPLANTE]]</f>
        <v>42513</v>
      </c>
      <c r="BT49">
        <f>IF(higado[[#This Row],[FALLECIDO SI/NO]]="NO",0,1)</f>
        <v>1</v>
      </c>
      <c r="BU49" s="1">
        <f ca="1">IF(higado[[#This Row],[FALLECIDO_COD]]=0,TODAY()-higado[[#This Row],[FECHA_TRASPLANTE]],higado[[#This Row],[FECHA DE DEFUNCIÓN]]-higado[[#This Row],[FECHA_TRASPLANTE]])</f>
        <v>22</v>
      </c>
      <c r="BV49" s="1">
        <f ca="1">IF(higado[[#This Row],[FALLECIDO_COD]]=0,TODAY()-higado[[#This Row],[FECHA_TRASPLANTE]],higado[[#This Row],[FECHA DE DEFUNCIÓN]]-higado[[#This Row],[FECHA_TRASPLANTE]])/30.4375</f>
        <v>0.7227926078028748</v>
      </c>
      <c r="BW49" s="1">
        <f ca="1">IF(higado[[#This Row],[FALLECIDO_COD]]=0,TODAY()-higado[[#This Row],[FECHA_TRASPLANTE]],higado[[#This Row],[FECHA DE DEFUNCIÓN]]-higado[[#This Row],[FECHA_TRASPLANTE]])/365.25</f>
        <v>6.0232717316906229E-2</v>
      </c>
    </row>
    <row r="50" spans="1:75" x14ac:dyDescent="0.35">
      <c r="A50" t="s">
        <v>75</v>
      </c>
      <c r="B50" t="s">
        <v>75</v>
      </c>
      <c r="D50" t="s">
        <v>380</v>
      </c>
      <c r="E50" t="s">
        <v>77</v>
      </c>
      <c r="I50">
        <v>116.54209445585215</v>
      </c>
      <c r="K50" t="s">
        <v>516</v>
      </c>
      <c r="L50" t="s">
        <v>517</v>
      </c>
      <c r="M50" t="s">
        <v>518</v>
      </c>
      <c r="N50">
        <v>105870629</v>
      </c>
      <c r="O50" s="18">
        <v>42567</v>
      </c>
      <c r="P50" t="s">
        <v>81</v>
      </c>
      <c r="Q50" s="2">
        <v>22879</v>
      </c>
      <c r="R50" s="1">
        <f>(higado[[#This Row],[FECHA_TRASPLANTE]]-higado[[#This Row],[FECHA_NAC]])/365.25</f>
        <v>53.902806297056813</v>
      </c>
      <c r="U50" t="s">
        <v>519</v>
      </c>
      <c r="V50">
        <v>13</v>
      </c>
      <c r="W50" t="s">
        <v>82</v>
      </c>
      <c r="X50" t="s">
        <v>91</v>
      </c>
      <c r="Y50" t="s">
        <v>193</v>
      </c>
      <c r="Z50" t="s">
        <v>193</v>
      </c>
      <c r="AD50">
        <v>27</v>
      </c>
      <c r="AM50" t="s">
        <v>106</v>
      </c>
      <c r="AY50" t="s">
        <v>106</v>
      </c>
      <c r="BS50" s="17">
        <f>higado[[#This Row],[FECHA_TRASPLANTE]]</f>
        <v>42567</v>
      </c>
      <c r="BT50">
        <f>IF(higado[[#This Row],[FALLECIDO SI/NO]]="NO",0,1)</f>
        <v>0</v>
      </c>
      <c r="BU50" s="1">
        <f ca="1">IF(higado[[#This Row],[FALLECIDO_COD]]=0,TODAY()-higado[[#This Row],[FECHA_TRASPLANTE]],higado[[#This Row],[FECHA DE DEFUNCIÓN]]-higado[[#This Row],[FECHA_TRASPLANTE]])</f>
        <v>3308</v>
      </c>
      <c r="BV50" s="1">
        <f ca="1">IF(higado[[#This Row],[FALLECIDO_COD]]=0,TODAY()-higado[[#This Row],[FECHA_TRASPLANTE]],higado[[#This Row],[FECHA DE DEFUNCIÓN]]-higado[[#This Row],[FECHA_TRASPLANTE]])/30.4375</f>
        <v>108.68172484599589</v>
      </c>
      <c r="BW50" s="1">
        <f ca="1">IF(higado[[#This Row],[FALLECIDO_COD]]=0,TODAY()-higado[[#This Row],[FECHA_TRASPLANTE]],higado[[#This Row],[FECHA DE DEFUNCIÓN]]-higado[[#This Row],[FECHA_TRASPLANTE]])/365.25</f>
        <v>9.0568104038329906</v>
      </c>
    </row>
    <row r="51" spans="1:75" x14ac:dyDescent="0.35">
      <c r="A51" t="s">
        <v>75</v>
      </c>
      <c r="B51" t="s">
        <v>75</v>
      </c>
      <c r="D51" t="s">
        <v>380</v>
      </c>
      <c r="E51" t="s">
        <v>77</v>
      </c>
      <c r="I51">
        <v>116.75838466803559</v>
      </c>
      <c r="K51" t="s">
        <v>520</v>
      </c>
      <c r="L51" t="s">
        <v>274</v>
      </c>
      <c r="M51" t="s">
        <v>171</v>
      </c>
      <c r="N51">
        <v>108740419</v>
      </c>
      <c r="O51" s="18">
        <v>42646</v>
      </c>
      <c r="P51" t="s">
        <v>81</v>
      </c>
      <c r="Q51" s="2">
        <v>24880</v>
      </c>
      <c r="R51" s="1">
        <f>(higado[[#This Row],[FECHA_TRASPLANTE]]-higado[[#This Row],[FECHA_NAC]])/365.25</f>
        <v>48.640657084188909</v>
      </c>
      <c r="U51" t="s">
        <v>456</v>
      </c>
      <c r="V51">
        <v>27</v>
      </c>
      <c r="W51" t="s">
        <v>82</v>
      </c>
      <c r="X51" t="s">
        <v>91</v>
      </c>
      <c r="Y51" t="s">
        <v>521</v>
      </c>
      <c r="Z51" t="s">
        <v>522</v>
      </c>
      <c r="AD51">
        <v>10</v>
      </c>
      <c r="AM51" t="s">
        <v>106</v>
      </c>
      <c r="AY51" t="s">
        <v>106</v>
      </c>
      <c r="BS51" s="17">
        <f>higado[[#This Row],[FECHA_TRASPLANTE]]</f>
        <v>42646</v>
      </c>
      <c r="BT51">
        <f>IF(higado[[#This Row],[FALLECIDO SI/NO]]="NO",0,1)</f>
        <v>0</v>
      </c>
      <c r="BU51" s="1">
        <f ca="1">IF(higado[[#This Row],[FALLECIDO_COD]]=0,TODAY()-higado[[#This Row],[FECHA_TRASPLANTE]],higado[[#This Row],[FECHA DE DEFUNCIÓN]]-higado[[#This Row],[FECHA_TRASPLANTE]])</f>
        <v>3229</v>
      </c>
      <c r="BV51" s="1">
        <f ca="1">IF(higado[[#This Row],[FALLECIDO_COD]]=0,TODAY()-higado[[#This Row],[FECHA_TRASPLANTE]],higado[[#This Row],[FECHA DE DEFUNCIÓN]]-higado[[#This Row],[FECHA_TRASPLANTE]])/30.4375</f>
        <v>106.08624229979466</v>
      </c>
      <c r="BW51" s="1">
        <f ca="1">IF(higado[[#This Row],[FALLECIDO_COD]]=0,TODAY()-higado[[#This Row],[FECHA_TRASPLANTE]],higado[[#This Row],[FECHA DE DEFUNCIÓN]]-higado[[#This Row],[FECHA_TRASPLANTE]])/365.25</f>
        <v>8.8405201916495546</v>
      </c>
    </row>
    <row r="52" spans="1:75" x14ac:dyDescent="0.35">
      <c r="A52" t="s">
        <v>75</v>
      </c>
      <c r="B52" t="s">
        <v>75</v>
      </c>
      <c r="D52" t="s">
        <v>380</v>
      </c>
      <c r="E52" t="s">
        <v>77</v>
      </c>
      <c r="I52">
        <v>116.88158795345653</v>
      </c>
      <c r="K52" t="s">
        <v>523</v>
      </c>
      <c r="L52" t="s">
        <v>524</v>
      </c>
      <c r="M52" t="s">
        <v>448</v>
      </c>
      <c r="N52">
        <v>302310091</v>
      </c>
      <c r="O52" s="18">
        <v>42691</v>
      </c>
      <c r="P52" t="s">
        <v>90</v>
      </c>
      <c r="Q52" s="2">
        <v>21315</v>
      </c>
      <c r="R52" s="1">
        <f>(higado[[#This Row],[FECHA_TRASPLANTE]]-higado[[#This Row],[FECHA_NAC]])/365.25</f>
        <v>58.5242984257358</v>
      </c>
      <c r="U52" t="s">
        <v>394</v>
      </c>
      <c r="V52">
        <v>14</v>
      </c>
      <c r="W52" t="s">
        <v>82</v>
      </c>
      <c r="X52" t="s">
        <v>110</v>
      </c>
      <c r="Y52" t="s">
        <v>110</v>
      </c>
      <c r="Z52" t="s">
        <v>182</v>
      </c>
      <c r="AD52">
        <v>12</v>
      </c>
      <c r="AM52" t="s">
        <v>106</v>
      </c>
      <c r="AY52" t="s">
        <v>106</v>
      </c>
      <c r="BS52" s="17">
        <f>higado[[#This Row],[FECHA_TRASPLANTE]]</f>
        <v>42691</v>
      </c>
      <c r="BT52">
        <f>IF(higado[[#This Row],[FALLECIDO SI/NO]]="NO",0,1)</f>
        <v>0</v>
      </c>
      <c r="BU52" s="1">
        <f ca="1">IF(higado[[#This Row],[FALLECIDO_COD]]=0,TODAY()-higado[[#This Row],[FECHA_TRASPLANTE]],higado[[#This Row],[FECHA DE DEFUNCIÓN]]-higado[[#This Row],[FECHA_TRASPLANTE]])</f>
        <v>3184</v>
      </c>
      <c r="BV52" s="1">
        <f ca="1">IF(higado[[#This Row],[FALLECIDO_COD]]=0,TODAY()-higado[[#This Row],[FECHA_TRASPLANTE]],higado[[#This Row],[FECHA DE DEFUNCIÓN]]-higado[[#This Row],[FECHA_TRASPLANTE]])/30.4375</f>
        <v>104.60780287474333</v>
      </c>
      <c r="BW52" s="1">
        <f ca="1">IF(higado[[#This Row],[FALLECIDO_COD]]=0,TODAY()-higado[[#This Row],[FECHA_TRASPLANTE]],higado[[#This Row],[FECHA DE DEFUNCIÓN]]-higado[[#This Row],[FECHA_TRASPLANTE]])/365.25</f>
        <v>8.7173169062286107</v>
      </c>
    </row>
    <row r="53" spans="1:75" x14ac:dyDescent="0.35">
      <c r="A53" t="s">
        <v>75</v>
      </c>
      <c r="B53" t="s">
        <v>75</v>
      </c>
      <c r="D53" t="s">
        <v>380</v>
      </c>
      <c r="E53" t="s">
        <v>77</v>
      </c>
      <c r="I53">
        <v>116.97467488021903</v>
      </c>
      <c r="K53" t="s">
        <v>525</v>
      </c>
      <c r="L53" t="s">
        <v>103</v>
      </c>
      <c r="M53" t="s">
        <v>526</v>
      </c>
      <c r="N53">
        <v>303000821</v>
      </c>
      <c r="O53" s="18">
        <v>42725</v>
      </c>
      <c r="P53" t="s">
        <v>81</v>
      </c>
      <c r="Q53" s="2">
        <v>25201</v>
      </c>
      <c r="R53" s="1">
        <f>(higado[[#This Row],[FECHA_TRASPLANTE]]-higado[[#This Row],[FECHA_NAC]])/365.25</f>
        <v>47.978097193702943</v>
      </c>
      <c r="U53" t="s">
        <v>394</v>
      </c>
      <c r="V53">
        <v>20</v>
      </c>
      <c r="W53" t="s">
        <v>82</v>
      </c>
      <c r="X53" t="s">
        <v>91</v>
      </c>
      <c r="Y53" t="s">
        <v>157</v>
      </c>
      <c r="Z53" t="s">
        <v>527</v>
      </c>
      <c r="AD53">
        <v>11</v>
      </c>
      <c r="AM53" t="s">
        <v>106</v>
      </c>
      <c r="AY53" t="s">
        <v>106</v>
      </c>
      <c r="BS53" s="17">
        <f>higado[[#This Row],[FECHA_TRASPLANTE]]</f>
        <v>42725</v>
      </c>
      <c r="BT53">
        <f>IF(higado[[#This Row],[FALLECIDO SI/NO]]="NO",0,1)</f>
        <v>0</v>
      </c>
      <c r="BU53" s="1">
        <f ca="1">IF(higado[[#This Row],[FALLECIDO_COD]]=0,TODAY()-higado[[#This Row],[FECHA_TRASPLANTE]],higado[[#This Row],[FECHA DE DEFUNCIÓN]]-higado[[#This Row],[FECHA_TRASPLANTE]])</f>
        <v>3150</v>
      </c>
      <c r="BV53" s="1">
        <f ca="1">IF(higado[[#This Row],[FALLECIDO_COD]]=0,TODAY()-higado[[#This Row],[FECHA_TRASPLANTE]],higado[[#This Row],[FECHA DE DEFUNCIÓN]]-higado[[#This Row],[FECHA_TRASPLANTE]])/30.4375</f>
        <v>103.49075975359342</v>
      </c>
      <c r="BW53" s="1">
        <f ca="1">IF(higado[[#This Row],[FALLECIDO_COD]]=0,TODAY()-higado[[#This Row],[FECHA_TRASPLANTE]],higado[[#This Row],[FECHA DE DEFUNCIÓN]]-higado[[#This Row],[FECHA_TRASPLANTE]])/365.25</f>
        <v>8.6242299794661186</v>
      </c>
    </row>
    <row r="54" spans="1:75" x14ac:dyDescent="0.35">
      <c r="A54" t="s">
        <v>75</v>
      </c>
      <c r="B54" t="s">
        <v>75</v>
      </c>
      <c r="D54" t="s">
        <v>380</v>
      </c>
      <c r="E54" t="s">
        <v>77</v>
      </c>
      <c r="H54" s="2"/>
      <c r="I54" s="3">
        <f>(higado[[#This Row],[FECHA_TRASPLANTE]]-higado[[#This Row],[FECHA_NAC_D]])/365.25</f>
        <v>117.34154688569473</v>
      </c>
      <c r="K54" t="s">
        <v>528</v>
      </c>
      <c r="L54" t="s">
        <v>155</v>
      </c>
      <c r="M54" t="s">
        <v>386</v>
      </c>
      <c r="N54">
        <v>203670671</v>
      </c>
      <c r="O54" s="18">
        <v>42859</v>
      </c>
      <c r="P54" t="s">
        <v>81</v>
      </c>
      <c r="Q54" s="2">
        <v>19987</v>
      </c>
      <c r="R54" s="1">
        <f>(higado[[#This Row],[FECHA_TRASPLANTE]]-higado[[#This Row],[FECHA_NAC]])/365.25</f>
        <v>62.620123203285424</v>
      </c>
      <c r="U54" t="s">
        <v>529</v>
      </c>
      <c r="V54">
        <v>7</v>
      </c>
      <c r="W54" t="s">
        <v>82</v>
      </c>
      <c r="X54" t="s">
        <v>91</v>
      </c>
      <c r="Y54" t="s">
        <v>157</v>
      </c>
      <c r="Z54" t="s">
        <v>158</v>
      </c>
      <c r="AD54">
        <v>15</v>
      </c>
      <c r="AM54" t="s">
        <v>86</v>
      </c>
      <c r="AN54" s="2">
        <v>43628</v>
      </c>
      <c r="AY54" t="s">
        <v>106</v>
      </c>
      <c r="BS54" s="17">
        <f>higado[[#This Row],[FECHA_TRASPLANTE]]</f>
        <v>42859</v>
      </c>
      <c r="BT54">
        <f>IF(higado[[#This Row],[FALLECIDO SI/NO]]="NO",0,1)</f>
        <v>1</v>
      </c>
      <c r="BU54" s="1">
        <f ca="1">IF(higado[[#This Row],[FALLECIDO_COD]]=0,TODAY()-higado[[#This Row],[FECHA_TRASPLANTE]],higado[[#This Row],[FECHA DE DEFUNCIÓN]]-higado[[#This Row],[FECHA_TRASPLANTE]])</f>
        <v>769</v>
      </c>
      <c r="BV54" s="1">
        <f ca="1">IF(higado[[#This Row],[FALLECIDO_COD]]=0,TODAY()-higado[[#This Row],[FECHA_TRASPLANTE]],higado[[#This Row],[FECHA DE DEFUNCIÓN]]-higado[[#This Row],[FECHA_TRASPLANTE]])/30.4375</f>
        <v>25.264887063655031</v>
      </c>
      <c r="BW54" s="1">
        <f ca="1">IF(higado[[#This Row],[FALLECIDO_COD]]=0,TODAY()-higado[[#This Row],[FECHA_TRASPLANTE]],higado[[#This Row],[FECHA DE DEFUNCIÓN]]-higado[[#This Row],[FECHA_TRASPLANTE]])/365.25</f>
        <v>2.1054072553045859</v>
      </c>
    </row>
    <row r="55" spans="1:75" x14ac:dyDescent="0.35">
      <c r="A55" t="s">
        <v>75</v>
      </c>
      <c r="B55" t="s">
        <v>75</v>
      </c>
      <c r="D55" t="s">
        <v>380</v>
      </c>
      <c r="E55" t="s">
        <v>77</v>
      </c>
      <c r="I55">
        <v>117.34976043805612</v>
      </c>
      <c r="K55" t="s">
        <v>530</v>
      </c>
      <c r="L55" t="s">
        <v>531</v>
      </c>
      <c r="M55" t="s">
        <v>188</v>
      </c>
      <c r="N55">
        <v>203050794</v>
      </c>
      <c r="O55" s="18">
        <v>42862</v>
      </c>
      <c r="P55" t="s">
        <v>81</v>
      </c>
      <c r="Q55" s="2">
        <v>20235</v>
      </c>
      <c r="R55" s="1">
        <f>(higado[[#This Row],[FECHA_TRASPLANTE]]-higado[[#This Row],[FECHA_NAC]])/365.25</f>
        <v>61.949349760438054</v>
      </c>
      <c r="U55" t="s">
        <v>532</v>
      </c>
      <c r="V55">
        <v>14</v>
      </c>
      <c r="W55" t="s">
        <v>82</v>
      </c>
      <c r="X55" t="s">
        <v>125</v>
      </c>
      <c r="Y55" t="s">
        <v>533</v>
      </c>
      <c r="Z55" t="s">
        <v>533</v>
      </c>
      <c r="AD55">
        <v>13</v>
      </c>
      <c r="AM55" t="s">
        <v>106</v>
      </c>
      <c r="AY55" t="s">
        <v>106</v>
      </c>
      <c r="BS55" s="17">
        <f>higado[[#This Row],[FECHA_TRASPLANTE]]</f>
        <v>42862</v>
      </c>
      <c r="BT55">
        <f>IF(higado[[#This Row],[FALLECIDO SI/NO]]="NO",0,1)</f>
        <v>0</v>
      </c>
      <c r="BU55" s="1">
        <f ca="1">IF(higado[[#This Row],[FALLECIDO_COD]]=0,TODAY()-higado[[#This Row],[FECHA_TRASPLANTE]],higado[[#This Row],[FECHA DE DEFUNCIÓN]]-higado[[#This Row],[FECHA_TRASPLANTE]])</f>
        <v>3013</v>
      </c>
      <c r="BV55" s="1">
        <f ca="1">IF(higado[[#This Row],[FALLECIDO_COD]]=0,TODAY()-higado[[#This Row],[FECHA_TRASPLANTE]],higado[[#This Row],[FECHA DE DEFUNCIÓN]]-higado[[#This Row],[FECHA_TRASPLANTE]])/30.4375</f>
        <v>98.989733059548257</v>
      </c>
      <c r="BW55" s="1">
        <f ca="1">IF(higado[[#This Row],[FALLECIDO_COD]]=0,TODAY()-higado[[#This Row],[FECHA_TRASPLANTE]],higado[[#This Row],[FECHA DE DEFUNCIÓN]]-higado[[#This Row],[FECHA_TRASPLANTE]])/365.25</f>
        <v>8.2491444216290208</v>
      </c>
    </row>
    <row r="56" spans="1:75" x14ac:dyDescent="0.35">
      <c r="A56" t="s">
        <v>377</v>
      </c>
      <c r="D56" t="s">
        <v>380</v>
      </c>
      <c r="E56" t="s">
        <v>77</v>
      </c>
      <c r="I56">
        <v>117.39630390143738</v>
      </c>
      <c r="K56" t="s">
        <v>534</v>
      </c>
      <c r="L56" t="s">
        <v>269</v>
      </c>
      <c r="M56" t="s">
        <v>535</v>
      </c>
      <c r="N56">
        <v>801200709</v>
      </c>
      <c r="O56" s="18">
        <v>42879</v>
      </c>
      <c r="P56" t="s">
        <v>90</v>
      </c>
      <c r="Q56" s="2">
        <v>28631</v>
      </c>
      <c r="R56" s="1">
        <f>(higado[[#This Row],[FECHA_TRASPLANTE]]-higado[[#This Row],[FECHA_NAC]])/365.25</f>
        <v>39.008898015058179</v>
      </c>
      <c r="U56" t="s">
        <v>536</v>
      </c>
      <c r="V56">
        <v>17</v>
      </c>
      <c r="W56" t="s">
        <v>82</v>
      </c>
      <c r="X56" t="s">
        <v>91</v>
      </c>
      <c r="Y56" t="s">
        <v>179</v>
      </c>
      <c r="Z56" t="s">
        <v>537</v>
      </c>
      <c r="AD56">
        <v>21</v>
      </c>
      <c r="AM56" t="s">
        <v>106</v>
      </c>
      <c r="AY56" t="s">
        <v>106</v>
      </c>
      <c r="BS56" s="17">
        <f>higado[[#This Row],[FECHA_TRASPLANTE]]</f>
        <v>42879</v>
      </c>
      <c r="BT56">
        <f>IF(higado[[#This Row],[FALLECIDO SI/NO]]="NO",0,1)</f>
        <v>0</v>
      </c>
      <c r="BU56" s="1">
        <f ca="1">IF(higado[[#This Row],[FALLECIDO_COD]]=0,TODAY()-higado[[#This Row],[FECHA_TRASPLANTE]],higado[[#This Row],[FECHA DE DEFUNCIÓN]]-higado[[#This Row],[FECHA_TRASPLANTE]])</f>
        <v>2996</v>
      </c>
      <c r="BV56" s="1">
        <f ca="1">IF(higado[[#This Row],[FALLECIDO_COD]]=0,TODAY()-higado[[#This Row],[FECHA_TRASPLANTE]],higado[[#This Row],[FECHA DE DEFUNCIÓN]]-higado[[#This Row],[FECHA_TRASPLANTE]])/30.4375</f>
        <v>98.431211498973312</v>
      </c>
      <c r="BW56" s="1">
        <f ca="1">IF(higado[[#This Row],[FALLECIDO_COD]]=0,TODAY()-higado[[#This Row],[FECHA_TRASPLANTE]],higado[[#This Row],[FECHA DE DEFUNCIÓN]]-higado[[#This Row],[FECHA_TRASPLANTE]])/365.25</f>
        <v>8.2026009582477748</v>
      </c>
    </row>
    <row r="57" spans="1:75" x14ac:dyDescent="0.35">
      <c r="A57" t="s">
        <v>377</v>
      </c>
      <c r="D57" t="s">
        <v>380</v>
      </c>
      <c r="E57" t="s">
        <v>77</v>
      </c>
      <c r="H57" s="2"/>
      <c r="I57" s="3">
        <f>(higado[[#This Row],[FECHA_TRASPLANTE]]-higado[[#This Row],[FECHA_NAC_D]])/365.25</f>
        <v>117.6208076659822</v>
      </c>
      <c r="K57" t="s">
        <v>424</v>
      </c>
      <c r="L57" t="s">
        <v>390</v>
      </c>
      <c r="M57" t="s">
        <v>425</v>
      </c>
      <c r="N57">
        <v>207930719</v>
      </c>
      <c r="O57" s="18">
        <v>42961</v>
      </c>
      <c r="P57" t="s">
        <v>90</v>
      </c>
      <c r="Q57" s="2">
        <v>36349</v>
      </c>
      <c r="R57" s="1">
        <f>(higado[[#This Row],[FECHA_TRASPLANTE]]-higado[[#This Row],[FECHA_NAC]])/365.25</f>
        <v>18.102669404517453</v>
      </c>
      <c r="U57" t="s">
        <v>538</v>
      </c>
      <c r="V57">
        <v>23</v>
      </c>
      <c r="W57" t="s">
        <v>82</v>
      </c>
      <c r="X57" t="s">
        <v>115</v>
      </c>
      <c r="Y57" t="s">
        <v>426</v>
      </c>
      <c r="Z57" t="s">
        <v>91</v>
      </c>
      <c r="AD57">
        <v>1</v>
      </c>
      <c r="AM57" t="s">
        <v>86</v>
      </c>
      <c r="AN57" s="2">
        <v>42962</v>
      </c>
      <c r="AY57" t="s">
        <v>86</v>
      </c>
      <c r="BS57" s="17">
        <f>higado[[#This Row],[FECHA_TRASPLANTE]]</f>
        <v>42961</v>
      </c>
      <c r="BT57">
        <f>IF(higado[[#This Row],[FALLECIDO SI/NO]]="NO",0,1)</f>
        <v>1</v>
      </c>
      <c r="BU57" s="1">
        <f ca="1">IF(higado[[#This Row],[FALLECIDO_COD]]=0,TODAY()-higado[[#This Row],[FECHA_TRASPLANTE]],higado[[#This Row],[FECHA DE DEFUNCIÓN]]-higado[[#This Row],[FECHA_TRASPLANTE]])</f>
        <v>1</v>
      </c>
      <c r="BV57" s="1">
        <f ca="1">IF(higado[[#This Row],[FALLECIDO_COD]]=0,TODAY()-higado[[#This Row],[FECHA_TRASPLANTE]],higado[[#This Row],[FECHA DE DEFUNCIÓN]]-higado[[#This Row],[FECHA_TRASPLANTE]])/30.4375</f>
        <v>3.2854209445585217E-2</v>
      </c>
      <c r="BW57" s="1">
        <f ca="1">IF(higado[[#This Row],[FALLECIDO_COD]]=0,TODAY()-higado[[#This Row],[FECHA_TRASPLANTE]],higado[[#This Row],[FECHA DE DEFUNCIÓN]]-higado[[#This Row],[FECHA_TRASPLANTE]])/365.25</f>
        <v>2.7378507871321013E-3</v>
      </c>
    </row>
    <row r="58" spans="1:75" x14ac:dyDescent="0.35">
      <c r="A58" t="s">
        <v>75</v>
      </c>
      <c r="B58" t="s">
        <v>75</v>
      </c>
      <c r="D58" t="s">
        <v>380</v>
      </c>
      <c r="E58" t="s">
        <v>77</v>
      </c>
      <c r="H58" s="2"/>
      <c r="I58" s="3">
        <f>(higado[[#This Row],[FECHA_TRASPLANTE]]-higado[[#This Row],[FECHA_NAC_D]])/365.25</f>
        <v>117.63997262149213</v>
      </c>
      <c r="K58" t="s">
        <v>539</v>
      </c>
      <c r="L58" t="s">
        <v>540</v>
      </c>
      <c r="M58" t="s">
        <v>541</v>
      </c>
      <c r="N58">
        <v>600991440</v>
      </c>
      <c r="O58" s="18">
        <v>42968</v>
      </c>
      <c r="P58" t="s">
        <v>81</v>
      </c>
      <c r="Q58" s="2">
        <v>19045</v>
      </c>
      <c r="R58" s="1">
        <f>(higado[[#This Row],[FECHA_TRASPLANTE]]-higado[[#This Row],[FECHA_NAC]])/365.25</f>
        <v>65.497604380561256</v>
      </c>
      <c r="U58" t="s">
        <v>529</v>
      </c>
      <c r="V58">
        <v>10</v>
      </c>
      <c r="W58" t="s">
        <v>82</v>
      </c>
      <c r="X58" t="s">
        <v>83</v>
      </c>
      <c r="Y58" t="s">
        <v>84</v>
      </c>
      <c r="Z58" t="s">
        <v>83</v>
      </c>
      <c r="AD58">
        <v>11</v>
      </c>
      <c r="AM58" t="s">
        <v>86</v>
      </c>
      <c r="AN58" s="2">
        <v>43926</v>
      </c>
      <c r="AY58" t="s">
        <v>106</v>
      </c>
      <c r="BS58" s="17">
        <f>higado[[#This Row],[FECHA_TRASPLANTE]]</f>
        <v>42968</v>
      </c>
      <c r="BT58">
        <f>IF(higado[[#This Row],[FALLECIDO SI/NO]]="NO",0,1)</f>
        <v>1</v>
      </c>
      <c r="BU58" s="1">
        <f ca="1">IF(higado[[#This Row],[FALLECIDO_COD]]=0,TODAY()-higado[[#This Row],[FECHA_TRASPLANTE]],higado[[#This Row],[FECHA DE DEFUNCIÓN]]-higado[[#This Row],[FECHA_TRASPLANTE]])</f>
        <v>958</v>
      </c>
      <c r="BV58" s="1">
        <f ca="1">IF(higado[[#This Row],[FALLECIDO_COD]]=0,TODAY()-higado[[#This Row],[FECHA_TRASPLANTE]],higado[[#This Row],[FECHA DE DEFUNCIÓN]]-higado[[#This Row],[FECHA_TRASPLANTE]])/30.4375</f>
        <v>31.474332648870636</v>
      </c>
      <c r="BW58" s="1">
        <f ca="1">IF(higado[[#This Row],[FALLECIDO_COD]]=0,TODAY()-higado[[#This Row],[FECHA_TRASPLANTE]],higado[[#This Row],[FECHA DE DEFUNCIÓN]]-higado[[#This Row],[FECHA_TRASPLANTE]])/365.25</f>
        <v>2.622861054072553</v>
      </c>
    </row>
    <row r="59" spans="1:75" x14ac:dyDescent="0.35">
      <c r="A59" t="s">
        <v>75</v>
      </c>
      <c r="B59" t="s">
        <v>75</v>
      </c>
      <c r="D59" t="s">
        <v>380</v>
      </c>
      <c r="E59" t="s">
        <v>77</v>
      </c>
      <c r="H59" s="2"/>
      <c r="I59" s="3">
        <f>(higado[[#This Row],[FECHA_TRASPLANTE]]-higado[[#This Row],[FECHA_NAC_D]])/365.25</f>
        <v>117.77960301163587</v>
      </c>
      <c r="K59" t="s">
        <v>542</v>
      </c>
      <c r="L59" t="s">
        <v>269</v>
      </c>
      <c r="M59" t="s">
        <v>338</v>
      </c>
      <c r="N59">
        <v>104320935</v>
      </c>
      <c r="O59" s="18">
        <v>43019</v>
      </c>
      <c r="P59" t="s">
        <v>90</v>
      </c>
      <c r="Q59" s="2">
        <v>19970</v>
      </c>
      <c r="R59" s="1">
        <f>(higado[[#This Row],[FECHA_TRASPLANTE]]-higado[[#This Row],[FECHA_NAC]])/365.25</f>
        <v>63.104722792607802</v>
      </c>
      <c r="U59" t="s">
        <v>543</v>
      </c>
      <c r="V59">
        <v>13</v>
      </c>
      <c r="W59" t="s">
        <v>82</v>
      </c>
      <c r="X59" t="s">
        <v>91</v>
      </c>
      <c r="Y59" t="s">
        <v>157</v>
      </c>
      <c r="Z59" t="s">
        <v>158</v>
      </c>
      <c r="AD59">
        <v>10</v>
      </c>
      <c r="AM59" t="s">
        <v>86</v>
      </c>
      <c r="AN59" s="2">
        <v>44299</v>
      </c>
      <c r="AY59" t="s">
        <v>106</v>
      </c>
      <c r="BS59" s="17">
        <f>higado[[#This Row],[FECHA_TRASPLANTE]]</f>
        <v>43019</v>
      </c>
      <c r="BT59">
        <f>IF(higado[[#This Row],[FALLECIDO SI/NO]]="NO",0,1)</f>
        <v>1</v>
      </c>
      <c r="BU59" s="1">
        <f ca="1">IF(higado[[#This Row],[FALLECIDO_COD]]=0,TODAY()-higado[[#This Row],[FECHA_TRASPLANTE]],higado[[#This Row],[FECHA DE DEFUNCIÓN]]-higado[[#This Row],[FECHA_TRASPLANTE]])</f>
        <v>1280</v>
      </c>
      <c r="BV59" s="1">
        <f ca="1">IF(higado[[#This Row],[FALLECIDO_COD]]=0,TODAY()-higado[[#This Row],[FECHA_TRASPLANTE]],higado[[#This Row],[FECHA DE DEFUNCIÓN]]-higado[[#This Row],[FECHA_TRASPLANTE]])/30.4375</f>
        <v>42.053388090349074</v>
      </c>
      <c r="BW59" s="1">
        <f ca="1">IF(higado[[#This Row],[FALLECIDO_COD]]=0,TODAY()-higado[[#This Row],[FECHA_TRASPLANTE]],higado[[#This Row],[FECHA DE DEFUNCIÓN]]-higado[[#This Row],[FECHA_TRASPLANTE]])/365.25</f>
        <v>3.5044490075290895</v>
      </c>
    </row>
    <row r="60" spans="1:75" x14ac:dyDescent="0.35">
      <c r="A60" t="s">
        <v>75</v>
      </c>
      <c r="B60" t="s">
        <v>75</v>
      </c>
      <c r="D60" t="s">
        <v>380</v>
      </c>
      <c r="E60" t="s">
        <v>77</v>
      </c>
      <c r="I60">
        <v>117.83162217659138</v>
      </c>
      <c r="K60" t="s">
        <v>97</v>
      </c>
      <c r="L60" t="s">
        <v>408</v>
      </c>
      <c r="M60" t="s">
        <v>132</v>
      </c>
      <c r="N60">
        <v>105530983</v>
      </c>
      <c r="O60" s="18">
        <v>43038</v>
      </c>
      <c r="P60" t="s">
        <v>81</v>
      </c>
      <c r="Q60" s="2">
        <v>22224</v>
      </c>
      <c r="R60" s="1">
        <f>(higado[[#This Row],[FECHA_TRASPLANTE]]-higado[[#This Row],[FECHA_NAC]])/365.25</f>
        <v>56.985626283367559</v>
      </c>
      <c r="U60" t="s">
        <v>416</v>
      </c>
      <c r="V60">
        <v>10</v>
      </c>
      <c r="W60" t="s">
        <v>82</v>
      </c>
      <c r="X60" t="s">
        <v>91</v>
      </c>
      <c r="Y60" t="s">
        <v>84</v>
      </c>
      <c r="Z60" t="s">
        <v>450</v>
      </c>
      <c r="AD60">
        <v>9</v>
      </c>
      <c r="AM60" t="s">
        <v>106</v>
      </c>
      <c r="AY60" t="s">
        <v>106</v>
      </c>
      <c r="BS60" s="17">
        <f>higado[[#This Row],[FECHA_TRASPLANTE]]</f>
        <v>43038</v>
      </c>
      <c r="BT60">
        <f>IF(higado[[#This Row],[FALLECIDO SI/NO]]="NO",0,1)</f>
        <v>0</v>
      </c>
      <c r="BU60" s="1">
        <f ca="1">IF(higado[[#This Row],[FALLECIDO_COD]]=0,TODAY()-higado[[#This Row],[FECHA_TRASPLANTE]],higado[[#This Row],[FECHA DE DEFUNCIÓN]]-higado[[#This Row],[FECHA_TRASPLANTE]])</f>
        <v>2837</v>
      </c>
      <c r="BV60" s="1">
        <f ca="1">IF(higado[[#This Row],[FALLECIDO_COD]]=0,TODAY()-higado[[#This Row],[FECHA_TRASPLANTE]],higado[[#This Row],[FECHA DE DEFUNCIÓN]]-higado[[#This Row],[FECHA_TRASPLANTE]])/30.4375</f>
        <v>93.207392197125259</v>
      </c>
      <c r="BW60" s="1">
        <f ca="1">IF(higado[[#This Row],[FALLECIDO_COD]]=0,TODAY()-higado[[#This Row],[FECHA_TRASPLANTE]],higado[[#This Row],[FECHA DE DEFUNCIÓN]]-higado[[#This Row],[FECHA_TRASPLANTE]])/365.25</f>
        <v>7.7672826830937716</v>
      </c>
    </row>
    <row r="61" spans="1:75" x14ac:dyDescent="0.35">
      <c r="A61" t="s">
        <v>75</v>
      </c>
      <c r="B61" t="s">
        <v>75</v>
      </c>
      <c r="D61" t="s">
        <v>380</v>
      </c>
      <c r="E61" t="s">
        <v>77</v>
      </c>
      <c r="I61">
        <v>117.88090349075975</v>
      </c>
      <c r="K61" t="s">
        <v>544</v>
      </c>
      <c r="L61" t="s">
        <v>108</v>
      </c>
      <c r="M61" t="s">
        <v>531</v>
      </c>
      <c r="N61">
        <v>302220930</v>
      </c>
      <c r="O61" s="18">
        <v>43056</v>
      </c>
      <c r="P61" t="s">
        <v>81</v>
      </c>
      <c r="Q61" s="2">
        <v>21152</v>
      </c>
      <c r="R61" s="1">
        <f>(higado[[#This Row],[FECHA_TRASPLANTE]]-higado[[#This Row],[FECHA_NAC]])/365.25</f>
        <v>59.969883641341546</v>
      </c>
      <c r="U61" t="s">
        <v>416</v>
      </c>
      <c r="V61">
        <v>13</v>
      </c>
      <c r="W61" t="s">
        <v>82</v>
      </c>
      <c r="X61" t="s">
        <v>110</v>
      </c>
      <c r="Y61" t="s">
        <v>134</v>
      </c>
      <c r="Z61" t="s">
        <v>134</v>
      </c>
      <c r="AD61">
        <v>12</v>
      </c>
      <c r="AM61" t="s">
        <v>106</v>
      </c>
      <c r="AY61" t="s">
        <v>106</v>
      </c>
      <c r="BS61" s="17">
        <f>higado[[#This Row],[FECHA_TRASPLANTE]]</f>
        <v>43056</v>
      </c>
      <c r="BT61">
        <f>IF(higado[[#This Row],[FALLECIDO SI/NO]]="NO",0,1)</f>
        <v>0</v>
      </c>
      <c r="BU61" s="1">
        <f ca="1">IF(higado[[#This Row],[FALLECIDO_COD]]=0,TODAY()-higado[[#This Row],[FECHA_TRASPLANTE]],higado[[#This Row],[FECHA DE DEFUNCIÓN]]-higado[[#This Row],[FECHA_TRASPLANTE]])</f>
        <v>2819</v>
      </c>
      <c r="BV61" s="1">
        <f ca="1">IF(higado[[#This Row],[FALLECIDO_COD]]=0,TODAY()-higado[[#This Row],[FECHA_TRASPLANTE]],higado[[#This Row],[FECHA DE DEFUNCIÓN]]-higado[[#This Row],[FECHA_TRASPLANTE]])/30.4375</f>
        <v>92.616016427104725</v>
      </c>
      <c r="BW61" s="1">
        <f ca="1">IF(higado[[#This Row],[FALLECIDO_COD]]=0,TODAY()-higado[[#This Row],[FECHA_TRASPLANTE]],higado[[#This Row],[FECHA DE DEFUNCIÓN]]-higado[[#This Row],[FECHA_TRASPLANTE]])/365.25</f>
        <v>7.7180013689253935</v>
      </c>
    </row>
    <row r="62" spans="1:75" x14ac:dyDescent="0.35">
      <c r="A62" t="s">
        <v>75</v>
      </c>
      <c r="B62" t="s">
        <v>75</v>
      </c>
      <c r="D62" t="s">
        <v>380</v>
      </c>
      <c r="E62" t="s">
        <v>77</v>
      </c>
      <c r="I62">
        <v>118.00958247775496</v>
      </c>
      <c r="K62" t="s">
        <v>545</v>
      </c>
      <c r="L62" t="s">
        <v>546</v>
      </c>
      <c r="M62" t="s">
        <v>547</v>
      </c>
      <c r="N62">
        <v>105760831</v>
      </c>
      <c r="O62" s="18">
        <v>43103</v>
      </c>
      <c r="P62" t="s">
        <v>81</v>
      </c>
      <c r="Q62" s="2">
        <v>20507</v>
      </c>
      <c r="R62" s="1">
        <f>(higado[[#This Row],[FECHA_TRASPLANTE]]-higado[[#This Row],[FECHA_NAC]])/365.25</f>
        <v>61.864476386036962</v>
      </c>
      <c r="U62" t="s">
        <v>548</v>
      </c>
      <c r="V62">
        <v>12</v>
      </c>
      <c r="W62" t="s">
        <v>82</v>
      </c>
      <c r="X62" t="s">
        <v>125</v>
      </c>
      <c r="Y62" t="s">
        <v>441</v>
      </c>
      <c r="Z62" t="s">
        <v>549</v>
      </c>
      <c r="AD62">
        <v>9</v>
      </c>
      <c r="AM62" t="s">
        <v>106</v>
      </c>
      <c r="AY62" t="s">
        <v>106</v>
      </c>
      <c r="BS62" s="17">
        <f>higado[[#This Row],[FECHA_TRASPLANTE]]</f>
        <v>43103</v>
      </c>
      <c r="BT62">
        <f>IF(higado[[#This Row],[FALLECIDO SI/NO]]="NO",0,1)</f>
        <v>0</v>
      </c>
      <c r="BU62" s="1">
        <f ca="1">IF(higado[[#This Row],[FALLECIDO_COD]]=0,TODAY()-higado[[#This Row],[FECHA_TRASPLANTE]],higado[[#This Row],[FECHA DE DEFUNCIÓN]]-higado[[#This Row],[FECHA_TRASPLANTE]])</f>
        <v>2772</v>
      </c>
      <c r="BV62" s="1">
        <f ca="1">IF(higado[[#This Row],[FALLECIDO_COD]]=0,TODAY()-higado[[#This Row],[FECHA_TRASPLANTE]],higado[[#This Row],[FECHA DE DEFUNCIÓN]]-higado[[#This Row],[FECHA_TRASPLANTE]])/30.4375</f>
        <v>91.071868583162214</v>
      </c>
      <c r="BW62" s="1">
        <f ca="1">IF(higado[[#This Row],[FALLECIDO_COD]]=0,TODAY()-higado[[#This Row],[FECHA_TRASPLANTE]],higado[[#This Row],[FECHA DE DEFUNCIÓN]]-higado[[#This Row],[FECHA_TRASPLANTE]])/365.25</f>
        <v>7.5893223819301845</v>
      </c>
    </row>
    <row r="63" spans="1:75" x14ac:dyDescent="0.35">
      <c r="A63" t="s">
        <v>75</v>
      </c>
      <c r="B63" t="s">
        <v>75</v>
      </c>
      <c r="D63" t="s">
        <v>380</v>
      </c>
      <c r="E63" t="s">
        <v>77</v>
      </c>
      <c r="I63">
        <v>118.05886379192334</v>
      </c>
      <c r="K63" t="s">
        <v>550</v>
      </c>
      <c r="L63" t="s">
        <v>551</v>
      </c>
      <c r="M63" t="s">
        <v>224</v>
      </c>
      <c r="N63">
        <v>104900707</v>
      </c>
      <c r="O63" s="18">
        <v>43121</v>
      </c>
      <c r="P63" t="s">
        <v>81</v>
      </c>
      <c r="Q63" s="2">
        <v>21214</v>
      </c>
      <c r="R63" s="1">
        <f>(higado[[#This Row],[FECHA_TRASPLANTE]]-higado[[#This Row],[FECHA_NAC]])/365.25</f>
        <v>59.978097193702943</v>
      </c>
      <c r="U63" t="s">
        <v>552</v>
      </c>
      <c r="V63">
        <v>16</v>
      </c>
      <c r="W63" t="s">
        <v>82</v>
      </c>
      <c r="X63" t="s">
        <v>91</v>
      </c>
      <c r="Y63" t="s">
        <v>553</v>
      </c>
      <c r="Z63" t="s">
        <v>553</v>
      </c>
      <c r="AD63">
        <v>16</v>
      </c>
      <c r="AM63" t="s">
        <v>106</v>
      </c>
      <c r="AY63" t="s">
        <v>106</v>
      </c>
      <c r="BS63" s="17">
        <f>higado[[#This Row],[FECHA_TRASPLANTE]]</f>
        <v>43121</v>
      </c>
      <c r="BT63">
        <f>IF(higado[[#This Row],[FALLECIDO SI/NO]]="NO",0,1)</f>
        <v>0</v>
      </c>
      <c r="BU63" s="1">
        <f ca="1">IF(higado[[#This Row],[FALLECIDO_COD]]=0,TODAY()-higado[[#This Row],[FECHA_TRASPLANTE]],higado[[#This Row],[FECHA DE DEFUNCIÓN]]-higado[[#This Row],[FECHA_TRASPLANTE]])</f>
        <v>2754</v>
      </c>
      <c r="BV63" s="1">
        <f ca="1">IF(higado[[#This Row],[FALLECIDO_COD]]=0,TODAY()-higado[[#This Row],[FECHA_TRASPLANTE]],higado[[#This Row],[FECHA DE DEFUNCIÓN]]-higado[[#This Row],[FECHA_TRASPLANTE]])/30.4375</f>
        <v>90.48049281314168</v>
      </c>
      <c r="BW63" s="1">
        <f ca="1">IF(higado[[#This Row],[FALLECIDO_COD]]=0,TODAY()-higado[[#This Row],[FECHA_TRASPLANTE]],higado[[#This Row],[FECHA DE DEFUNCIÓN]]-higado[[#This Row],[FECHA_TRASPLANTE]])/365.25</f>
        <v>7.5400410677618073</v>
      </c>
    </row>
    <row r="64" spans="1:75" x14ac:dyDescent="0.35">
      <c r="A64" t="s">
        <v>75</v>
      </c>
      <c r="B64" t="s">
        <v>75</v>
      </c>
      <c r="D64" t="s">
        <v>380</v>
      </c>
      <c r="E64" t="s">
        <v>77</v>
      </c>
      <c r="I64">
        <v>118.1409993155373</v>
      </c>
      <c r="K64" t="s">
        <v>554</v>
      </c>
      <c r="L64" t="s">
        <v>403</v>
      </c>
      <c r="M64" t="s">
        <v>94</v>
      </c>
      <c r="N64">
        <v>117390079</v>
      </c>
      <c r="O64" s="18">
        <v>43151</v>
      </c>
      <c r="P64" t="s">
        <v>81</v>
      </c>
      <c r="Q64" s="2">
        <v>36213</v>
      </c>
      <c r="R64" s="1">
        <f>(higado[[#This Row],[FECHA_TRASPLANTE]]-higado[[#This Row],[FECHA_NAC]])/365.25</f>
        <v>18.99520876112252</v>
      </c>
      <c r="U64" t="s">
        <v>391</v>
      </c>
      <c r="V64">
        <v>20</v>
      </c>
      <c r="W64" t="s">
        <v>82</v>
      </c>
      <c r="X64" t="s">
        <v>91</v>
      </c>
      <c r="Y64" t="s">
        <v>434</v>
      </c>
      <c r="Z64" t="s">
        <v>454</v>
      </c>
      <c r="AD64">
        <v>23</v>
      </c>
      <c r="AM64" t="s">
        <v>106</v>
      </c>
      <c r="AY64" t="s">
        <v>106</v>
      </c>
      <c r="BS64" s="17">
        <f>higado[[#This Row],[FECHA_TRASPLANTE]]</f>
        <v>43151</v>
      </c>
      <c r="BT64">
        <f>IF(higado[[#This Row],[FALLECIDO SI/NO]]="NO",0,1)</f>
        <v>0</v>
      </c>
      <c r="BU64" s="1">
        <f ca="1">IF(higado[[#This Row],[FALLECIDO_COD]]=0,TODAY()-higado[[#This Row],[FECHA_TRASPLANTE]],higado[[#This Row],[FECHA DE DEFUNCIÓN]]-higado[[#This Row],[FECHA_TRASPLANTE]])</f>
        <v>2724</v>
      </c>
      <c r="BV64" s="1">
        <f ca="1">IF(higado[[#This Row],[FALLECIDO_COD]]=0,TODAY()-higado[[#This Row],[FECHA_TRASPLANTE]],higado[[#This Row],[FECHA DE DEFUNCIÓN]]-higado[[#This Row],[FECHA_TRASPLANTE]])/30.4375</f>
        <v>89.494866529774129</v>
      </c>
      <c r="BW64" s="1">
        <f ca="1">IF(higado[[#This Row],[FALLECIDO_COD]]=0,TODAY()-higado[[#This Row],[FECHA_TRASPLANTE]],higado[[#This Row],[FECHA DE DEFUNCIÓN]]-higado[[#This Row],[FECHA_TRASPLANTE]])/365.25</f>
        <v>7.4579055441478443</v>
      </c>
    </row>
    <row r="65" spans="1:75" x14ac:dyDescent="0.35">
      <c r="A65" t="s">
        <v>377</v>
      </c>
      <c r="D65" t="s">
        <v>380</v>
      </c>
      <c r="E65" t="s">
        <v>77</v>
      </c>
      <c r="H65" s="2"/>
      <c r="I65" s="3">
        <f>(higado[[#This Row],[FECHA_TRASPLANTE]]-higado[[#This Row],[FECHA_NAC_D]])/365.25</f>
        <v>118.21492128678987</v>
      </c>
      <c r="K65" t="s">
        <v>555</v>
      </c>
      <c r="L65" t="s">
        <v>556</v>
      </c>
      <c r="M65" t="s">
        <v>557</v>
      </c>
      <c r="N65">
        <v>604460903</v>
      </c>
      <c r="O65" s="18">
        <v>43178</v>
      </c>
      <c r="P65" t="s">
        <v>90</v>
      </c>
      <c r="Q65" s="2">
        <v>35984</v>
      </c>
      <c r="R65" s="1">
        <f>(higado[[#This Row],[FECHA_TRASPLANTE]]-higado[[#This Row],[FECHA_NAC]])/365.25</f>
        <v>19.696098562628336</v>
      </c>
      <c r="U65" t="s">
        <v>558</v>
      </c>
      <c r="V65">
        <v>9</v>
      </c>
      <c r="W65" t="s">
        <v>82</v>
      </c>
      <c r="X65" t="s">
        <v>83</v>
      </c>
      <c r="Y65" t="s">
        <v>83</v>
      </c>
      <c r="Z65" t="s">
        <v>559</v>
      </c>
      <c r="AD65">
        <v>19</v>
      </c>
      <c r="AM65" t="s">
        <v>86</v>
      </c>
      <c r="AN65" s="2">
        <v>43197</v>
      </c>
      <c r="BS65" s="17">
        <f>higado[[#This Row],[FECHA_TRASPLANTE]]</f>
        <v>43178</v>
      </c>
      <c r="BT65">
        <f>IF(higado[[#This Row],[FALLECIDO SI/NO]]="NO",0,1)</f>
        <v>1</v>
      </c>
      <c r="BU65" s="1">
        <f ca="1">IF(higado[[#This Row],[FALLECIDO_COD]]=0,TODAY()-higado[[#This Row],[FECHA_TRASPLANTE]],higado[[#This Row],[FECHA DE DEFUNCIÓN]]-higado[[#This Row],[FECHA_TRASPLANTE]])</f>
        <v>19</v>
      </c>
      <c r="BV65" s="1">
        <f ca="1">IF(higado[[#This Row],[FALLECIDO_COD]]=0,TODAY()-higado[[#This Row],[FECHA_TRASPLANTE]],higado[[#This Row],[FECHA DE DEFUNCIÓN]]-higado[[#This Row],[FECHA_TRASPLANTE]])/30.4375</f>
        <v>0.62422997946611913</v>
      </c>
      <c r="BW65" s="1">
        <f ca="1">IF(higado[[#This Row],[FALLECIDO_COD]]=0,TODAY()-higado[[#This Row],[FECHA_TRASPLANTE]],higado[[#This Row],[FECHA DE DEFUNCIÓN]]-higado[[#This Row],[FECHA_TRASPLANTE]])/365.25</f>
        <v>5.2019164955509928E-2</v>
      </c>
    </row>
    <row r="66" spans="1:75" x14ac:dyDescent="0.35">
      <c r="A66" t="s">
        <v>75</v>
      </c>
      <c r="B66" t="s">
        <v>75</v>
      </c>
      <c r="D66" t="s">
        <v>380</v>
      </c>
      <c r="E66" t="s">
        <v>77</v>
      </c>
      <c r="I66">
        <v>118.31895961670089</v>
      </c>
      <c r="K66" t="s">
        <v>560</v>
      </c>
      <c r="L66" t="s">
        <v>561</v>
      </c>
      <c r="M66" t="s">
        <v>108</v>
      </c>
      <c r="N66">
        <v>107390624</v>
      </c>
      <c r="O66" s="18">
        <v>43216</v>
      </c>
      <c r="P66" t="s">
        <v>81</v>
      </c>
      <c r="Q66" s="2">
        <v>25240</v>
      </c>
      <c r="R66" s="1">
        <f>(higado[[#This Row],[FECHA_TRASPLANTE]]-higado[[#This Row],[FECHA_NAC]])/365.25</f>
        <v>49.215605749486656</v>
      </c>
      <c r="U66" t="s">
        <v>416</v>
      </c>
      <c r="V66">
        <v>17</v>
      </c>
      <c r="W66" t="s">
        <v>82</v>
      </c>
      <c r="X66" t="s">
        <v>91</v>
      </c>
      <c r="Y66" t="s">
        <v>193</v>
      </c>
      <c r="Z66" t="s">
        <v>193</v>
      </c>
      <c r="AD66">
        <v>5</v>
      </c>
      <c r="AM66" t="s">
        <v>106</v>
      </c>
      <c r="AY66" t="s">
        <v>106</v>
      </c>
      <c r="BS66" s="17">
        <f>higado[[#This Row],[FECHA_TRASPLANTE]]</f>
        <v>43216</v>
      </c>
      <c r="BT66">
        <f>IF(higado[[#This Row],[FALLECIDO SI/NO]]="NO",0,1)</f>
        <v>0</v>
      </c>
      <c r="BU66" s="1">
        <f ca="1">IF(higado[[#This Row],[FALLECIDO_COD]]=0,TODAY()-higado[[#This Row],[FECHA_TRASPLANTE]],higado[[#This Row],[FECHA DE DEFUNCIÓN]]-higado[[#This Row],[FECHA_TRASPLANTE]])</f>
        <v>2659</v>
      </c>
      <c r="BV66" s="1">
        <f ca="1">IF(higado[[#This Row],[FALLECIDO_COD]]=0,TODAY()-higado[[#This Row],[FECHA_TRASPLANTE]],higado[[#This Row],[FECHA DE DEFUNCIÓN]]-higado[[#This Row],[FECHA_TRASPLANTE]])/30.4375</f>
        <v>87.359342915811084</v>
      </c>
      <c r="BW66" s="1">
        <f ca="1">IF(higado[[#This Row],[FALLECIDO_COD]]=0,TODAY()-higado[[#This Row],[FECHA_TRASPLANTE]],higado[[#This Row],[FECHA DE DEFUNCIÓN]]-higado[[#This Row],[FECHA_TRASPLANTE]])/365.25</f>
        <v>7.2799452429842573</v>
      </c>
    </row>
    <row r="67" spans="1:75" x14ac:dyDescent="0.35">
      <c r="A67" t="s">
        <v>377</v>
      </c>
      <c r="D67" t="s">
        <v>380</v>
      </c>
      <c r="E67" t="s">
        <v>77</v>
      </c>
      <c r="I67">
        <v>118.33264887063655</v>
      </c>
      <c r="K67" t="s">
        <v>562</v>
      </c>
      <c r="L67" t="s">
        <v>258</v>
      </c>
      <c r="M67" t="s">
        <v>203</v>
      </c>
      <c r="N67">
        <v>110940765</v>
      </c>
      <c r="O67" s="18">
        <v>43221</v>
      </c>
      <c r="P67" t="s">
        <v>81</v>
      </c>
      <c r="Q67" s="2">
        <v>29635</v>
      </c>
      <c r="R67" s="1">
        <f>(higado[[#This Row],[FECHA_TRASPLANTE]]-higado[[#This Row],[FECHA_NAC]])/365.25</f>
        <v>37.196440793976727</v>
      </c>
      <c r="U67" t="s">
        <v>563</v>
      </c>
      <c r="V67">
        <v>16</v>
      </c>
      <c r="W67" t="s">
        <v>82</v>
      </c>
      <c r="X67" t="s">
        <v>91</v>
      </c>
      <c r="Y67" t="s">
        <v>179</v>
      </c>
      <c r="Z67" t="s">
        <v>180</v>
      </c>
      <c r="AD67">
        <v>23</v>
      </c>
      <c r="AM67" t="s">
        <v>106</v>
      </c>
      <c r="AY67" t="s">
        <v>106</v>
      </c>
      <c r="BS67" s="17">
        <f>higado[[#This Row],[FECHA_TRASPLANTE]]</f>
        <v>43221</v>
      </c>
      <c r="BT67">
        <f>IF(higado[[#This Row],[FALLECIDO SI/NO]]="NO",0,1)</f>
        <v>0</v>
      </c>
      <c r="BU67" s="1">
        <f ca="1">IF(higado[[#This Row],[FALLECIDO_COD]]=0,TODAY()-higado[[#This Row],[FECHA_TRASPLANTE]],higado[[#This Row],[FECHA DE DEFUNCIÓN]]-higado[[#This Row],[FECHA_TRASPLANTE]])</f>
        <v>2654</v>
      </c>
      <c r="BV67" s="1">
        <f ca="1">IF(higado[[#This Row],[FALLECIDO_COD]]=0,TODAY()-higado[[#This Row],[FECHA_TRASPLANTE]],higado[[#This Row],[FECHA DE DEFUNCIÓN]]-higado[[#This Row],[FECHA_TRASPLANTE]])/30.4375</f>
        <v>87.195071868583156</v>
      </c>
      <c r="BW67" s="1">
        <f ca="1">IF(higado[[#This Row],[FALLECIDO_COD]]=0,TODAY()-higado[[#This Row],[FECHA_TRASPLANTE]],higado[[#This Row],[FECHA DE DEFUNCIÓN]]-higado[[#This Row],[FECHA_TRASPLANTE]])/365.25</f>
        <v>7.2662559890485969</v>
      </c>
    </row>
    <row r="68" spans="1:75" x14ac:dyDescent="0.35">
      <c r="A68" t="s">
        <v>75</v>
      </c>
      <c r="B68" t="s">
        <v>75</v>
      </c>
      <c r="D68" t="s">
        <v>380</v>
      </c>
      <c r="E68" t="s">
        <v>77</v>
      </c>
      <c r="H68" s="2"/>
      <c r="I68" s="3">
        <f>(higado[[#This Row],[FECHA_TRASPLANTE]]-higado[[#This Row],[FECHA_NAC_D]])/365.25</f>
        <v>118.35181382614647</v>
      </c>
      <c r="K68" t="s">
        <v>307</v>
      </c>
      <c r="L68" t="s">
        <v>170</v>
      </c>
      <c r="M68" t="s">
        <v>132</v>
      </c>
      <c r="N68">
        <v>101410291</v>
      </c>
      <c r="O68" s="18">
        <v>43228</v>
      </c>
      <c r="P68" t="s">
        <v>90</v>
      </c>
      <c r="Q68" s="2">
        <v>7765</v>
      </c>
      <c r="R68" s="1">
        <f>(higado[[#This Row],[FECHA_TRASPLANTE]]-higado[[#This Row],[FECHA_NAC]])/365.25</f>
        <v>97.092402464065714</v>
      </c>
      <c r="U68" t="s">
        <v>564</v>
      </c>
      <c r="V68">
        <v>38</v>
      </c>
      <c r="W68" t="s">
        <v>82</v>
      </c>
      <c r="X68" t="s">
        <v>91</v>
      </c>
      <c r="Y68" t="s">
        <v>193</v>
      </c>
      <c r="Z68" t="s">
        <v>193</v>
      </c>
      <c r="AD68">
        <v>20</v>
      </c>
      <c r="AM68" t="s">
        <v>86</v>
      </c>
      <c r="AN68" s="2">
        <v>36724</v>
      </c>
      <c r="AY68" t="s">
        <v>106</v>
      </c>
      <c r="BS68" s="17">
        <f>higado[[#This Row],[FECHA_TRASPLANTE]]</f>
        <v>43228</v>
      </c>
      <c r="BT68">
        <f>IF(higado[[#This Row],[FALLECIDO SI/NO]]="NO",0,1)</f>
        <v>1</v>
      </c>
      <c r="BU68" s="1">
        <f ca="1">IF(higado[[#This Row],[FALLECIDO_COD]]=0,TODAY()-higado[[#This Row],[FECHA_TRASPLANTE]],higado[[#This Row],[FECHA DE DEFUNCIÓN]]-higado[[#This Row],[FECHA_TRASPLANTE]])</f>
        <v>-6504</v>
      </c>
      <c r="BV68" s="1">
        <f ca="1">IF(higado[[#This Row],[FALLECIDO_COD]]=0,TODAY()-higado[[#This Row],[FECHA_TRASPLANTE]],higado[[#This Row],[FECHA DE DEFUNCIÓN]]-higado[[#This Row],[FECHA_TRASPLANTE]])/30.4375</f>
        <v>-213.68377823408625</v>
      </c>
      <c r="BW68" s="1">
        <f ca="1">IF(higado[[#This Row],[FALLECIDO_COD]]=0,TODAY()-higado[[#This Row],[FECHA_TRASPLANTE]],higado[[#This Row],[FECHA DE DEFUNCIÓN]]-higado[[#This Row],[FECHA_TRASPLANTE]])/365.25</f>
        <v>-17.806981519507186</v>
      </c>
    </row>
    <row r="69" spans="1:75" x14ac:dyDescent="0.35">
      <c r="A69" t="s">
        <v>377</v>
      </c>
      <c r="D69" t="s">
        <v>380</v>
      </c>
      <c r="E69" t="s">
        <v>77</v>
      </c>
      <c r="I69">
        <v>118.39288158795345</v>
      </c>
      <c r="K69" t="s">
        <v>565</v>
      </c>
      <c r="L69" t="s">
        <v>188</v>
      </c>
      <c r="M69" t="s">
        <v>258</v>
      </c>
      <c r="N69">
        <v>107130271</v>
      </c>
      <c r="O69" s="18">
        <v>43243</v>
      </c>
      <c r="P69" t="s">
        <v>90</v>
      </c>
      <c r="Q69" s="2">
        <v>24800</v>
      </c>
      <c r="R69" s="1">
        <f>(higado[[#This Row],[FECHA_TRASPLANTE]]-higado[[#This Row],[FECHA_NAC]])/365.25</f>
        <v>50.494182067077347</v>
      </c>
      <c r="U69" t="s">
        <v>480</v>
      </c>
      <c r="V69">
        <v>15</v>
      </c>
      <c r="W69" t="s">
        <v>82</v>
      </c>
      <c r="X69" t="s">
        <v>91</v>
      </c>
      <c r="Y69" t="s">
        <v>84</v>
      </c>
      <c r="Z69" t="s">
        <v>450</v>
      </c>
      <c r="AD69">
        <v>9</v>
      </c>
      <c r="AM69" t="s">
        <v>106</v>
      </c>
      <c r="AY69" t="s">
        <v>106</v>
      </c>
      <c r="BS69" s="17">
        <f>higado[[#This Row],[FECHA_TRASPLANTE]]</f>
        <v>43243</v>
      </c>
      <c r="BT69">
        <f>IF(higado[[#This Row],[FALLECIDO SI/NO]]="NO",0,1)</f>
        <v>0</v>
      </c>
      <c r="BU69" s="1">
        <f ca="1">IF(higado[[#This Row],[FALLECIDO_COD]]=0,TODAY()-higado[[#This Row],[FECHA_TRASPLANTE]],higado[[#This Row],[FECHA DE DEFUNCIÓN]]-higado[[#This Row],[FECHA_TRASPLANTE]])</f>
        <v>2632</v>
      </c>
      <c r="BV69" s="1">
        <f ca="1">IF(higado[[#This Row],[FALLECIDO_COD]]=0,TODAY()-higado[[#This Row],[FECHA_TRASPLANTE]],higado[[#This Row],[FECHA DE DEFUNCIÓN]]-higado[[#This Row],[FECHA_TRASPLANTE]])/30.4375</f>
        <v>86.472279260780283</v>
      </c>
      <c r="BW69" s="1">
        <f ca="1">IF(higado[[#This Row],[FALLECIDO_COD]]=0,TODAY()-higado[[#This Row],[FECHA_TRASPLANTE]],higado[[#This Row],[FECHA DE DEFUNCIÓN]]-higado[[#This Row],[FECHA_TRASPLANTE]])/365.25</f>
        <v>7.2060232717316905</v>
      </c>
    </row>
    <row r="70" spans="1:75" x14ac:dyDescent="0.35">
      <c r="A70" t="s">
        <v>377</v>
      </c>
      <c r="D70" t="s">
        <v>380</v>
      </c>
      <c r="E70" t="s">
        <v>77</v>
      </c>
      <c r="I70">
        <v>118.39561943874058</v>
      </c>
      <c r="K70" t="s">
        <v>566</v>
      </c>
      <c r="L70" t="s">
        <v>567</v>
      </c>
      <c r="M70" t="s">
        <v>185</v>
      </c>
      <c r="N70">
        <v>108510838</v>
      </c>
      <c r="O70" s="18">
        <v>43244</v>
      </c>
      <c r="P70" t="s">
        <v>81</v>
      </c>
      <c r="Q70" s="2">
        <v>26800</v>
      </c>
      <c r="R70" s="1">
        <f>(higado[[#This Row],[FECHA_TRASPLANTE]]-higado[[#This Row],[FECHA_NAC]])/365.25</f>
        <v>45.021218343600275</v>
      </c>
      <c r="U70" t="s">
        <v>568</v>
      </c>
      <c r="V70">
        <v>14</v>
      </c>
      <c r="W70" t="s">
        <v>82</v>
      </c>
      <c r="X70" t="s">
        <v>91</v>
      </c>
      <c r="Y70" t="s">
        <v>116</v>
      </c>
      <c r="Z70" t="s">
        <v>569</v>
      </c>
      <c r="AD70">
        <v>14</v>
      </c>
      <c r="AM70" t="s">
        <v>106</v>
      </c>
      <c r="AY70" t="s">
        <v>106</v>
      </c>
      <c r="BS70" s="17">
        <f>higado[[#This Row],[FECHA_TRASPLANTE]]</f>
        <v>43244</v>
      </c>
      <c r="BT70">
        <f>IF(higado[[#This Row],[FALLECIDO SI/NO]]="NO",0,1)</f>
        <v>0</v>
      </c>
      <c r="BU70" s="1">
        <f ca="1">IF(higado[[#This Row],[FALLECIDO_COD]]=0,TODAY()-higado[[#This Row],[FECHA_TRASPLANTE]],higado[[#This Row],[FECHA DE DEFUNCIÓN]]-higado[[#This Row],[FECHA_TRASPLANTE]])</f>
        <v>2631</v>
      </c>
      <c r="BV70" s="1">
        <f ca="1">IF(higado[[#This Row],[FALLECIDO_COD]]=0,TODAY()-higado[[#This Row],[FECHA_TRASPLANTE]],higado[[#This Row],[FECHA DE DEFUNCIÓN]]-higado[[#This Row],[FECHA_TRASPLANTE]])/30.4375</f>
        <v>86.439425051334709</v>
      </c>
      <c r="BW70" s="1">
        <f ca="1">IF(higado[[#This Row],[FALLECIDO_COD]]=0,TODAY()-higado[[#This Row],[FECHA_TRASPLANTE]],higado[[#This Row],[FECHA DE DEFUNCIÓN]]-higado[[#This Row],[FECHA_TRASPLANTE]])/365.25</f>
        <v>7.2032854209445585</v>
      </c>
    </row>
    <row r="71" spans="1:75" x14ac:dyDescent="0.35">
      <c r="A71" t="s">
        <v>377</v>
      </c>
      <c r="D71" t="s">
        <v>380</v>
      </c>
      <c r="E71" t="s">
        <v>77</v>
      </c>
      <c r="H71" s="2"/>
      <c r="I71" s="3">
        <f>(higado[[#This Row],[FECHA_TRASPLANTE]]-higado[[#This Row],[FECHA_NAC_D]])/365.25</f>
        <v>118.41752224503765</v>
      </c>
      <c r="K71" t="s">
        <v>570</v>
      </c>
      <c r="L71" t="s">
        <v>79</v>
      </c>
      <c r="M71" t="s">
        <v>571</v>
      </c>
      <c r="N71">
        <v>104800332</v>
      </c>
      <c r="O71" s="18">
        <v>43252</v>
      </c>
      <c r="P71" t="s">
        <v>81</v>
      </c>
      <c r="Q71" s="2">
        <v>21029</v>
      </c>
      <c r="R71" s="1">
        <f>(higado[[#This Row],[FECHA_TRASPLANTE]]-higado[[#This Row],[FECHA_NAC]])/365.25</f>
        <v>60.843258042436688</v>
      </c>
      <c r="U71" t="s">
        <v>572</v>
      </c>
      <c r="V71">
        <v>19</v>
      </c>
      <c r="W71" t="s">
        <v>82</v>
      </c>
      <c r="X71" t="s">
        <v>91</v>
      </c>
      <c r="Y71" t="s">
        <v>179</v>
      </c>
      <c r="Z71" t="s">
        <v>573</v>
      </c>
      <c r="AD71">
        <v>14</v>
      </c>
      <c r="AM71" t="s">
        <v>86</v>
      </c>
      <c r="AN71" s="2">
        <v>44263</v>
      </c>
      <c r="AO71" t="s">
        <v>574</v>
      </c>
      <c r="AY71" t="s">
        <v>106</v>
      </c>
      <c r="BS71" s="17">
        <f>higado[[#This Row],[FECHA_TRASPLANTE]]</f>
        <v>43252</v>
      </c>
      <c r="BT71">
        <f>IF(higado[[#This Row],[FALLECIDO SI/NO]]="NO",0,1)</f>
        <v>1</v>
      </c>
      <c r="BU71" s="1">
        <f ca="1">IF(higado[[#This Row],[FALLECIDO_COD]]=0,TODAY()-higado[[#This Row],[FECHA_TRASPLANTE]],higado[[#This Row],[FECHA DE DEFUNCIÓN]]-higado[[#This Row],[FECHA_TRASPLANTE]])</f>
        <v>1011</v>
      </c>
      <c r="BV71" s="1">
        <f ca="1">IF(higado[[#This Row],[FALLECIDO_COD]]=0,TODAY()-higado[[#This Row],[FECHA_TRASPLANTE]],higado[[#This Row],[FECHA DE DEFUNCIÓN]]-higado[[#This Row],[FECHA_TRASPLANTE]])/30.4375</f>
        <v>33.215605749486656</v>
      </c>
      <c r="BW71" s="1">
        <f ca="1">IF(higado[[#This Row],[FALLECIDO_COD]]=0,TODAY()-higado[[#This Row],[FECHA_TRASPLANTE]],higado[[#This Row],[FECHA DE DEFUNCIÓN]]-higado[[#This Row],[FECHA_TRASPLANTE]])/365.25</f>
        <v>2.7679671457905544</v>
      </c>
    </row>
    <row r="72" spans="1:75" x14ac:dyDescent="0.35">
      <c r="A72" t="s">
        <v>75</v>
      </c>
      <c r="B72" t="s">
        <v>75</v>
      </c>
      <c r="D72" t="s">
        <v>380</v>
      </c>
      <c r="E72" t="s">
        <v>77</v>
      </c>
      <c r="I72">
        <v>118.43121149897331</v>
      </c>
      <c r="K72" t="s">
        <v>575</v>
      </c>
      <c r="L72" t="s">
        <v>576</v>
      </c>
      <c r="M72" t="s">
        <v>577</v>
      </c>
      <c r="N72">
        <v>501361081</v>
      </c>
      <c r="O72" s="18">
        <v>43257</v>
      </c>
      <c r="P72" t="s">
        <v>81</v>
      </c>
      <c r="Q72" s="2">
        <v>18643</v>
      </c>
      <c r="R72" s="1">
        <f>(higado[[#This Row],[FECHA_TRASPLANTE]]-higado[[#This Row],[FECHA_NAC]])/365.25</f>
        <v>67.389459274469544</v>
      </c>
      <c r="U72" t="s">
        <v>416</v>
      </c>
      <c r="V72">
        <v>16</v>
      </c>
      <c r="W72" t="s">
        <v>82</v>
      </c>
      <c r="X72" t="s">
        <v>91</v>
      </c>
      <c r="Y72" t="s">
        <v>157</v>
      </c>
      <c r="Z72" t="s">
        <v>158</v>
      </c>
      <c r="AD72">
        <v>13</v>
      </c>
      <c r="AM72" t="s">
        <v>106</v>
      </c>
      <c r="AY72" t="s">
        <v>106</v>
      </c>
      <c r="BS72" s="17">
        <f>higado[[#This Row],[FECHA_TRASPLANTE]]</f>
        <v>43257</v>
      </c>
      <c r="BT72">
        <f>IF(higado[[#This Row],[FALLECIDO SI/NO]]="NO",0,1)</f>
        <v>0</v>
      </c>
      <c r="BU72" s="1">
        <f ca="1">IF(higado[[#This Row],[FALLECIDO_COD]]=0,TODAY()-higado[[#This Row],[FECHA_TRASPLANTE]],higado[[#This Row],[FECHA DE DEFUNCIÓN]]-higado[[#This Row],[FECHA_TRASPLANTE]])</f>
        <v>2618</v>
      </c>
      <c r="BV72" s="1">
        <f ca="1">IF(higado[[#This Row],[FALLECIDO_COD]]=0,TODAY()-higado[[#This Row],[FECHA_TRASPLANTE]],higado[[#This Row],[FECHA DE DEFUNCIÓN]]-higado[[#This Row],[FECHA_TRASPLANTE]])/30.4375</f>
        <v>86.012320328542089</v>
      </c>
      <c r="BW72" s="1">
        <f ca="1">IF(higado[[#This Row],[FALLECIDO_COD]]=0,TODAY()-higado[[#This Row],[FECHA_TRASPLANTE]],higado[[#This Row],[FECHA DE DEFUNCIÓN]]-higado[[#This Row],[FECHA_TRASPLANTE]])/365.25</f>
        <v>7.1676933607118416</v>
      </c>
    </row>
    <row r="73" spans="1:75" x14ac:dyDescent="0.35">
      <c r="A73" t="s">
        <v>75</v>
      </c>
      <c r="B73" t="s">
        <v>75</v>
      </c>
      <c r="D73" t="s">
        <v>380</v>
      </c>
      <c r="E73" t="s">
        <v>77</v>
      </c>
      <c r="I73">
        <v>118.60369609856262</v>
      </c>
      <c r="K73" t="s">
        <v>489</v>
      </c>
      <c r="L73" t="s">
        <v>385</v>
      </c>
      <c r="M73" t="s">
        <v>490</v>
      </c>
      <c r="N73">
        <v>801430376</v>
      </c>
      <c r="O73" s="18">
        <v>43320</v>
      </c>
      <c r="P73" t="s">
        <v>90</v>
      </c>
      <c r="Q73" s="2">
        <v>24202</v>
      </c>
      <c r="R73" s="1">
        <f>(higado[[#This Row],[FECHA_TRASPLANTE]]-higado[[#This Row],[FECHA_NAC]])/365.25</f>
        <v>52.342231348391515</v>
      </c>
      <c r="U73" t="s">
        <v>578</v>
      </c>
      <c r="V73">
        <v>15</v>
      </c>
      <c r="W73" t="s">
        <v>82</v>
      </c>
      <c r="X73" t="s">
        <v>91</v>
      </c>
      <c r="Y73" t="s">
        <v>91</v>
      </c>
      <c r="Z73" t="s">
        <v>307</v>
      </c>
      <c r="AD73">
        <v>19</v>
      </c>
      <c r="AM73" t="s">
        <v>106</v>
      </c>
      <c r="AY73" t="s">
        <v>106</v>
      </c>
      <c r="BS73" s="17">
        <f>higado[[#This Row],[FECHA_TRASPLANTE]]</f>
        <v>43320</v>
      </c>
      <c r="BT73">
        <f>IF(higado[[#This Row],[FALLECIDO SI/NO]]="NO",0,1)</f>
        <v>0</v>
      </c>
      <c r="BU73" s="1">
        <f ca="1">IF(higado[[#This Row],[FALLECIDO_COD]]=0,TODAY()-higado[[#This Row],[FECHA_TRASPLANTE]],higado[[#This Row],[FECHA DE DEFUNCIÓN]]-higado[[#This Row],[FECHA_TRASPLANTE]])</f>
        <v>2555</v>
      </c>
      <c r="BV73" s="1">
        <f ca="1">IF(higado[[#This Row],[FALLECIDO_COD]]=0,TODAY()-higado[[#This Row],[FECHA_TRASPLANTE]],higado[[#This Row],[FECHA DE DEFUNCIÓN]]-higado[[#This Row],[FECHA_TRASPLANTE]])/30.4375</f>
        <v>83.94250513347022</v>
      </c>
      <c r="BW73" s="1">
        <f ca="1">IF(higado[[#This Row],[FALLECIDO_COD]]=0,TODAY()-higado[[#This Row],[FECHA_TRASPLANTE]],higado[[#This Row],[FECHA DE DEFUNCIÓN]]-higado[[#This Row],[FECHA_TRASPLANTE]])/365.25</f>
        <v>6.9952087611225187</v>
      </c>
    </row>
    <row r="74" spans="1:75" x14ac:dyDescent="0.35">
      <c r="A74" t="s">
        <v>75</v>
      </c>
      <c r="B74" t="s">
        <v>75</v>
      </c>
      <c r="D74" t="s">
        <v>380</v>
      </c>
      <c r="E74" t="s">
        <v>77</v>
      </c>
      <c r="I74">
        <v>118.60643394934976</v>
      </c>
      <c r="K74" t="s">
        <v>579</v>
      </c>
      <c r="L74" t="s">
        <v>188</v>
      </c>
      <c r="M74" t="s">
        <v>431</v>
      </c>
      <c r="N74">
        <v>104380736</v>
      </c>
      <c r="O74" s="18">
        <v>43321</v>
      </c>
      <c r="P74" t="s">
        <v>81</v>
      </c>
      <c r="Q74" s="2">
        <v>19922</v>
      </c>
      <c r="R74" s="1">
        <f>(higado[[#This Row],[FECHA_TRASPLANTE]]-higado[[#This Row],[FECHA_NAC]])/365.25</f>
        <v>64.062970568104035</v>
      </c>
      <c r="U74" t="s">
        <v>529</v>
      </c>
      <c r="V74">
        <v>12</v>
      </c>
      <c r="W74" t="s">
        <v>82</v>
      </c>
      <c r="X74" t="s">
        <v>91</v>
      </c>
      <c r="Y74" t="s">
        <v>580</v>
      </c>
      <c r="Z74" t="s">
        <v>454</v>
      </c>
      <c r="AD74">
        <v>13</v>
      </c>
      <c r="AM74" t="s">
        <v>106</v>
      </c>
      <c r="AY74" t="s">
        <v>106</v>
      </c>
      <c r="BS74" s="17">
        <f>higado[[#This Row],[FECHA_TRASPLANTE]]</f>
        <v>43321</v>
      </c>
      <c r="BT74">
        <f>IF(higado[[#This Row],[FALLECIDO SI/NO]]="NO",0,1)</f>
        <v>0</v>
      </c>
      <c r="BU74" s="1">
        <f ca="1">IF(higado[[#This Row],[FALLECIDO_COD]]=0,TODAY()-higado[[#This Row],[FECHA_TRASPLANTE]],higado[[#This Row],[FECHA DE DEFUNCIÓN]]-higado[[#This Row],[FECHA_TRASPLANTE]])</f>
        <v>2554</v>
      </c>
      <c r="BV74" s="1">
        <f ca="1">IF(higado[[#This Row],[FALLECIDO_COD]]=0,TODAY()-higado[[#This Row],[FECHA_TRASPLANTE]],higado[[#This Row],[FECHA DE DEFUNCIÓN]]-higado[[#This Row],[FECHA_TRASPLANTE]])/30.4375</f>
        <v>83.909650924024646</v>
      </c>
      <c r="BW74" s="1">
        <f ca="1">IF(higado[[#This Row],[FALLECIDO_COD]]=0,TODAY()-higado[[#This Row],[FECHA_TRASPLANTE]],higado[[#This Row],[FECHA DE DEFUNCIÓN]]-higado[[#This Row],[FECHA_TRASPLANTE]])/365.25</f>
        <v>6.9924709103353866</v>
      </c>
    </row>
    <row r="75" spans="1:75" x14ac:dyDescent="0.35">
      <c r="A75" t="s">
        <v>75</v>
      </c>
      <c r="B75" t="s">
        <v>75</v>
      </c>
      <c r="D75" t="s">
        <v>380</v>
      </c>
      <c r="E75" t="s">
        <v>77</v>
      </c>
      <c r="H75" s="2"/>
      <c r="I75" s="3">
        <f>(higado[[#This Row],[FECHA_TRASPLANTE]]-higado[[#This Row],[FECHA_NAC_D]])/365.25</f>
        <v>118.63655030800821</v>
      </c>
      <c r="K75" t="s">
        <v>581</v>
      </c>
      <c r="L75" t="s">
        <v>94</v>
      </c>
      <c r="M75" t="s">
        <v>132</v>
      </c>
      <c r="N75">
        <v>106110474</v>
      </c>
      <c r="O75" s="18">
        <v>43332</v>
      </c>
      <c r="P75" t="s">
        <v>81</v>
      </c>
      <c r="Q75" s="2">
        <v>23259</v>
      </c>
      <c r="R75" s="1">
        <f>(higado[[#This Row],[FECHA_TRASPLANTE]]-higado[[#This Row],[FECHA_NAC]])/365.25</f>
        <v>54.956878850102669</v>
      </c>
      <c r="U75" t="s">
        <v>582</v>
      </c>
      <c r="V75">
        <v>40</v>
      </c>
      <c r="W75" t="s">
        <v>82</v>
      </c>
      <c r="X75" t="s">
        <v>91</v>
      </c>
      <c r="Y75" t="s">
        <v>84</v>
      </c>
      <c r="Z75" t="s">
        <v>457</v>
      </c>
      <c r="AD75">
        <v>3</v>
      </c>
      <c r="AM75" t="s">
        <v>86</v>
      </c>
      <c r="AN75" s="2">
        <v>43334</v>
      </c>
      <c r="AY75" t="s">
        <v>106</v>
      </c>
      <c r="BS75" s="17">
        <f>higado[[#This Row],[FECHA_TRASPLANTE]]</f>
        <v>43332</v>
      </c>
      <c r="BT75">
        <f>IF(higado[[#This Row],[FALLECIDO SI/NO]]="NO",0,1)</f>
        <v>1</v>
      </c>
      <c r="BU75" s="1">
        <f ca="1">IF(higado[[#This Row],[FALLECIDO_COD]]=0,TODAY()-higado[[#This Row],[FECHA_TRASPLANTE]],higado[[#This Row],[FECHA DE DEFUNCIÓN]]-higado[[#This Row],[FECHA_TRASPLANTE]])</f>
        <v>2</v>
      </c>
      <c r="BV75" s="1">
        <f ca="1">IF(higado[[#This Row],[FALLECIDO_COD]]=0,TODAY()-higado[[#This Row],[FECHA_TRASPLANTE]],higado[[#This Row],[FECHA DE DEFUNCIÓN]]-higado[[#This Row],[FECHA_TRASPLANTE]])/30.4375</f>
        <v>6.5708418891170434E-2</v>
      </c>
      <c r="BW75" s="1">
        <f ca="1">IF(higado[[#This Row],[FALLECIDO_COD]]=0,TODAY()-higado[[#This Row],[FECHA_TRASPLANTE]],higado[[#This Row],[FECHA DE DEFUNCIÓN]]-higado[[#This Row],[FECHA_TRASPLANTE]])/365.25</f>
        <v>5.4757015742642025E-3</v>
      </c>
    </row>
    <row r="76" spans="1:75" x14ac:dyDescent="0.35">
      <c r="A76" t="s">
        <v>377</v>
      </c>
      <c r="D76" t="s">
        <v>380</v>
      </c>
      <c r="E76" t="s">
        <v>77</v>
      </c>
      <c r="H76" s="2"/>
      <c r="I76" s="3">
        <f>(higado[[#This Row],[FECHA_TRASPLANTE]]-higado[[#This Row],[FECHA_NAC_D]])/365.25</f>
        <v>118.67214236824093</v>
      </c>
      <c r="K76" t="s">
        <v>583</v>
      </c>
      <c r="L76" t="s">
        <v>385</v>
      </c>
      <c r="M76" t="s">
        <v>360</v>
      </c>
      <c r="N76">
        <v>117820569</v>
      </c>
      <c r="O76" s="18">
        <v>43345</v>
      </c>
      <c r="P76" t="s">
        <v>90</v>
      </c>
      <c r="Q76" s="2">
        <v>36711</v>
      </c>
      <c r="R76" s="1">
        <f>(higado[[#This Row],[FECHA_TRASPLANTE]]-higado[[#This Row],[FECHA_NAC]])/365.25</f>
        <v>18.16290212183436</v>
      </c>
      <c r="U76" t="s">
        <v>584</v>
      </c>
      <c r="V76">
        <v>20</v>
      </c>
      <c r="W76" t="s">
        <v>82</v>
      </c>
      <c r="X76" t="s">
        <v>261</v>
      </c>
      <c r="Y76" t="s">
        <v>261</v>
      </c>
      <c r="Z76" t="s">
        <v>585</v>
      </c>
      <c r="AD76">
        <v>12</v>
      </c>
      <c r="AM76" t="s">
        <v>86</v>
      </c>
      <c r="AN76" s="2">
        <v>43710</v>
      </c>
      <c r="AO76" t="s">
        <v>586</v>
      </c>
      <c r="AY76" t="s">
        <v>86</v>
      </c>
      <c r="BS76" s="17">
        <f>higado[[#This Row],[FECHA_TRASPLANTE]]</f>
        <v>43345</v>
      </c>
      <c r="BT76">
        <f>IF(higado[[#This Row],[FALLECIDO SI/NO]]="NO",0,1)</f>
        <v>1</v>
      </c>
      <c r="BU76" s="1">
        <f ca="1">IF(higado[[#This Row],[FALLECIDO_COD]]=0,TODAY()-higado[[#This Row],[FECHA_TRASPLANTE]],higado[[#This Row],[FECHA DE DEFUNCIÓN]]-higado[[#This Row],[FECHA_TRASPLANTE]])</f>
        <v>365</v>
      </c>
      <c r="BV76" s="1">
        <f ca="1">IF(higado[[#This Row],[FALLECIDO_COD]]=0,TODAY()-higado[[#This Row],[FECHA_TRASPLANTE]],higado[[#This Row],[FECHA DE DEFUNCIÓN]]-higado[[#This Row],[FECHA_TRASPLANTE]])/30.4375</f>
        <v>11.991786447638603</v>
      </c>
      <c r="BW76" s="1">
        <f ca="1">IF(higado[[#This Row],[FALLECIDO_COD]]=0,TODAY()-higado[[#This Row],[FECHA_TRASPLANTE]],higado[[#This Row],[FECHA DE DEFUNCIÓN]]-higado[[#This Row],[FECHA_TRASPLANTE]])/365.25</f>
        <v>0.99931553730321698</v>
      </c>
    </row>
    <row r="77" spans="1:75" x14ac:dyDescent="0.35">
      <c r="A77" t="s">
        <v>75</v>
      </c>
      <c r="B77" t="s">
        <v>75</v>
      </c>
      <c r="D77" t="s">
        <v>380</v>
      </c>
      <c r="E77" t="s">
        <v>77</v>
      </c>
      <c r="I77">
        <v>118.839151266256</v>
      </c>
      <c r="K77" t="s">
        <v>587</v>
      </c>
      <c r="L77" t="s">
        <v>588</v>
      </c>
      <c r="M77" t="s">
        <v>589</v>
      </c>
      <c r="N77">
        <v>28218522</v>
      </c>
      <c r="O77" s="18">
        <v>43406</v>
      </c>
      <c r="P77" t="s">
        <v>90</v>
      </c>
      <c r="Q77" s="2">
        <v>30000</v>
      </c>
      <c r="R77" s="1">
        <f>(higado[[#This Row],[FECHA_TRASPLANTE]]-higado[[#This Row],[FECHA_NAC]])/365.25</f>
        <v>36.703627652292951</v>
      </c>
      <c r="U77" t="s">
        <v>590</v>
      </c>
      <c r="V77">
        <v>31</v>
      </c>
      <c r="W77" t="s">
        <v>146</v>
      </c>
      <c r="X77" t="s">
        <v>91</v>
      </c>
      <c r="Y77" t="s">
        <v>193</v>
      </c>
      <c r="Z77" t="s">
        <v>193</v>
      </c>
      <c r="AD77">
        <v>20</v>
      </c>
      <c r="AM77" t="s">
        <v>106</v>
      </c>
      <c r="AY77" t="s">
        <v>106</v>
      </c>
      <c r="BS77" s="17">
        <f>higado[[#This Row],[FECHA_TRASPLANTE]]</f>
        <v>43406</v>
      </c>
      <c r="BT77">
        <f>IF(higado[[#This Row],[FALLECIDO SI/NO]]="NO",0,1)</f>
        <v>0</v>
      </c>
      <c r="BU77" s="1">
        <f ca="1">IF(higado[[#This Row],[FALLECIDO_COD]]=0,TODAY()-higado[[#This Row],[FECHA_TRASPLANTE]],higado[[#This Row],[FECHA DE DEFUNCIÓN]]-higado[[#This Row],[FECHA_TRASPLANTE]])</f>
        <v>2469</v>
      </c>
      <c r="BV77" s="1">
        <f ca="1">IF(higado[[#This Row],[FALLECIDO_COD]]=0,TODAY()-higado[[#This Row],[FECHA_TRASPLANTE]],higado[[#This Row],[FECHA DE DEFUNCIÓN]]-higado[[#This Row],[FECHA_TRASPLANTE]])/30.4375</f>
        <v>81.117043121149891</v>
      </c>
      <c r="BW77" s="1">
        <f ca="1">IF(higado[[#This Row],[FALLECIDO_COD]]=0,TODAY()-higado[[#This Row],[FECHA_TRASPLANTE]],higado[[#This Row],[FECHA DE DEFUNCIÓN]]-higado[[#This Row],[FECHA_TRASPLANTE]])/365.25</f>
        <v>6.7597535934291582</v>
      </c>
    </row>
    <row r="78" spans="1:75" x14ac:dyDescent="0.35">
      <c r="A78" t="s">
        <v>75</v>
      </c>
      <c r="B78" t="s">
        <v>75</v>
      </c>
      <c r="D78" t="s">
        <v>380</v>
      </c>
      <c r="E78" t="s">
        <v>77</v>
      </c>
      <c r="I78">
        <v>118.9596167008898</v>
      </c>
      <c r="K78" t="s">
        <v>591</v>
      </c>
      <c r="L78" t="s">
        <v>592</v>
      </c>
      <c r="M78" t="s">
        <v>593</v>
      </c>
      <c r="N78">
        <v>104350519</v>
      </c>
      <c r="O78" s="18">
        <v>43450</v>
      </c>
      <c r="P78" t="s">
        <v>81</v>
      </c>
      <c r="Q78" s="2">
        <v>19872</v>
      </c>
      <c r="R78" s="1">
        <f>(higado[[#This Row],[FECHA_TRASPLANTE]]-higado[[#This Row],[FECHA_NAC]])/365.25</f>
        <v>64.55304585900069</v>
      </c>
      <c r="U78" t="s">
        <v>529</v>
      </c>
      <c r="V78">
        <v>13</v>
      </c>
      <c r="W78" t="s">
        <v>82</v>
      </c>
      <c r="X78" t="s">
        <v>91</v>
      </c>
      <c r="Y78" t="s">
        <v>580</v>
      </c>
      <c r="Z78" t="s">
        <v>454</v>
      </c>
      <c r="AD78">
        <v>9</v>
      </c>
      <c r="AM78" t="s">
        <v>106</v>
      </c>
      <c r="AY78" t="s">
        <v>106</v>
      </c>
      <c r="BS78" s="17">
        <f>higado[[#This Row],[FECHA_TRASPLANTE]]</f>
        <v>43450</v>
      </c>
      <c r="BT78">
        <f>IF(higado[[#This Row],[FALLECIDO SI/NO]]="NO",0,1)</f>
        <v>0</v>
      </c>
      <c r="BU78" s="1">
        <f ca="1">IF(higado[[#This Row],[FALLECIDO_COD]]=0,TODAY()-higado[[#This Row],[FECHA_TRASPLANTE]],higado[[#This Row],[FECHA DE DEFUNCIÓN]]-higado[[#This Row],[FECHA_TRASPLANTE]])</f>
        <v>2425</v>
      </c>
      <c r="BV78" s="1">
        <f ca="1">IF(higado[[#This Row],[FALLECIDO_COD]]=0,TODAY()-higado[[#This Row],[FECHA_TRASPLANTE]],higado[[#This Row],[FECHA DE DEFUNCIÓN]]-higado[[#This Row],[FECHA_TRASPLANTE]])/30.4375</f>
        <v>79.671457905544145</v>
      </c>
      <c r="BW78" s="1">
        <f ca="1">IF(higado[[#This Row],[FALLECIDO_COD]]=0,TODAY()-higado[[#This Row],[FECHA_TRASPLANTE]],higado[[#This Row],[FECHA DE DEFUNCIÓN]]-higado[[#This Row],[FECHA_TRASPLANTE]])/365.25</f>
        <v>6.6392881587953454</v>
      </c>
    </row>
    <row r="79" spans="1:75" x14ac:dyDescent="0.35">
      <c r="A79" t="s">
        <v>377</v>
      </c>
      <c r="D79" t="s">
        <v>380</v>
      </c>
      <c r="E79" t="s">
        <v>77</v>
      </c>
      <c r="H79" s="2"/>
      <c r="I79" s="3">
        <f>(higado[[#This Row],[FECHA_TRASPLANTE]]-higado[[#This Row],[FECHA_NAC_D]])/365.25</f>
        <v>118.96235455167694</v>
      </c>
      <c r="K79" t="s">
        <v>594</v>
      </c>
      <c r="L79" t="s">
        <v>595</v>
      </c>
      <c r="M79" t="s">
        <v>440</v>
      </c>
      <c r="N79">
        <v>29333507</v>
      </c>
      <c r="O79" s="18">
        <v>43451</v>
      </c>
      <c r="P79" t="s">
        <v>90</v>
      </c>
      <c r="Q79" s="2">
        <v>34266</v>
      </c>
      <c r="R79" s="1">
        <f>(higado[[#This Row],[FECHA_TRASPLANTE]]-higado[[#This Row],[FECHA_NAC]])/365.25</f>
        <v>25.147159479808352</v>
      </c>
      <c r="U79" t="s">
        <v>596</v>
      </c>
      <c r="V79">
        <v>29</v>
      </c>
      <c r="W79" t="s">
        <v>597</v>
      </c>
      <c r="X79" t="s">
        <v>91</v>
      </c>
      <c r="Y79" t="s">
        <v>91</v>
      </c>
      <c r="Z79" t="s">
        <v>598</v>
      </c>
      <c r="AD79">
        <v>39</v>
      </c>
      <c r="AM79" t="s">
        <v>86</v>
      </c>
      <c r="AN79" s="2">
        <v>43491</v>
      </c>
      <c r="BS79" s="17">
        <f>higado[[#This Row],[FECHA_TRASPLANTE]]</f>
        <v>43451</v>
      </c>
      <c r="BT79">
        <f>IF(higado[[#This Row],[FALLECIDO SI/NO]]="NO",0,1)</f>
        <v>1</v>
      </c>
      <c r="BU79" s="1">
        <f ca="1">IF(higado[[#This Row],[FALLECIDO_COD]]=0,TODAY()-higado[[#This Row],[FECHA_TRASPLANTE]],higado[[#This Row],[FECHA DE DEFUNCIÓN]]-higado[[#This Row],[FECHA_TRASPLANTE]])</f>
        <v>40</v>
      </c>
      <c r="BV79" s="1">
        <f ca="1">IF(higado[[#This Row],[FALLECIDO_COD]]=0,TODAY()-higado[[#This Row],[FECHA_TRASPLANTE]],higado[[#This Row],[FECHA DE DEFUNCIÓN]]-higado[[#This Row],[FECHA_TRASPLANTE]])/30.4375</f>
        <v>1.3141683778234086</v>
      </c>
      <c r="BW79" s="1">
        <f ca="1">IF(higado[[#This Row],[FALLECIDO_COD]]=0,TODAY()-higado[[#This Row],[FECHA_TRASPLANTE]],higado[[#This Row],[FECHA DE DEFUNCIÓN]]-higado[[#This Row],[FECHA_TRASPLANTE]])/365.25</f>
        <v>0.10951403148528405</v>
      </c>
    </row>
    <row r="80" spans="1:75" x14ac:dyDescent="0.35">
      <c r="A80" t="s">
        <v>377</v>
      </c>
      <c r="D80" t="s">
        <v>380</v>
      </c>
      <c r="E80" t="s">
        <v>77</v>
      </c>
      <c r="I80">
        <v>118.97056810403834</v>
      </c>
      <c r="K80" t="s">
        <v>599</v>
      </c>
      <c r="L80" t="s">
        <v>600</v>
      </c>
      <c r="M80" t="s">
        <v>521</v>
      </c>
      <c r="N80">
        <v>205910827</v>
      </c>
      <c r="O80" s="18">
        <v>43454</v>
      </c>
      <c r="P80" t="s">
        <v>90</v>
      </c>
      <c r="Q80" s="2">
        <v>30740</v>
      </c>
      <c r="R80" s="1">
        <f>(higado[[#This Row],[FECHA_TRASPLANTE]]-higado[[#This Row],[FECHA_NAC]])/365.25</f>
        <v>34.809034907597535</v>
      </c>
      <c r="U80" t="s">
        <v>601</v>
      </c>
      <c r="V80">
        <v>22</v>
      </c>
      <c r="W80" t="s">
        <v>82</v>
      </c>
      <c r="X80" t="s">
        <v>115</v>
      </c>
      <c r="Y80" t="s">
        <v>602</v>
      </c>
      <c r="Z80" t="s">
        <v>603</v>
      </c>
      <c r="AD80">
        <v>29</v>
      </c>
      <c r="AM80" t="s">
        <v>106</v>
      </c>
      <c r="AY80" t="s">
        <v>106</v>
      </c>
      <c r="BS80" s="17">
        <f>higado[[#This Row],[FECHA_TRASPLANTE]]</f>
        <v>43454</v>
      </c>
      <c r="BT80">
        <f>IF(higado[[#This Row],[FALLECIDO SI/NO]]="NO",0,1)</f>
        <v>0</v>
      </c>
      <c r="BU80" s="1">
        <f ca="1">IF(higado[[#This Row],[FALLECIDO_COD]]=0,TODAY()-higado[[#This Row],[FECHA_TRASPLANTE]],higado[[#This Row],[FECHA DE DEFUNCIÓN]]-higado[[#This Row],[FECHA_TRASPLANTE]])</f>
        <v>2421</v>
      </c>
      <c r="BV80" s="1">
        <f ca="1">IF(higado[[#This Row],[FALLECIDO_COD]]=0,TODAY()-higado[[#This Row],[FECHA_TRASPLANTE]],higado[[#This Row],[FECHA DE DEFUNCIÓN]]-higado[[#This Row],[FECHA_TRASPLANTE]])/30.4375</f>
        <v>79.540041067761805</v>
      </c>
      <c r="BW80" s="1">
        <f ca="1">IF(higado[[#This Row],[FALLECIDO_COD]]=0,TODAY()-higado[[#This Row],[FECHA_TRASPLANTE]],higado[[#This Row],[FECHA DE DEFUNCIÓN]]-higado[[#This Row],[FECHA_TRASPLANTE]])/365.25</f>
        <v>6.6283367556468171</v>
      </c>
    </row>
    <row r="81" spans="1:75" x14ac:dyDescent="0.35">
      <c r="A81" t="s">
        <v>75</v>
      </c>
      <c r="B81" t="s">
        <v>75</v>
      </c>
      <c r="D81" t="s">
        <v>380</v>
      </c>
      <c r="E81" t="s">
        <v>77</v>
      </c>
      <c r="H81" s="2"/>
      <c r="I81" s="3">
        <f>(higado[[#This Row],[FECHA_TRASPLANTE]]-higado[[#This Row],[FECHA_NAC_D]])/365.25</f>
        <v>118.97878165639973</v>
      </c>
      <c r="K81" t="s">
        <v>604</v>
      </c>
      <c r="L81" t="s">
        <v>605</v>
      </c>
      <c r="M81" t="s">
        <v>592</v>
      </c>
      <c r="N81">
        <v>105520289</v>
      </c>
      <c r="O81" s="18">
        <v>43457</v>
      </c>
      <c r="P81" t="s">
        <v>81</v>
      </c>
      <c r="Q81" s="2">
        <v>22343</v>
      </c>
      <c r="R81" s="1">
        <f>(higado[[#This Row],[FECHA_TRASPLANTE]]-higado[[#This Row],[FECHA_NAC]])/365.25</f>
        <v>57.80698151950719</v>
      </c>
      <c r="U81" t="s">
        <v>606</v>
      </c>
      <c r="V81">
        <v>19</v>
      </c>
      <c r="W81" t="s">
        <v>82</v>
      </c>
      <c r="X81" t="s">
        <v>91</v>
      </c>
      <c r="Y81" t="s">
        <v>211</v>
      </c>
      <c r="Z81" t="s">
        <v>607</v>
      </c>
      <c r="AD81">
        <v>34</v>
      </c>
      <c r="AM81" t="s">
        <v>86</v>
      </c>
      <c r="AN81" s="2">
        <v>43457</v>
      </c>
      <c r="AY81" t="s">
        <v>106</v>
      </c>
      <c r="BS81" s="17">
        <f>higado[[#This Row],[FECHA_TRASPLANTE]]</f>
        <v>43457</v>
      </c>
      <c r="BT81">
        <f>IF(higado[[#This Row],[FALLECIDO SI/NO]]="NO",0,1)</f>
        <v>1</v>
      </c>
      <c r="BU81" s="1">
        <f ca="1">IF(higado[[#This Row],[FALLECIDO_COD]]=0,TODAY()-higado[[#This Row],[FECHA_TRASPLANTE]],higado[[#This Row],[FECHA DE DEFUNCIÓN]]-higado[[#This Row],[FECHA_TRASPLANTE]])</f>
        <v>0</v>
      </c>
      <c r="BV81" s="1">
        <f ca="1">IF(higado[[#This Row],[FALLECIDO_COD]]=0,TODAY()-higado[[#This Row],[FECHA_TRASPLANTE]],higado[[#This Row],[FECHA DE DEFUNCIÓN]]-higado[[#This Row],[FECHA_TRASPLANTE]])/30.4375</f>
        <v>0</v>
      </c>
      <c r="BW81" s="1">
        <f ca="1">IF(higado[[#This Row],[FALLECIDO_COD]]=0,TODAY()-higado[[#This Row],[FECHA_TRASPLANTE]],higado[[#This Row],[FECHA DE DEFUNCIÓN]]-higado[[#This Row],[FECHA_TRASPLANTE]])/365.25</f>
        <v>0</v>
      </c>
    </row>
    <row r="82" spans="1:75" x14ac:dyDescent="0.35">
      <c r="A82" t="s">
        <v>377</v>
      </c>
      <c r="D82" t="s">
        <v>380</v>
      </c>
      <c r="E82" t="s">
        <v>77</v>
      </c>
      <c r="I82">
        <v>118.97878165639973</v>
      </c>
      <c r="K82" t="s">
        <v>608</v>
      </c>
      <c r="L82" t="s">
        <v>432</v>
      </c>
      <c r="M82" t="s">
        <v>188</v>
      </c>
      <c r="N82">
        <v>202911224</v>
      </c>
      <c r="O82" s="18">
        <v>43457</v>
      </c>
      <c r="P82" t="s">
        <v>81</v>
      </c>
      <c r="Q82" s="2">
        <v>19703</v>
      </c>
      <c r="R82" s="1">
        <f>(higado[[#This Row],[FECHA_TRASPLANTE]]-higado[[#This Row],[FECHA_NAC]])/365.25</f>
        <v>65.034907597535934</v>
      </c>
      <c r="U82" t="s">
        <v>552</v>
      </c>
      <c r="V82">
        <v>16</v>
      </c>
      <c r="W82" t="s">
        <v>82</v>
      </c>
      <c r="X82" t="s">
        <v>115</v>
      </c>
      <c r="Y82" t="s">
        <v>84</v>
      </c>
      <c r="Z82" t="s">
        <v>116</v>
      </c>
      <c r="AD82">
        <v>18</v>
      </c>
      <c r="AM82" t="s">
        <v>106</v>
      </c>
      <c r="BS82" s="17">
        <f>higado[[#This Row],[FECHA_TRASPLANTE]]</f>
        <v>43457</v>
      </c>
      <c r="BT82">
        <f>IF(higado[[#This Row],[FALLECIDO SI/NO]]="NO",0,1)</f>
        <v>0</v>
      </c>
      <c r="BU82" s="1">
        <f ca="1">IF(higado[[#This Row],[FALLECIDO_COD]]=0,TODAY()-higado[[#This Row],[FECHA_TRASPLANTE]],higado[[#This Row],[FECHA DE DEFUNCIÓN]]-higado[[#This Row],[FECHA_TRASPLANTE]])</f>
        <v>2418</v>
      </c>
      <c r="BV82" s="1">
        <f ca="1">IF(higado[[#This Row],[FALLECIDO_COD]]=0,TODAY()-higado[[#This Row],[FECHA_TRASPLANTE]],higado[[#This Row],[FECHA DE DEFUNCIÓN]]-higado[[#This Row],[FECHA_TRASPLANTE]])/30.4375</f>
        <v>79.441478439425055</v>
      </c>
      <c r="BW82" s="1">
        <f ca="1">IF(higado[[#This Row],[FALLECIDO_COD]]=0,TODAY()-higado[[#This Row],[FECHA_TRASPLANTE]],higado[[#This Row],[FECHA DE DEFUNCIÓN]]-higado[[#This Row],[FECHA_TRASPLANTE]])/365.25</f>
        <v>6.6201232032854209</v>
      </c>
    </row>
    <row r="83" spans="1:75" x14ac:dyDescent="0.35">
      <c r="A83" t="s">
        <v>376</v>
      </c>
      <c r="B83" t="s">
        <v>376</v>
      </c>
      <c r="D83" t="s">
        <v>380</v>
      </c>
      <c r="E83" t="s">
        <v>77</v>
      </c>
      <c r="H83" s="2"/>
      <c r="I83" s="3">
        <f>(higado[[#This Row],[FECHA_TRASPLANTE]]-higado[[#This Row],[FECHA_NAC_D]])/365.25</f>
        <v>119.06639288158796</v>
      </c>
      <c r="K83" t="s">
        <v>609</v>
      </c>
      <c r="L83" t="s">
        <v>258</v>
      </c>
      <c r="M83" t="s">
        <v>610</v>
      </c>
      <c r="N83">
        <v>605630048</v>
      </c>
      <c r="O83" s="18">
        <v>43489</v>
      </c>
      <c r="P83" t="s">
        <v>90</v>
      </c>
      <c r="Q83" s="2">
        <v>42710</v>
      </c>
      <c r="R83" s="1">
        <f>(higado[[#This Row],[FECHA_TRASPLANTE]]-higado[[#This Row],[FECHA_NAC]])/365.25</f>
        <v>2.1327857631759071</v>
      </c>
      <c r="T83" s="2">
        <v>43472</v>
      </c>
      <c r="U83" t="s">
        <v>611</v>
      </c>
      <c r="V83">
        <v>29</v>
      </c>
      <c r="W83" t="s">
        <v>82</v>
      </c>
      <c r="X83" t="s">
        <v>83</v>
      </c>
      <c r="Y83" t="s">
        <v>83</v>
      </c>
      <c r="Z83" t="s">
        <v>85</v>
      </c>
      <c r="AM83" t="s">
        <v>86</v>
      </c>
      <c r="AN83" s="2">
        <v>43502</v>
      </c>
      <c r="BS83" s="17">
        <f>higado[[#This Row],[FECHA_TRASPLANTE]]</f>
        <v>43489</v>
      </c>
      <c r="BT83">
        <f>IF(higado[[#This Row],[FALLECIDO SI/NO]]="NO",0,1)</f>
        <v>1</v>
      </c>
      <c r="BU83" s="1">
        <f ca="1">IF(higado[[#This Row],[FALLECIDO_COD]]=0,TODAY()-higado[[#This Row],[FECHA_TRASPLANTE]],higado[[#This Row],[FECHA DE DEFUNCIÓN]]-higado[[#This Row],[FECHA_TRASPLANTE]])</f>
        <v>13</v>
      </c>
      <c r="BV83" s="1">
        <f ca="1">IF(higado[[#This Row],[FALLECIDO_COD]]=0,TODAY()-higado[[#This Row],[FECHA_TRASPLANTE]],higado[[#This Row],[FECHA DE DEFUNCIÓN]]-higado[[#This Row],[FECHA_TRASPLANTE]])/30.4375</f>
        <v>0.4271047227926078</v>
      </c>
      <c r="BW83" s="1">
        <f ca="1">IF(higado[[#This Row],[FALLECIDO_COD]]=0,TODAY()-higado[[#This Row],[FECHA_TRASPLANTE]],higado[[#This Row],[FECHA DE DEFUNCIÓN]]-higado[[#This Row],[FECHA_TRASPLANTE]])/365.25</f>
        <v>3.5592060232717319E-2</v>
      </c>
    </row>
    <row r="84" spans="1:75" x14ac:dyDescent="0.35">
      <c r="A84" t="s">
        <v>376</v>
      </c>
      <c r="B84" t="s">
        <v>376</v>
      </c>
      <c r="D84" t="s">
        <v>380</v>
      </c>
      <c r="E84" t="s">
        <v>77</v>
      </c>
      <c r="I84">
        <v>119.11841204654347</v>
      </c>
      <c r="K84" t="s">
        <v>612</v>
      </c>
      <c r="L84" t="s">
        <v>613</v>
      </c>
      <c r="M84" t="s">
        <v>94</v>
      </c>
      <c r="N84">
        <v>210290964</v>
      </c>
      <c r="O84" s="18">
        <v>43508</v>
      </c>
      <c r="P84" t="s">
        <v>90</v>
      </c>
      <c r="Q84" s="2">
        <v>42982</v>
      </c>
      <c r="R84" s="1">
        <f>(higado[[#This Row],[FECHA_TRASPLANTE]]-higado[[#This Row],[FECHA_NAC]])/365.25</f>
        <v>1.4401095140314852</v>
      </c>
      <c r="T84" s="2">
        <v>43472</v>
      </c>
      <c r="U84" t="s">
        <v>614</v>
      </c>
      <c r="V84">
        <v>16</v>
      </c>
      <c r="W84" t="s">
        <v>82</v>
      </c>
      <c r="X84" t="s">
        <v>115</v>
      </c>
      <c r="Y84" t="s">
        <v>426</v>
      </c>
      <c r="Z84" t="s">
        <v>91</v>
      </c>
      <c r="AM84" t="s">
        <v>106</v>
      </c>
      <c r="BS84" s="17">
        <f>higado[[#This Row],[FECHA_TRASPLANTE]]</f>
        <v>43508</v>
      </c>
      <c r="BT84">
        <f>IF(higado[[#This Row],[FALLECIDO SI/NO]]="NO",0,1)</f>
        <v>0</v>
      </c>
      <c r="BU84" s="1">
        <f ca="1">IF(higado[[#This Row],[FALLECIDO_COD]]=0,TODAY()-higado[[#This Row],[FECHA_TRASPLANTE]],higado[[#This Row],[FECHA DE DEFUNCIÓN]]-higado[[#This Row],[FECHA_TRASPLANTE]])</f>
        <v>2367</v>
      </c>
      <c r="BV84" s="1">
        <f ca="1">IF(higado[[#This Row],[FALLECIDO_COD]]=0,TODAY()-higado[[#This Row],[FECHA_TRASPLANTE]],higado[[#This Row],[FECHA DE DEFUNCIÓN]]-higado[[#This Row],[FECHA_TRASPLANTE]])/30.4375</f>
        <v>77.765913757700204</v>
      </c>
      <c r="BW84" s="1">
        <f ca="1">IF(higado[[#This Row],[FALLECIDO_COD]]=0,TODAY()-higado[[#This Row],[FECHA_TRASPLANTE]],higado[[#This Row],[FECHA DE DEFUNCIÓN]]-higado[[#This Row],[FECHA_TRASPLANTE]])/365.25</f>
        <v>6.4804928131416837</v>
      </c>
    </row>
    <row r="85" spans="1:75" x14ac:dyDescent="0.35">
      <c r="A85" t="s">
        <v>75</v>
      </c>
      <c r="B85" t="s">
        <v>75</v>
      </c>
      <c r="D85" t="s">
        <v>380</v>
      </c>
      <c r="E85" t="s">
        <v>77</v>
      </c>
      <c r="I85">
        <v>119.1211498973306</v>
      </c>
      <c r="K85" t="s">
        <v>615</v>
      </c>
      <c r="L85" t="s">
        <v>348</v>
      </c>
      <c r="M85" t="s">
        <v>149</v>
      </c>
      <c r="N85">
        <v>106130328</v>
      </c>
      <c r="O85" s="18">
        <v>43509</v>
      </c>
      <c r="P85" t="s">
        <v>81</v>
      </c>
      <c r="Q85" s="2">
        <v>23291</v>
      </c>
      <c r="R85" s="1">
        <f>(higado[[#This Row],[FECHA_TRASPLANTE]]-higado[[#This Row],[FECHA_NAC]])/365.25</f>
        <v>55.353867214236821</v>
      </c>
      <c r="U85" t="s">
        <v>564</v>
      </c>
      <c r="V85">
        <v>22</v>
      </c>
      <c r="W85" t="s">
        <v>82</v>
      </c>
      <c r="X85" t="s">
        <v>91</v>
      </c>
      <c r="Y85" t="s">
        <v>116</v>
      </c>
      <c r="Z85" t="s">
        <v>616</v>
      </c>
      <c r="AD85">
        <v>12</v>
      </c>
      <c r="AM85" t="s">
        <v>106</v>
      </c>
      <c r="AY85" t="s">
        <v>106</v>
      </c>
      <c r="BS85" s="17">
        <f>higado[[#This Row],[FECHA_TRASPLANTE]]</f>
        <v>43509</v>
      </c>
      <c r="BT85">
        <f>IF(higado[[#This Row],[FALLECIDO SI/NO]]="NO",0,1)</f>
        <v>0</v>
      </c>
      <c r="BU85" s="1">
        <f ca="1">IF(higado[[#This Row],[FALLECIDO_COD]]=0,TODAY()-higado[[#This Row],[FECHA_TRASPLANTE]],higado[[#This Row],[FECHA DE DEFUNCIÓN]]-higado[[#This Row],[FECHA_TRASPLANTE]])</f>
        <v>2366</v>
      </c>
      <c r="BV85" s="1">
        <f ca="1">IF(higado[[#This Row],[FALLECIDO_COD]]=0,TODAY()-higado[[#This Row],[FECHA_TRASPLANTE]],higado[[#This Row],[FECHA DE DEFUNCIÓN]]-higado[[#This Row],[FECHA_TRASPLANTE]])/30.4375</f>
        <v>77.733059548254616</v>
      </c>
      <c r="BW85" s="1">
        <f ca="1">IF(higado[[#This Row],[FALLECIDO_COD]]=0,TODAY()-higado[[#This Row],[FECHA_TRASPLANTE]],higado[[#This Row],[FECHA DE DEFUNCIÓN]]-higado[[#This Row],[FECHA_TRASPLANTE]])/365.25</f>
        <v>6.4777549623545516</v>
      </c>
    </row>
    <row r="86" spans="1:75" x14ac:dyDescent="0.35">
      <c r="A86" t="s">
        <v>75</v>
      </c>
      <c r="B86" t="s">
        <v>75</v>
      </c>
      <c r="D86" t="s">
        <v>380</v>
      </c>
      <c r="E86" t="s">
        <v>77</v>
      </c>
      <c r="I86">
        <v>119.14305270362765</v>
      </c>
      <c r="K86" t="s">
        <v>617</v>
      </c>
      <c r="L86" t="s">
        <v>167</v>
      </c>
      <c r="M86" t="s">
        <v>411</v>
      </c>
      <c r="N86">
        <v>105930346</v>
      </c>
      <c r="O86" s="18">
        <v>43517</v>
      </c>
      <c r="P86" t="s">
        <v>81</v>
      </c>
      <c r="Q86" s="2">
        <v>21137</v>
      </c>
      <c r="R86" s="1">
        <f>(higado[[#This Row],[FECHA_TRASPLANTE]]-higado[[#This Row],[FECHA_NAC]])/365.25</f>
        <v>61.273100616016428</v>
      </c>
      <c r="U86" t="s">
        <v>416</v>
      </c>
      <c r="V86">
        <v>18</v>
      </c>
      <c r="W86" t="s">
        <v>82</v>
      </c>
      <c r="X86" t="s">
        <v>91</v>
      </c>
      <c r="Y86" t="s">
        <v>84</v>
      </c>
      <c r="Z86" t="s">
        <v>247</v>
      </c>
      <c r="AD86">
        <v>7</v>
      </c>
      <c r="AM86" t="s">
        <v>106</v>
      </c>
      <c r="AY86" t="s">
        <v>106</v>
      </c>
      <c r="BS86" s="17">
        <f>higado[[#This Row],[FECHA_TRASPLANTE]]</f>
        <v>43517</v>
      </c>
      <c r="BT86">
        <f>IF(higado[[#This Row],[FALLECIDO SI/NO]]="NO",0,1)</f>
        <v>0</v>
      </c>
      <c r="BU86" s="1">
        <f ca="1">IF(higado[[#This Row],[FALLECIDO_COD]]=0,TODAY()-higado[[#This Row],[FECHA_TRASPLANTE]],higado[[#This Row],[FECHA DE DEFUNCIÓN]]-higado[[#This Row],[FECHA_TRASPLANTE]])</f>
        <v>2358</v>
      </c>
      <c r="BV86" s="1">
        <f ca="1">IF(higado[[#This Row],[FALLECIDO_COD]]=0,TODAY()-higado[[#This Row],[FECHA_TRASPLANTE]],higado[[#This Row],[FECHA DE DEFUNCIÓN]]-higado[[#This Row],[FECHA_TRASPLANTE]])/30.4375</f>
        <v>77.470225872689937</v>
      </c>
      <c r="BW86" s="1">
        <f ca="1">IF(higado[[#This Row],[FALLECIDO_COD]]=0,TODAY()-higado[[#This Row],[FECHA_TRASPLANTE]],higado[[#This Row],[FECHA DE DEFUNCIÓN]]-higado[[#This Row],[FECHA_TRASPLANTE]])/365.25</f>
        <v>6.4558521560574951</v>
      </c>
    </row>
    <row r="87" spans="1:75" x14ac:dyDescent="0.35">
      <c r="A87" t="s">
        <v>376</v>
      </c>
      <c r="B87" t="s">
        <v>376</v>
      </c>
      <c r="D87" t="s">
        <v>380</v>
      </c>
      <c r="E87" t="s">
        <v>77</v>
      </c>
      <c r="H87" s="2"/>
      <c r="I87" s="3">
        <f>(higado[[#This Row],[FECHA_TRASPLANTE]]-higado[[#This Row],[FECHA_NAC_D]])/365.25</f>
        <v>119.25804243668721</v>
      </c>
      <c r="K87" t="s">
        <v>618</v>
      </c>
      <c r="L87" t="s">
        <v>94</v>
      </c>
      <c r="M87" t="s">
        <v>619</v>
      </c>
      <c r="N87">
        <v>209950723</v>
      </c>
      <c r="O87" s="18">
        <v>43559</v>
      </c>
      <c r="P87" t="s">
        <v>90</v>
      </c>
      <c r="Q87" s="2">
        <v>42061</v>
      </c>
      <c r="R87" s="1">
        <f>(higado[[#This Row],[FECHA_TRASPLANTE]]-higado[[#This Row],[FECHA_NAC]])/365.25</f>
        <v>4.1013004791238874</v>
      </c>
      <c r="T87" s="2">
        <v>43160</v>
      </c>
      <c r="U87" t="s">
        <v>620</v>
      </c>
      <c r="V87">
        <v>0</v>
      </c>
      <c r="W87" t="s">
        <v>82</v>
      </c>
      <c r="X87" t="s">
        <v>115</v>
      </c>
      <c r="Y87" t="s">
        <v>197</v>
      </c>
      <c r="Z87" t="s">
        <v>621</v>
      </c>
      <c r="AM87" t="s">
        <v>86</v>
      </c>
      <c r="AN87" s="2">
        <v>43593</v>
      </c>
      <c r="AO87" t="s">
        <v>622</v>
      </c>
      <c r="BS87" s="17">
        <f>higado[[#This Row],[FECHA_TRASPLANTE]]</f>
        <v>43559</v>
      </c>
      <c r="BT87">
        <f>IF(higado[[#This Row],[FALLECIDO SI/NO]]="NO",0,1)</f>
        <v>1</v>
      </c>
      <c r="BU87" s="1">
        <f ca="1">IF(higado[[#This Row],[FALLECIDO_COD]]=0,TODAY()-higado[[#This Row],[FECHA_TRASPLANTE]],higado[[#This Row],[FECHA DE DEFUNCIÓN]]-higado[[#This Row],[FECHA_TRASPLANTE]])</f>
        <v>34</v>
      </c>
      <c r="BV87" s="1">
        <f ca="1">IF(higado[[#This Row],[FALLECIDO_COD]]=0,TODAY()-higado[[#This Row],[FECHA_TRASPLANTE]],higado[[#This Row],[FECHA DE DEFUNCIÓN]]-higado[[#This Row],[FECHA_TRASPLANTE]])/30.4375</f>
        <v>1.1170431211498972</v>
      </c>
      <c r="BW87" s="1">
        <f ca="1">IF(higado[[#This Row],[FALLECIDO_COD]]=0,TODAY()-higado[[#This Row],[FECHA_TRASPLANTE]],higado[[#This Row],[FECHA DE DEFUNCIÓN]]-higado[[#This Row],[FECHA_TRASPLANTE]])/365.25</f>
        <v>9.3086926762491445E-2</v>
      </c>
    </row>
    <row r="88" spans="1:75" x14ac:dyDescent="0.35">
      <c r="A88" t="s">
        <v>75</v>
      </c>
      <c r="B88" t="s">
        <v>75</v>
      </c>
      <c r="D88" t="s">
        <v>380</v>
      </c>
      <c r="E88" t="s">
        <v>77</v>
      </c>
      <c r="I88">
        <v>119.27173169062286</v>
      </c>
      <c r="K88" t="s">
        <v>623</v>
      </c>
      <c r="L88" t="s">
        <v>624</v>
      </c>
      <c r="M88" t="s">
        <v>473</v>
      </c>
      <c r="N88">
        <v>304120204</v>
      </c>
      <c r="O88" s="18">
        <v>43564</v>
      </c>
      <c r="P88" t="s">
        <v>90</v>
      </c>
      <c r="Q88" s="2">
        <v>31576</v>
      </c>
      <c r="R88" s="1">
        <f>(higado[[#This Row],[FECHA_TRASPLANTE]]-higado[[#This Row],[FECHA_NAC]])/365.25</f>
        <v>32.821355236139631</v>
      </c>
      <c r="U88" t="s">
        <v>582</v>
      </c>
      <c r="V88">
        <v>40</v>
      </c>
      <c r="W88" t="s">
        <v>82</v>
      </c>
      <c r="X88" t="s">
        <v>110</v>
      </c>
      <c r="Y88" t="s">
        <v>134</v>
      </c>
      <c r="Z88" t="s">
        <v>134</v>
      </c>
      <c r="AD88">
        <v>14</v>
      </c>
      <c r="AM88" t="s">
        <v>106</v>
      </c>
      <c r="AY88" t="s">
        <v>106</v>
      </c>
      <c r="BS88" s="17">
        <f>higado[[#This Row],[FECHA_TRASPLANTE]]</f>
        <v>43564</v>
      </c>
      <c r="BT88">
        <f>IF(higado[[#This Row],[FALLECIDO SI/NO]]="NO",0,1)</f>
        <v>0</v>
      </c>
      <c r="BU88" s="1">
        <f ca="1">IF(higado[[#This Row],[FALLECIDO_COD]]=0,TODAY()-higado[[#This Row],[FECHA_TRASPLANTE]],higado[[#This Row],[FECHA DE DEFUNCIÓN]]-higado[[#This Row],[FECHA_TRASPLANTE]])</f>
        <v>2311</v>
      </c>
      <c r="BV88" s="1">
        <f ca="1">IF(higado[[#This Row],[FALLECIDO_COD]]=0,TODAY()-higado[[#This Row],[FECHA_TRASPLANTE]],higado[[#This Row],[FECHA DE DEFUNCIÓN]]-higado[[#This Row],[FECHA_TRASPLANTE]])/30.4375</f>
        <v>75.926078028747426</v>
      </c>
      <c r="BW88" s="1">
        <f ca="1">IF(higado[[#This Row],[FALLECIDO_COD]]=0,TODAY()-higado[[#This Row],[FECHA_TRASPLANTE]],higado[[#This Row],[FECHA DE DEFUNCIÓN]]-higado[[#This Row],[FECHA_TRASPLANTE]])/365.25</f>
        <v>6.3271731690622861</v>
      </c>
    </row>
    <row r="89" spans="1:75" x14ac:dyDescent="0.35">
      <c r="A89" t="s">
        <v>376</v>
      </c>
      <c r="B89" t="s">
        <v>376</v>
      </c>
      <c r="D89" t="s">
        <v>380</v>
      </c>
      <c r="E89" t="s">
        <v>77</v>
      </c>
      <c r="I89">
        <v>119.27720739219713</v>
      </c>
      <c r="K89" t="s">
        <v>625</v>
      </c>
      <c r="L89" t="s">
        <v>626</v>
      </c>
      <c r="M89" t="s">
        <v>199</v>
      </c>
      <c r="N89">
        <v>122750626</v>
      </c>
      <c r="O89" s="18">
        <v>43566</v>
      </c>
      <c r="P89" t="s">
        <v>81</v>
      </c>
      <c r="Q89" s="2">
        <v>42803</v>
      </c>
      <c r="R89" s="1">
        <f>(higado[[#This Row],[FECHA_TRASPLANTE]]-higado[[#This Row],[FECHA_NAC]])/365.25</f>
        <v>2.0889801505817931</v>
      </c>
      <c r="T89" s="2">
        <v>43550</v>
      </c>
      <c r="U89" t="s">
        <v>620</v>
      </c>
      <c r="V89">
        <v>0</v>
      </c>
      <c r="W89" t="s">
        <v>82</v>
      </c>
      <c r="X89" t="s">
        <v>91</v>
      </c>
      <c r="Y89" t="s">
        <v>116</v>
      </c>
      <c r="Z89" t="s">
        <v>627</v>
      </c>
      <c r="AM89" t="s">
        <v>106</v>
      </c>
      <c r="AY89" t="s">
        <v>106</v>
      </c>
      <c r="BS89" s="17">
        <f>higado[[#This Row],[FECHA_TRASPLANTE]]</f>
        <v>43566</v>
      </c>
      <c r="BT89">
        <f>IF(higado[[#This Row],[FALLECIDO SI/NO]]="NO",0,1)</f>
        <v>0</v>
      </c>
      <c r="BU89" s="1">
        <f ca="1">IF(higado[[#This Row],[FALLECIDO_COD]]=0,TODAY()-higado[[#This Row],[FECHA_TRASPLANTE]],higado[[#This Row],[FECHA DE DEFUNCIÓN]]-higado[[#This Row],[FECHA_TRASPLANTE]])</f>
        <v>2309</v>
      </c>
      <c r="BV89" s="1">
        <f ca="1">IF(higado[[#This Row],[FALLECIDO_COD]]=0,TODAY()-higado[[#This Row],[FECHA_TRASPLANTE]],higado[[#This Row],[FECHA DE DEFUNCIÓN]]-higado[[#This Row],[FECHA_TRASPLANTE]])/30.4375</f>
        <v>75.860369609856264</v>
      </c>
      <c r="BW89" s="1">
        <f ca="1">IF(higado[[#This Row],[FALLECIDO_COD]]=0,TODAY()-higado[[#This Row],[FECHA_TRASPLANTE]],higado[[#This Row],[FECHA DE DEFUNCIÓN]]-higado[[#This Row],[FECHA_TRASPLANTE]])/365.25</f>
        <v>6.321697467488022</v>
      </c>
    </row>
    <row r="90" spans="1:75" x14ac:dyDescent="0.35">
      <c r="A90" t="s">
        <v>377</v>
      </c>
      <c r="D90" t="s">
        <v>380</v>
      </c>
      <c r="E90" t="s">
        <v>77</v>
      </c>
      <c r="H90" s="2"/>
      <c r="I90" s="3">
        <f>(higado[[#This Row],[FECHA_TRASPLANTE]]-higado[[#This Row],[FECHA_NAC_D]])/365.25</f>
        <v>119.45516769336071</v>
      </c>
      <c r="K90" t="s">
        <v>628</v>
      </c>
      <c r="L90" t="s">
        <v>108</v>
      </c>
      <c r="M90" t="s">
        <v>629</v>
      </c>
      <c r="N90">
        <v>118760969</v>
      </c>
      <c r="O90" s="18">
        <v>43631</v>
      </c>
      <c r="P90" t="s">
        <v>90</v>
      </c>
      <c r="Q90" s="2">
        <v>37781</v>
      </c>
      <c r="R90" s="1">
        <f>(higado[[#This Row],[FECHA_TRASPLANTE]]-higado[[#This Row],[FECHA_NAC]])/365.25</f>
        <v>16.016427104722794</v>
      </c>
      <c r="U90" t="s">
        <v>630</v>
      </c>
      <c r="V90">
        <v>27</v>
      </c>
      <c r="W90" t="s">
        <v>82</v>
      </c>
      <c r="X90" t="s">
        <v>91</v>
      </c>
      <c r="Y90" t="s">
        <v>484</v>
      </c>
      <c r="Z90" t="s">
        <v>631</v>
      </c>
      <c r="AD90">
        <v>2</v>
      </c>
      <c r="AM90" t="s">
        <v>86</v>
      </c>
      <c r="AN90" s="2">
        <v>43633</v>
      </c>
      <c r="AY90" t="s">
        <v>106</v>
      </c>
      <c r="BS90" s="17">
        <f>higado[[#This Row],[FECHA_TRASPLANTE]]</f>
        <v>43631</v>
      </c>
      <c r="BT90">
        <f>IF(higado[[#This Row],[FALLECIDO SI/NO]]="NO",0,1)</f>
        <v>1</v>
      </c>
      <c r="BU90" s="1">
        <f ca="1">IF(higado[[#This Row],[FALLECIDO_COD]]=0,TODAY()-higado[[#This Row],[FECHA_TRASPLANTE]],higado[[#This Row],[FECHA DE DEFUNCIÓN]]-higado[[#This Row],[FECHA_TRASPLANTE]])</f>
        <v>2</v>
      </c>
      <c r="BV90" s="1">
        <f ca="1">IF(higado[[#This Row],[FALLECIDO_COD]]=0,TODAY()-higado[[#This Row],[FECHA_TRASPLANTE]],higado[[#This Row],[FECHA DE DEFUNCIÓN]]-higado[[#This Row],[FECHA_TRASPLANTE]])/30.4375</f>
        <v>6.5708418891170434E-2</v>
      </c>
      <c r="BW90" s="1">
        <f ca="1">IF(higado[[#This Row],[FALLECIDO_COD]]=0,TODAY()-higado[[#This Row],[FECHA_TRASPLANTE]],higado[[#This Row],[FECHA DE DEFUNCIÓN]]-higado[[#This Row],[FECHA_TRASPLANTE]])/365.25</f>
        <v>5.4757015742642025E-3</v>
      </c>
    </row>
    <row r="91" spans="1:75" x14ac:dyDescent="0.35">
      <c r="A91" t="s">
        <v>75</v>
      </c>
      <c r="B91" t="s">
        <v>75</v>
      </c>
      <c r="D91" t="s">
        <v>380</v>
      </c>
      <c r="E91" t="s">
        <v>77</v>
      </c>
      <c r="H91" s="2"/>
      <c r="I91" s="3">
        <f>(higado[[#This Row],[FECHA_TRASPLANTE]]-higado[[#This Row],[FECHA_NAC_D]])/365.25</f>
        <v>119.4798083504449</v>
      </c>
      <c r="K91" t="s">
        <v>632</v>
      </c>
      <c r="L91" t="s">
        <v>132</v>
      </c>
      <c r="M91" t="s">
        <v>99</v>
      </c>
      <c r="N91">
        <v>105720105</v>
      </c>
      <c r="O91" s="18">
        <v>43640</v>
      </c>
      <c r="P91" t="s">
        <v>81</v>
      </c>
      <c r="Q91" s="2">
        <v>22502</v>
      </c>
      <c r="R91" s="1">
        <f>(higado[[#This Row],[FECHA_TRASPLANTE]]-higado[[#This Row],[FECHA_NAC]])/365.25</f>
        <v>57.872689938398359</v>
      </c>
      <c r="U91" t="s">
        <v>633</v>
      </c>
      <c r="V91">
        <v>17</v>
      </c>
      <c r="W91" t="s">
        <v>82</v>
      </c>
      <c r="X91" t="s">
        <v>91</v>
      </c>
      <c r="Y91" t="s">
        <v>553</v>
      </c>
      <c r="Z91" t="s">
        <v>634</v>
      </c>
      <c r="AD91">
        <v>3</v>
      </c>
      <c r="AM91" t="s">
        <v>86</v>
      </c>
      <c r="AN91" s="2">
        <v>43641</v>
      </c>
      <c r="AY91" t="s">
        <v>106</v>
      </c>
      <c r="BS91" s="17">
        <f>higado[[#This Row],[FECHA_TRASPLANTE]]</f>
        <v>43640</v>
      </c>
      <c r="BT91">
        <f>IF(higado[[#This Row],[FALLECIDO SI/NO]]="NO",0,1)</f>
        <v>1</v>
      </c>
      <c r="BU91" s="1">
        <f ca="1">IF(higado[[#This Row],[FALLECIDO_COD]]=0,TODAY()-higado[[#This Row],[FECHA_TRASPLANTE]],higado[[#This Row],[FECHA DE DEFUNCIÓN]]-higado[[#This Row],[FECHA_TRASPLANTE]])</f>
        <v>1</v>
      </c>
      <c r="BV91" s="1">
        <f ca="1">IF(higado[[#This Row],[FALLECIDO_COD]]=0,TODAY()-higado[[#This Row],[FECHA_TRASPLANTE]],higado[[#This Row],[FECHA DE DEFUNCIÓN]]-higado[[#This Row],[FECHA_TRASPLANTE]])/30.4375</f>
        <v>3.2854209445585217E-2</v>
      </c>
      <c r="BW91" s="1">
        <f ca="1">IF(higado[[#This Row],[FALLECIDO_COD]]=0,TODAY()-higado[[#This Row],[FECHA_TRASPLANTE]],higado[[#This Row],[FECHA DE DEFUNCIÓN]]-higado[[#This Row],[FECHA_TRASPLANTE]])/365.25</f>
        <v>2.7378507871321013E-3</v>
      </c>
    </row>
    <row r="92" spans="1:75" x14ac:dyDescent="0.35">
      <c r="A92" t="s">
        <v>376</v>
      </c>
      <c r="B92" t="s">
        <v>376</v>
      </c>
      <c r="D92" t="s">
        <v>380</v>
      </c>
      <c r="E92" t="s">
        <v>77</v>
      </c>
      <c r="H92" s="2"/>
      <c r="I92" s="3">
        <f>(higado[[#This Row],[FECHA_TRASPLANTE]]-higado[[#This Row],[FECHA_NAC_D]])/365.25</f>
        <v>119.48528405201917</v>
      </c>
      <c r="K92" t="s">
        <v>635</v>
      </c>
      <c r="L92" t="s">
        <v>475</v>
      </c>
      <c r="M92" t="s">
        <v>636</v>
      </c>
      <c r="N92">
        <v>209590051</v>
      </c>
      <c r="O92" s="18">
        <v>43642</v>
      </c>
      <c r="P92" t="s">
        <v>90</v>
      </c>
      <c r="Q92" s="2">
        <v>41063</v>
      </c>
      <c r="R92" s="1">
        <f>(higado[[#This Row],[FECHA_TRASPLANTE]]-higado[[#This Row],[FECHA_NAC]])/365.25</f>
        <v>7.0609171800136892</v>
      </c>
      <c r="T92" s="2">
        <v>43473</v>
      </c>
      <c r="U92" t="s">
        <v>637</v>
      </c>
      <c r="V92">
        <v>35</v>
      </c>
      <c r="W92" t="s">
        <v>82</v>
      </c>
      <c r="X92" t="s">
        <v>115</v>
      </c>
      <c r="Y92" t="s">
        <v>638</v>
      </c>
      <c r="Z92" t="s">
        <v>639</v>
      </c>
      <c r="AM92" t="s">
        <v>86</v>
      </c>
      <c r="AN92" s="2">
        <v>43646</v>
      </c>
      <c r="AO92" t="s">
        <v>640</v>
      </c>
      <c r="BS92" s="17">
        <f>higado[[#This Row],[FECHA_TRASPLANTE]]</f>
        <v>43642</v>
      </c>
      <c r="BT92">
        <f>IF(higado[[#This Row],[FALLECIDO SI/NO]]="NO",0,1)</f>
        <v>1</v>
      </c>
      <c r="BU92" s="1">
        <f ca="1">IF(higado[[#This Row],[FALLECIDO_COD]]=0,TODAY()-higado[[#This Row],[FECHA_TRASPLANTE]],higado[[#This Row],[FECHA DE DEFUNCIÓN]]-higado[[#This Row],[FECHA_TRASPLANTE]])</f>
        <v>4</v>
      </c>
      <c r="BV92" s="1">
        <f ca="1">IF(higado[[#This Row],[FALLECIDO_COD]]=0,TODAY()-higado[[#This Row],[FECHA_TRASPLANTE]],higado[[#This Row],[FECHA DE DEFUNCIÓN]]-higado[[#This Row],[FECHA_TRASPLANTE]])/30.4375</f>
        <v>0.13141683778234087</v>
      </c>
      <c r="BW92" s="1">
        <f ca="1">IF(higado[[#This Row],[FALLECIDO_COD]]=0,TODAY()-higado[[#This Row],[FECHA_TRASPLANTE]],higado[[#This Row],[FECHA DE DEFUNCIÓN]]-higado[[#This Row],[FECHA_TRASPLANTE]])/365.25</f>
        <v>1.0951403148528405E-2</v>
      </c>
    </row>
    <row r="93" spans="1:75" x14ac:dyDescent="0.35">
      <c r="A93" t="s">
        <v>377</v>
      </c>
      <c r="D93" t="s">
        <v>380</v>
      </c>
      <c r="E93" t="s">
        <v>77</v>
      </c>
      <c r="H93" s="2"/>
      <c r="I93" s="3">
        <f>(higado[[#This Row],[FECHA_TRASPLANTE]]-higado[[#This Row],[FECHA_NAC_D]])/365.25</f>
        <v>119.51813826146476</v>
      </c>
      <c r="K93" t="s">
        <v>641</v>
      </c>
      <c r="L93" t="s">
        <v>243</v>
      </c>
      <c r="M93" t="s">
        <v>642</v>
      </c>
      <c r="N93">
        <v>104430472</v>
      </c>
      <c r="O93" s="18">
        <v>43654</v>
      </c>
      <c r="P93" t="s">
        <v>81</v>
      </c>
      <c r="Q93" s="2">
        <v>20232</v>
      </c>
      <c r="R93" s="1">
        <f>(higado[[#This Row],[FECHA_TRASPLANTE]]-higado[[#This Row],[FECHA_NAC]])/365.25</f>
        <v>64.12594113620807</v>
      </c>
      <c r="U93" t="s">
        <v>552</v>
      </c>
      <c r="V93">
        <v>12</v>
      </c>
      <c r="W93" t="s">
        <v>82</v>
      </c>
      <c r="X93" t="s">
        <v>91</v>
      </c>
      <c r="Y93" t="s">
        <v>179</v>
      </c>
      <c r="Z93" t="s">
        <v>621</v>
      </c>
      <c r="AD93">
        <v>90</v>
      </c>
      <c r="AM93" t="s">
        <v>86</v>
      </c>
      <c r="AN93" s="2">
        <v>43747</v>
      </c>
      <c r="AY93" t="s">
        <v>106</v>
      </c>
      <c r="BS93" s="17">
        <f>higado[[#This Row],[FECHA_TRASPLANTE]]</f>
        <v>43654</v>
      </c>
      <c r="BT93">
        <f>IF(higado[[#This Row],[FALLECIDO SI/NO]]="NO",0,1)</f>
        <v>1</v>
      </c>
      <c r="BU93" s="1">
        <f ca="1">IF(higado[[#This Row],[FALLECIDO_COD]]=0,TODAY()-higado[[#This Row],[FECHA_TRASPLANTE]],higado[[#This Row],[FECHA DE DEFUNCIÓN]]-higado[[#This Row],[FECHA_TRASPLANTE]])</f>
        <v>93</v>
      </c>
      <c r="BV93" s="1">
        <f ca="1">IF(higado[[#This Row],[FALLECIDO_COD]]=0,TODAY()-higado[[#This Row],[FECHA_TRASPLANTE]],higado[[#This Row],[FECHA DE DEFUNCIÓN]]-higado[[#This Row],[FECHA_TRASPLANTE]])/30.4375</f>
        <v>3.055441478439425</v>
      </c>
      <c r="BW93" s="1">
        <f ca="1">IF(higado[[#This Row],[FALLECIDO_COD]]=0,TODAY()-higado[[#This Row],[FECHA_TRASPLANTE]],higado[[#This Row],[FECHA DE DEFUNCIÓN]]-higado[[#This Row],[FECHA_TRASPLANTE]])/365.25</f>
        <v>0.25462012320328542</v>
      </c>
    </row>
    <row r="94" spans="1:75" x14ac:dyDescent="0.35">
      <c r="A94" t="s">
        <v>377</v>
      </c>
      <c r="D94" t="s">
        <v>380</v>
      </c>
      <c r="E94" t="s">
        <v>77</v>
      </c>
      <c r="H94" s="2"/>
      <c r="I94" s="3">
        <f>(higado[[#This Row],[FECHA_TRASPLANTE]]-higado[[#This Row],[FECHA_NAC_D]])/365.25</f>
        <v>119.51813826146476</v>
      </c>
      <c r="K94" t="s">
        <v>643</v>
      </c>
      <c r="L94" t="s">
        <v>184</v>
      </c>
      <c r="M94" t="s">
        <v>99</v>
      </c>
      <c r="N94">
        <v>502200885</v>
      </c>
      <c r="O94" s="18">
        <v>43654</v>
      </c>
      <c r="P94" t="s">
        <v>81</v>
      </c>
      <c r="Q94" s="2">
        <v>23717</v>
      </c>
      <c r="R94" s="1">
        <f>(higado[[#This Row],[FECHA_TRASPLANTE]]-higado[[#This Row],[FECHA_NAC]])/365.25</f>
        <v>54.5845311430527</v>
      </c>
      <c r="U94" t="s">
        <v>644</v>
      </c>
      <c r="V94">
        <v>33</v>
      </c>
      <c r="W94" t="s">
        <v>82</v>
      </c>
      <c r="X94" t="s">
        <v>261</v>
      </c>
      <c r="Y94" t="s">
        <v>88</v>
      </c>
      <c r="Z94" t="s">
        <v>645</v>
      </c>
      <c r="AD94">
        <v>23</v>
      </c>
      <c r="AM94" t="s">
        <v>86</v>
      </c>
      <c r="AN94" s="2">
        <v>43678</v>
      </c>
      <c r="AY94" t="s">
        <v>106</v>
      </c>
      <c r="BS94" s="17">
        <f>higado[[#This Row],[FECHA_TRASPLANTE]]</f>
        <v>43654</v>
      </c>
      <c r="BT94">
        <f>IF(higado[[#This Row],[FALLECIDO SI/NO]]="NO",0,1)</f>
        <v>1</v>
      </c>
      <c r="BU94" s="1">
        <f ca="1">IF(higado[[#This Row],[FALLECIDO_COD]]=0,TODAY()-higado[[#This Row],[FECHA_TRASPLANTE]],higado[[#This Row],[FECHA DE DEFUNCIÓN]]-higado[[#This Row],[FECHA_TRASPLANTE]])</f>
        <v>24</v>
      </c>
      <c r="BV94" s="1">
        <f ca="1">IF(higado[[#This Row],[FALLECIDO_COD]]=0,TODAY()-higado[[#This Row],[FECHA_TRASPLANTE]],higado[[#This Row],[FECHA DE DEFUNCIÓN]]-higado[[#This Row],[FECHA_TRASPLANTE]])/30.4375</f>
        <v>0.7885010266940452</v>
      </c>
      <c r="BW94" s="1">
        <f ca="1">IF(higado[[#This Row],[FALLECIDO_COD]]=0,TODAY()-higado[[#This Row],[FECHA_TRASPLANTE]],higado[[#This Row],[FECHA DE DEFUNCIÓN]]-higado[[#This Row],[FECHA_TRASPLANTE]])/365.25</f>
        <v>6.5708418891170434E-2</v>
      </c>
    </row>
    <row r="95" spans="1:75" x14ac:dyDescent="0.35">
      <c r="A95" t="s">
        <v>75</v>
      </c>
      <c r="B95" t="s">
        <v>75</v>
      </c>
      <c r="D95" t="s">
        <v>380</v>
      </c>
      <c r="E95" t="s">
        <v>77</v>
      </c>
      <c r="I95">
        <v>119.54277891854893</v>
      </c>
      <c r="K95" t="s">
        <v>646</v>
      </c>
      <c r="L95" t="s">
        <v>647</v>
      </c>
      <c r="M95" t="s">
        <v>648</v>
      </c>
      <c r="N95">
        <v>106120955</v>
      </c>
      <c r="O95" s="18">
        <v>43663</v>
      </c>
      <c r="P95" t="s">
        <v>90</v>
      </c>
      <c r="Q95" s="2">
        <v>22311</v>
      </c>
      <c r="R95" s="1">
        <f>(higado[[#This Row],[FECHA_TRASPLANTE]]-higado[[#This Row],[FECHA_NAC]])/365.25</f>
        <v>58.458590006844624</v>
      </c>
      <c r="U95" t="s">
        <v>649</v>
      </c>
      <c r="V95">
        <v>15</v>
      </c>
      <c r="W95" t="s">
        <v>82</v>
      </c>
      <c r="X95" t="s">
        <v>91</v>
      </c>
      <c r="Y95" t="s">
        <v>193</v>
      </c>
      <c r="Z95" t="s">
        <v>193</v>
      </c>
      <c r="AD95">
        <v>8</v>
      </c>
      <c r="AM95" t="s">
        <v>106</v>
      </c>
      <c r="AY95" t="s">
        <v>106</v>
      </c>
      <c r="BS95" s="17">
        <f>higado[[#This Row],[FECHA_TRASPLANTE]]</f>
        <v>43663</v>
      </c>
      <c r="BT95">
        <f>IF(higado[[#This Row],[FALLECIDO SI/NO]]="NO",0,1)</f>
        <v>0</v>
      </c>
      <c r="BU95" s="1">
        <f ca="1">IF(higado[[#This Row],[FALLECIDO_COD]]=0,TODAY()-higado[[#This Row],[FECHA_TRASPLANTE]],higado[[#This Row],[FECHA DE DEFUNCIÓN]]-higado[[#This Row],[FECHA_TRASPLANTE]])</f>
        <v>2212</v>
      </c>
      <c r="BV95" s="1">
        <f ca="1">IF(higado[[#This Row],[FALLECIDO_COD]]=0,TODAY()-higado[[#This Row],[FECHA_TRASPLANTE]],higado[[#This Row],[FECHA DE DEFUNCIÓN]]-higado[[#This Row],[FECHA_TRASPLANTE]])/30.4375</f>
        <v>72.67351129363449</v>
      </c>
      <c r="BW95" s="1">
        <f ca="1">IF(higado[[#This Row],[FALLECIDO_COD]]=0,TODAY()-higado[[#This Row],[FECHA_TRASPLANTE]],higado[[#This Row],[FECHA DE DEFUNCIÓN]]-higado[[#This Row],[FECHA_TRASPLANTE]])/365.25</f>
        <v>6.0561259411362078</v>
      </c>
    </row>
    <row r="96" spans="1:75" x14ac:dyDescent="0.35">
      <c r="A96" t="s">
        <v>376</v>
      </c>
      <c r="B96" t="s">
        <v>376</v>
      </c>
      <c r="D96" t="s">
        <v>380</v>
      </c>
      <c r="E96" t="s">
        <v>77</v>
      </c>
      <c r="I96">
        <v>119.67693360711841</v>
      </c>
      <c r="N96">
        <v>20200712</v>
      </c>
      <c r="O96" s="18">
        <v>43712</v>
      </c>
      <c r="P96" t="s">
        <v>90</v>
      </c>
      <c r="Q96" s="2">
        <v>42319</v>
      </c>
      <c r="R96" s="1">
        <f>(higado[[#This Row],[FECHA_TRASPLANTE]]-higado[[#This Row],[FECHA_NAC]])/365.25</f>
        <v>3.8138261464750172</v>
      </c>
      <c r="T96" s="2">
        <v>43313</v>
      </c>
      <c r="U96" t="s">
        <v>650</v>
      </c>
      <c r="V96">
        <v>21</v>
      </c>
      <c r="X96" t="s">
        <v>91</v>
      </c>
      <c r="Y96" t="s">
        <v>91</v>
      </c>
      <c r="Z96" t="s">
        <v>307</v>
      </c>
      <c r="AM96" t="s">
        <v>106</v>
      </c>
      <c r="AY96" t="s">
        <v>106</v>
      </c>
      <c r="BS96" s="17">
        <f>higado[[#This Row],[FECHA_TRASPLANTE]]</f>
        <v>43712</v>
      </c>
      <c r="BT96">
        <f>IF(higado[[#This Row],[FALLECIDO SI/NO]]="NO",0,1)</f>
        <v>0</v>
      </c>
      <c r="BU96" s="1">
        <f ca="1">IF(higado[[#This Row],[FALLECIDO_COD]]=0,TODAY()-higado[[#This Row],[FECHA_TRASPLANTE]],higado[[#This Row],[FECHA DE DEFUNCIÓN]]-higado[[#This Row],[FECHA_TRASPLANTE]])</f>
        <v>2163</v>
      </c>
      <c r="BV96" s="1">
        <f ca="1">IF(higado[[#This Row],[FALLECIDO_COD]]=0,TODAY()-higado[[#This Row],[FECHA_TRASPLANTE]],higado[[#This Row],[FECHA DE DEFUNCIÓN]]-higado[[#This Row],[FECHA_TRASPLANTE]])/30.4375</f>
        <v>71.063655030800817</v>
      </c>
      <c r="BW96" s="1">
        <f ca="1">IF(higado[[#This Row],[FALLECIDO_COD]]=0,TODAY()-higado[[#This Row],[FECHA_TRASPLANTE]],higado[[#This Row],[FECHA DE DEFUNCIÓN]]-higado[[#This Row],[FECHA_TRASPLANTE]])/365.25</f>
        <v>5.9219712525667347</v>
      </c>
    </row>
    <row r="97" spans="1:75" x14ac:dyDescent="0.35">
      <c r="A97" t="s">
        <v>75</v>
      </c>
      <c r="B97" t="s">
        <v>75</v>
      </c>
      <c r="D97" t="s">
        <v>380</v>
      </c>
      <c r="E97" t="s">
        <v>77</v>
      </c>
      <c r="I97">
        <v>119.74537987679672</v>
      </c>
      <c r="K97" t="s">
        <v>651</v>
      </c>
      <c r="L97" t="s">
        <v>132</v>
      </c>
      <c r="M97" t="s">
        <v>652</v>
      </c>
      <c r="N97">
        <v>114910055</v>
      </c>
      <c r="O97" s="18">
        <v>43737</v>
      </c>
      <c r="P97" t="s">
        <v>81</v>
      </c>
      <c r="Q97" s="2">
        <v>33626</v>
      </c>
      <c r="R97" s="1">
        <f>(higado[[#This Row],[FECHA_TRASPLANTE]]-higado[[#This Row],[FECHA_NAC]])/365.25</f>
        <v>27.682409308692677</v>
      </c>
      <c r="U97" t="s">
        <v>653</v>
      </c>
      <c r="V97">
        <v>28</v>
      </c>
      <c r="W97" t="s">
        <v>82</v>
      </c>
      <c r="X97" t="s">
        <v>91</v>
      </c>
      <c r="Y97" t="s">
        <v>84</v>
      </c>
      <c r="Z97" t="s">
        <v>450</v>
      </c>
      <c r="AD97">
        <v>45</v>
      </c>
      <c r="AM97" t="s">
        <v>106</v>
      </c>
      <c r="AY97" t="s">
        <v>106</v>
      </c>
      <c r="BS97" s="17">
        <f>higado[[#This Row],[FECHA_TRASPLANTE]]</f>
        <v>43737</v>
      </c>
      <c r="BT97">
        <f>IF(higado[[#This Row],[FALLECIDO SI/NO]]="NO",0,1)</f>
        <v>0</v>
      </c>
      <c r="BU97" s="1">
        <f ca="1">IF(higado[[#This Row],[FALLECIDO_COD]]=0,TODAY()-higado[[#This Row],[FECHA_TRASPLANTE]],higado[[#This Row],[FECHA DE DEFUNCIÓN]]-higado[[#This Row],[FECHA_TRASPLANTE]])</f>
        <v>2138</v>
      </c>
      <c r="BV97" s="1">
        <f ca="1">IF(higado[[#This Row],[FALLECIDO_COD]]=0,TODAY()-higado[[#This Row],[FECHA_TRASPLANTE]],higado[[#This Row],[FECHA DE DEFUNCIÓN]]-higado[[#This Row],[FECHA_TRASPLANTE]])/30.4375</f>
        <v>70.242299794661193</v>
      </c>
      <c r="BW97" s="1">
        <f ca="1">IF(higado[[#This Row],[FALLECIDO_COD]]=0,TODAY()-higado[[#This Row],[FECHA_TRASPLANTE]],higado[[#This Row],[FECHA DE DEFUNCIÓN]]-higado[[#This Row],[FECHA_TRASPLANTE]])/365.25</f>
        <v>5.8535249828884321</v>
      </c>
    </row>
    <row r="98" spans="1:75" x14ac:dyDescent="0.35">
      <c r="A98" t="s">
        <v>376</v>
      </c>
      <c r="B98" t="s">
        <v>376</v>
      </c>
      <c r="D98" t="s">
        <v>380</v>
      </c>
      <c r="E98" t="s">
        <v>77</v>
      </c>
      <c r="I98">
        <v>119.78644763860369</v>
      </c>
      <c r="K98" t="s">
        <v>654</v>
      </c>
      <c r="L98" t="s">
        <v>269</v>
      </c>
      <c r="M98" t="s">
        <v>448</v>
      </c>
      <c r="N98">
        <v>210030594</v>
      </c>
      <c r="O98" s="18">
        <v>43752</v>
      </c>
      <c r="P98" t="s">
        <v>81</v>
      </c>
      <c r="Q98" s="2">
        <v>42271</v>
      </c>
      <c r="R98" s="1">
        <f>(higado[[#This Row],[FECHA_TRASPLANTE]]-higado[[#This Row],[FECHA_NAC]])/365.25</f>
        <v>4.0547570157426422</v>
      </c>
      <c r="T98" s="2">
        <v>43571</v>
      </c>
      <c r="U98" t="s">
        <v>655</v>
      </c>
      <c r="V98">
        <v>0</v>
      </c>
      <c r="W98" t="s">
        <v>82</v>
      </c>
      <c r="X98" t="s">
        <v>115</v>
      </c>
      <c r="Y98" t="s">
        <v>656</v>
      </c>
      <c r="Z98" t="s">
        <v>657</v>
      </c>
      <c r="AM98" t="s">
        <v>106</v>
      </c>
      <c r="AY98" t="s">
        <v>106</v>
      </c>
      <c r="BS98" s="17">
        <f>higado[[#This Row],[FECHA_TRASPLANTE]]</f>
        <v>43752</v>
      </c>
      <c r="BT98">
        <f>IF(higado[[#This Row],[FALLECIDO SI/NO]]="NO",0,1)</f>
        <v>0</v>
      </c>
      <c r="BU98" s="1">
        <f ca="1">IF(higado[[#This Row],[FALLECIDO_COD]]=0,TODAY()-higado[[#This Row],[FECHA_TRASPLANTE]],higado[[#This Row],[FECHA DE DEFUNCIÓN]]-higado[[#This Row],[FECHA_TRASPLANTE]])</f>
        <v>2123</v>
      </c>
      <c r="BV98" s="1">
        <f ca="1">IF(higado[[#This Row],[FALLECIDO_COD]]=0,TODAY()-higado[[#This Row],[FECHA_TRASPLANTE]],higado[[#This Row],[FECHA DE DEFUNCIÓN]]-higado[[#This Row],[FECHA_TRASPLANTE]])/30.4375</f>
        <v>69.74948665297741</v>
      </c>
      <c r="BW98" s="1">
        <f ca="1">IF(higado[[#This Row],[FALLECIDO_COD]]=0,TODAY()-higado[[#This Row],[FECHA_TRASPLANTE]],higado[[#This Row],[FECHA DE DEFUNCIÓN]]-higado[[#This Row],[FECHA_TRASPLANTE]])/365.25</f>
        <v>5.8124572210814511</v>
      </c>
    </row>
    <row r="99" spans="1:75" x14ac:dyDescent="0.35">
      <c r="A99" t="s">
        <v>75</v>
      </c>
      <c r="B99" t="s">
        <v>75</v>
      </c>
      <c r="D99" t="s">
        <v>380</v>
      </c>
      <c r="E99" t="s">
        <v>77</v>
      </c>
      <c r="I99">
        <v>119.81656399726215</v>
      </c>
      <c r="K99" t="s">
        <v>651</v>
      </c>
      <c r="L99" t="s">
        <v>132</v>
      </c>
      <c r="M99" t="s">
        <v>652</v>
      </c>
      <c r="N99">
        <v>114910055</v>
      </c>
      <c r="O99" s="18">
        <v>43763</v>
      </c>
      <c r="P99" t="s">
        <v>81</v>
      </c>
      <c r="Q99" s="2">
        <v>33626</v>
      </c>
      <c r="R99" s="1">
        <f>(higado[[#This Row],[FECHA_TRASPLANTE]]-higado[[#This Row],[FECHA_NAC]])/365.25</f>
        <v>27.753593429158112</v>
      </c>
      <c r="U99" t="s">
        <v>658</v>
      </c>
      <c r="V99">
        <v>16</v>
      </c>
      <c r="W99" t="s">
        <v>82</v>
      </c>
      <c r="X99" t="s">
        <v>91</v>
      </c>
      <c r="Y99" t="s">
        <v>84</v>
      </c>
      <c r="Z99" t="s">
        <v>450</v>
      </c>
      <c r="AD99">
        <v>19</v>
      </c>
      <c r="AM99" t="s">
        <v>106</v>
      </c>
      <c r="AY99" t="s">
        <v>106</v>
      </c>
      <c r="BS99" s="17">
        <f>higado[[#This Row],[FECHA_TRASPLANTE]]</f>
        <v>43763</v>
      </c>
      <c r="BT99">
        <f>IF(higado[[#This Row],[FALLECIDO SI/NO]]="NO",0,1)</f>
        <v>0</v>
      </c>
      <c r="BU99" s="1">
        <f ca="1">IF(higado[[#This Row],[FALLECIDO_COD]]=0,TODAY()-higado[[#This Row],[FECHA_TRASPLANTE]],higado[[#This Row],[FECHA DE DEFUNCIÓN]]-higado[[#This Row],[FECHA_TRASPLANTE]])</f>
        <v>2112</v>
      </c>
      <c r="BV99" s="1">
        <f ca="1">IF(higado[[#This Row],[FALLECIDO_COD]]=0,TODAY()-higado[[#This Row],[FECHA_TRASPLANTE]],higado[[#This Row],[FECHA DE DEFUNCIÓN]]-higado[[#This Row],[FECHA_TRASPLANTE]])/30.4375</f>
        <v>69.388090349075981</v>
      </c>
      <c r="BW99" s="1">
        <f ca="1">IF(higado[[#This Row],[FALLECIDO_COD]]=0,TODAY()-higado[[#This Row],[FECHA_TRASPLANTE]],higado[[#This Row],[FECHA DE DEFUNCIÓN]]-higado[[#This Row],[FECHA_TRASPLANTE]])/365.25</f>
        <v>5.7823408624229984</v>
      </c>
    </row>
    <row r="100" spans="1:75" x14ac:dyDescent="0.35">
      <c r="A100" t="s">
        <v>75</v>
      </c>
      <c r="B100" t="s">
        <v>75</v>
      </c>
      <c r="D100" t="s">
        <v>380</v>
      </c>
      <c r="E100" t="s">
        <v>77</v>
      </c>
      <c r="I100">
        <v>119.8384668035592</v>
      </c>
      <c r="K100" t="s">
        <v>528</v>
      </c>
      <c r="L100" t="s">
        <v>408</v>
      </c>
      <c r="M100" t="s">
        <v>408</v>
      </c>
      <c r="N100">
        <v>105480691</v>
      </c>
      <c r="O100" s="18">
        <v>43771</v>
      </c>
      <c r="P100" t="s">
        <v>81</v>
      </c>
      <c r="Q100" s="2">
        <v>21126</v>
      </c>
      <c r="R100" s="1">
        <f>(higado[[#This Row],[FECHA_TRASPLANTE]]-higado[[#This Row],[FECHA_NAC]])/365.25</f>
        <v>61.998631074606436</v>
      </c>
      <c r="U100" t="s">
        <v>416</v>
      </c>
      <c r="V100">
        <v>22</v>
      </c>
      <c r="W100" t="s">
        <v>82</v>
      </c>
      <c r="X100" t="s">
        <v>91</v>
      </c>
      <c r="Y100" t="s">
        <v>193</v>
      </c>
      <c r="Z100" t="s">
        <v>193</v>
      </c>
      <c r="AD100">
        <v>41</v>
      </c>
      <c r="AM100" t="s">
        <v>106</v>
      </c>
      <c r="AY100" t="s">
        <v>106</v>
      </c>
      <c r="BS100" s="17">
        <f>higado[[#This Row],[FECHA_TRASPLANTE]]</f>
        <v>43771</v>
      </c>
      <c r="BT100">
        <f>IF(higado[[#This Row],[FALLECIDO SI/NO]]="NO",0,1)</f>
        <v>0</v>
      </c>
      <c r="BU100" s="1">
        <f ca="1">IF(higado[[#This Row],[FALLECIDO_COD]]=0,TODAY()-higado[[#This Row],[FECHA_TRASPLANTE]],higado[[#This Row],[FECHA DE DEFUNCIÓN]]-higado[[#This Row],[FECHA_TRASPLANTE]])</f>
        <v>2104</v>
      </c>
      <c r="BV100" s="1">
        <f ca="1">IF(higado[[#This Row],[FALLECIDO_COD]]=0,TODAY()-higado[[#This Row],[FECHA_TRASPLANTE]],higado[[#This Row],[FECHA DE DEFUNCIÓN]]-higado[[#This Row],[FECHA_TRASPLANTE]])/30.4375</f>
        <v>69.125256673511288</v>
      </c>
      <c r="BW100" s="1">
        <f ca="1">IF(higado[[#This Row],[FALLECIDO_COD]]=0,TODAY()-higado[[#This Row],[FECHA_TRASPLANTE]],higado[[#This Row],[FECHA DE DEFUNCIÓN]]-higado[[#This Row],[FECHA_TRASPLANTE]])/365.25</f>
        <v>5.760438056125941</v>
      </c>
    </row>
    <row r="101" spans="1:75" x14ac:dyDescent="0.35">
      <c r="A101" t="s">
        <v>75</v>
      </c>
      <c r="B101" t="s">
        <v>75</v>
      </c>
      <c r="D101" t="s">
        <v>380</v>
      </c>
      <c r="E101" t="s">
        <v>77</v>
      </c>
      <c r="H101" s="2"/>
      <c r="I101" s="3">
        <f>(higado[[#This Row],[FECHA_TRASPLANTE]]-higado[[#This Row],[FECHA_NAC_D]])/365.25</f>
        <v>119.95071868583162</v>
      </c>
      <c r="K101" t="s">
        <v>659</v>
      </c>
      <c r="L101" t="s">
        <v>141</v>
      </c>
      <c r="M101" t="s">
        <v>258</v>
      </c>
      <c r="N101">
        <v>603910849</v>
      </c>
      <c r="O101" s="18">
        <v>43812</v>
      </c>
      <c r="P101" t="s">
        <v>90</v>
      </c>
      <c r="Q101" s="2">
        <v>33211</v>
      </c>
      <c r="R101" s="1">
        <f>(higado[[#This Row],[FECHA_TRASPLANTE]]-higado[[#This Row],[FECHA_NAC]])/365.25</f>
        <v>29.023956194387406</v>
      </c>
      <c r="U101" t="s">
        <v>660</v>
      </c>
      <c r="V101">
        <v>18</v>
      </c>
      <c r="W101" t="s">
        <v>82</v>
      </c>
      <c r="X101" t="s">
        <v>91</v>
      </c>
      <c r="Y101" t="s">
        <v>91</v>
      </c>
      <c r="Z101" t="s">
        <v>307</v>
      </c>
      <c r="AD101">
        <v>10</v>
      </c>
      <c r="AM101" t="s">
        <v>86</v>
      </c>
      <c r="AN101" s="2">
        <v>43999</v>
      </c>
      <c r="AY101" t="s">
        <v>106</v>
      </c>
      <c r="BS101" s="17">
        <f>higado[[#This Row],[FECHA_TRASPLANTE]]</f>
        <v>43812</v>
      </c>
      <c r="BT101">
        <f>IF(higado[[#This Row],[FALLECIDO SI/NO]]="NO",0,1)</f>
        <v>1</v>
      </c>
      <c r="BU101" s="1">
        <f ca="1">IF(higado[[#This Row],[FALLECIDO_COD]]=0,TODAY()-higado[[#This Row],[FECHA_TRASPLANTE]],higado[[#This Row],[FECHA DE DEFUNCIÓN]]-higado[[#This Row],[FECHA_TRASPLANTE]])</f>
        <v>187</v>
      </c>
      <c r="BV101" s="1">
        <f ca="1">IF(higado[[#This Row],[FALLECIDO_COD]]=0,TODAY()-higado[[#This Row],[FECHA_TRASPLANTE]],higado[[#This Row],[FECHA DE DEFUNCIÓN]]-higado[[#This Row],[FECHA_TRASPLANTE]])/30.4375</f>
        <v>6.1437371663244349</v>
      </c>
      <c r="BW101" s="1">
        <f ca="1">IF(higado[[#This Row],[FALLECIDO_COD]]=0,TODAY()-higado[[#This Row],[FECHA_TRASPLANTE]],higado[[#This Row],[FECHA DE DEFUNCIÓN]]-higado[[#This Row],[FECHA_TRASPLANTE]])/365.25</f>
        <v>0.51197809719370291</v>
      </c>
    </row>
    <row r="102" spans="1:75" x14ac:dyDescent="0.35">
      <c r="A102" t="s">
        <v>75</v>
      </c>
      <c r="B102" t="s">
        <v>75</v>
      </c>
      <c r="D102" t="s">
        <v>380</v>
      </c>
      <c r="E102" t="s">
        <v>77</v>
      </c>
      <c r="H102" s="2"/>
      <c r="I102" s="3">
        <f>(higado[[#This Row],[FECHA_TRASPLANTE]]-higado[[#This Row],[FECHA_NAC_D]])/365.25</f>
        <v>120.01095140314852</v>
      </c>
      <c r="K102" t="s">
        <v>661</v>
      </c>
      <c r="L102" t="s">
        <v>155</v>
      </c>
      <c r="M102" t="s">
        <v>233</v>
      </c>
      <c r="N102">
        <v>106700460</v>
      </c>
      <c r="O102" s="18">
        <v>43834</v>
      </c>
      <c r="P102" t="s">
        <v>81</v>
      </c>
      <c r="Q102" s="2">
        <v>24133</v>
      </c>
      <c r="R102" s="1">
        <f>(higado[[#This Row],[FECHA_TRASPLANTE]]-higado[[#This Row],[FECHA_NAC]])/365.25</f>
        <v>53.938398357289529</v>
      </c>
      <c r="U102" t="s">
        <v>416</v>
      </c>
      <c r="V102">
        <v>12</v>
      </c>
      <c r="W102" t="s">
        <v>82</v>
      </c>
      <c r="X102" t="s">
        <v>91</v>
      </c>
      <c r="Y102" t="s">
        <v>91</v>
      </c>
      <c r="Z102" t="s">
        <v>247</v>
      </c>
      <c r="AD102">
        <v>7</v>
      </c>
      <c r="AM102" t="s">
        <v>86</v>
      </c>
      <c r="AN102" s="2">
        <v>43841</v>
      </c>
      <c r="AY102" t="s">
        <v>106</v>
      </c>
      <c r="BS102" s="17">
        <f>higado[[#This Row],[FECHA_TRASPLANTE]]</f>
        <v>43834</v>
      </c>
      <c r="BT102">
        <f>IF(higado[[#This Row],[FALLECIDO SI/NO]]="NO",0,1)</f>
        <v>1</v>
      </c>
      <c r="BU102" s="1">
        <f ca="1">IF(higado[[#This Row],[FALLECIDO_COD]]=0,TODAY()-higado[[#This Row],[FECHA_TRASPLANTE]],higado[[#This Row],[FECHA DE DEFUNCIÓN]]-higado[[#This Row],[FECHA_TRASPLANTE]])</f>
        <v>7</v>
      </c>
      <c r="BV102" s="1">
        <f ca="1">IF(higado[[#This Row],[FALLECIDO_COD]]=0,TODAY()-higado[[#This Row],[FECHA_TRASPLANTE]],higado[[#This Row],[FECHA DE DEFUNCIÓN]]-higado[[#This Row],[FECHA_TRASPLANTE]])/30.4375</f>
        <v>0.2299794661190965</v>
      </c>
      <c r="BW102" s="1">
        <f ca="1">IF(higado[[#This Row],[FALLECIDO_COD]]=0,TODAY()-higado[[#This Row],[FECHA_TRASPLANTE]],higado[[#This Row],[FECHA DE DEFUNCIÓN]]-higado[[#This Row],[FECHA_TRASPLANTE]])/365.25</f>
        <v>1.9164955509924708E-2</v>
      </c>
    </row>
    <row r="103" spans="1:75" x14ac:dyDescent="0.35">
      <c r="A103" t="s">
        <v>75</v>
      </c>
      <c r="B103" t="s">
        <v>75</v>
      </c>
      <c r="D103" t="s">
        <v>380</v>
      </c>
      <c r="E103" t="s">
        <v>77</v>
      </c>
      <c r="I103">
        <v>120.03559206023272</v>
      </c>
      <c r="K103" t="s">
        <v>662</v>
      </c>
      <c r="L103" t="s">
        <v>156</v>
      </c>
      <c r="M103" t="s">
        <v>175</v>
      </c>
      <c r="N103">
        <v>105370156</v>
      </c>
      <c r="O103" s="18">
        <v>43843</v>
      </c>
      <c r="P103" t="s">
        <v>90</v>
      </c>
      <c r="Q103" s="2">
        <v>22117</v>
      </c>
      <c r="R103" s="1">
        <f>(higado[[#This Row],[FECHA_TRASPLANTE]]-higado[[#This Row],[FECHA_NAC]])/365.25</f>
        <v>59.482546201232033</v>
      </c>
      <c r="U103" t="s">
        <v>633</v>
      </c>
      <c r="V103">
        <v>11</v>
      </c>
      <c r="W103" t="s">
        <v>82</v>
      </c>
      <c r="X103" t="s">
        <v>91</v>
      </c>
      <c r="Y103" t="s">
        <v>157</v>
      </c>
      <c r="Z103" t="s">
        <v>409</v>
      </c>
      <c r="AD103">
        <v>19</v>
      </c>
      <c r="AM103" t="s">
        <v>106</v>
      </c>
      <c r="AY103" t="s">
        <v>106</v>
      </c>
      <c r="BS103" s="17">
        <f>higado[[#This Row],[FECHA_TRASPLANTE]]</f>
        <v>43843</v>
      </c>
      <c r="BT103">
        <f>IF(higado[[#This Row],[FALLECIDO SI/NO]]="NO",0,1)</f>
        <v>0</v>
      </c>
      <c r="BU103" s="1">
        <f ca="1">IF(higado[[#This Row],[FALLECIDO_COD]]=0,TODAY()-higado[[#This Row],[FECHA_TRASPLANTE]],higado[[#This Row],[FECHA DE DEFUNCIÓN]]-higado[[#This Row],[FECHA_TRASPLANTE]])</f>
        <v>2032</v>
      </c>
      <c r="BV103" s="1">
        <f ca="1">IF(higado[[#This Row],[FALLECIDO_COD]]=0,TODAY()-higado[[#This Row],[FECHA_TRASPLANTE]],higado[[#This Row],[FECHA DE DEFUNCIÓN]]-higado[[#This Row],[FECHA_TRASPLANTE]])/30.4375</f>
        <v>66.759753593429153</v>
      </c>
      <c r="BW103" s="1">
        <f ca="1">IF(higado[[#This Row],[FALLECIDO_COD]]=0,TODAY()-higado[[#This Row],[FECHA_TRASPLANTE]],higado[[#This Row],[FECHA DE DEFUNCIÓN]]-higado[[#This Row],[FECHA_TRASPLANTE]])/365.25</f>
        <v>5.5633127994524294</v>
      </c>
    </row>
    <row r="104" spans="1:75" x14ac:dyDescent="0.35">
      <c r="A104" t="s">
        <v>376</v>
      </c>
      <c r="B104" t="s">
        <v>376</v>
      </c>
      <c r="D104" t="s">
        <v>380</v>
      </c>
      <c r="E104" t="s">
        <v>77</v>
      </c>
      <c r="H104" s="2"/>
      <c r="I104" s="3">
        <f>(higado[[#This Row],[FECHA_TRASPLANTE]]-higado[[#This Row],[FECHA_NAC_D]])/365.25</f>
        <v>120.09582477754962</v>
      </c>
      <c r="K104" t="s">
        <v>663</v>
      </c>
      <c r="L104" t="s">
        <v>150</v>
      </c>
      <c r="M104" t="s">
        <v>479</v>
      </c>
      <c r="N104">
        <v>122790534</v>
      </c>
      <c r="O104" s="18">
        <v>43865</v>
      </c>
      <c r="P104" t="s">
        <v>81</v>
      </c>
      <c r="Q104" s="2">
        <v>42845</v>
      </c>
      <c r="R104" s="1">
        <f>(higado[[#This Row],[FECHA_TRASPLANTE]]-higado[[#This Row],[FECHA_NAC]])/365.25</f>
        <v>2.7926078028747434</v>
      </c>
      <c r="T104" s="2">
        <v>43850</v>
      </c>
      <c r="U104" t="s">
        <v>664</v>
      </c>
      <c r="V104">
        <v>41</v>
      </c>
      <c r="W104" t="s">
        <v>82</v>
      </c>
      <c r="X104" t="s">
        <v>91</v>
      </c>
      <c r="Y104" t="s">
        <v>152</v>
      </c>
      <c r="Z104" t="s">
        <v>332</v>
      </c>
      <c r="AM104" t="s">
        <v>86</v>
      </c>
      <c r="AN104" s="2">
        <v>44622</v>
      </c>
      <c r="AY104" t="s">
        <v>106</v>
      </c>
      <c r="BS104" s="17">
        <f>higado[[#This Row],[FECHA_TRASPLANTE]]</f>
        <v>43865</v>
      </c>
      <c r="BT104">
        <f>IF(higado[[#This Row],[FALLECIDO SI/NO]]="NO",0,1)</f>
        <v>1</v>
      </c>
      <c r="BU104" s="1">
        <f ca="1">IF(higado[[#This Row],[FALLECIDO_COD]]=0,TODAY()-higado[[#This Row],[FECHA_TRASPLANTE]],higado[[#This Row],[FECHA DE DEFUNCIÓN]]-higado[[#This Row],[FECHA_TRASPLANTE]])</f>
        <v>757</v>
      </c>
      <c r="BV104" s="1">
        <f ca="1">IF(higado[[#This Row],[FALLECIDO_COD]]=0,TODAY()-higado[[#This Row],[FECHA_TRASPLANTE]],higado[[#This Row],[FECHA DE DEFUNCIÓN]]-higado[[#This Row],[FECHA_TRASPLANTE]])/30.4375</f>
        <v>24.870636550308006</v>
      </c>
      <c r="BW104" s="1">
        <f ca="1">IF(higado[[#This Row],[FALLECIDO_COD]]=0,TODAY()-higado[[#This Row],[FECHA_TRASPLANTE]],higado[[#This Row],[FECHA DE DEFUNCIÓN]]-higado[[#This Row],[FECHA_TRASPLANTE]])/365.25</f>
        <v>2.0725530458590007</v>
      </c>
    </row>
    <row r="105" spans="1:75" x14ac:dyDescent="0.35">
      <c r="A105" t="s">
        <v>377</v>
      </c>
      <c r="D105" t="s">
        <v>380</v>
      </c>
      <c r="E105" t="s">
        <v>77</v>
      </c>
      <c r="H105" s="2"/>
      <c r="I105" s="3">
        <f>(higado[[#This Row],[FECHA_TRASPLANTE]]-higado[[#This Row],[FECHA_NAC_D]])/365.25</f>
        <v>120.13415468856947</v>
      </c>
      <c r="K105" t="s">
        <v>665</v>
      </c>
      <c r="L105" t="s">
        <v>475</v>
      </c>
      <c r="M105" t="s">
        <v>269</v>
      </c>
      <c r="N105">
        <v>503340079</v>
      </c>
      <c r="O105" s="18">
        <v>43879</v>
      </c>
      <c r="P105" t="s">
        <v>90</v>
      </c>
      <c r="Q105" s="2">
        <v>30470</v>
      </c>
      <c r="R105" s="1">
        <f>(higado[[#This Row],[FECHA_TRASPLANTE]]-higado[[#This Row],[FECHA_NAC]])/365.25</f>
        <v>36.711841204654348</v>
      </c>
      <c r="U105" t="s">
        <v>666</v>
      </c>
      <c r="V105">
        <v>37</v>
      </c>
      <c r="W105" t="s">
        <v>82</v>
      </c>
      <c r="X105" t="s">
        <v>125</v>
      </c>
      <c r="Y105" t="s">
        <v>667</v>
      </c>
      <c r="Z105" t="s">
        <v>667</v>
      </c>
      <c r="AD105">
        <v>20</v>
      </c>
      <c r="AM105" t="s">
        <v>86</v>
      </c>
      <c r="AN105" s="2">
        <v>44476</v>
      </c>
      <c r="AY105" t="s">
        <v>106</v>
      </c>
      <c r="BS105" s="17">
        <f>higado[[#This Row],[FECHA_TRASPLANTE]]</f>
        <v>43879</v>
      </c>
      <c r="BT105">
        <f>IF(higado[[#This Row],[FALLECIDO SI/NO]]="NO",0,1)</f>
        <v>1</v>
      </c>
      <c r="BU105" s="1">
        <f ca="1">IF(higado[[#This Row],[FALLECIDO_COD]]=0,TODAY()-higado[[#This Row],[FECHA_TRASPLANTE]],higado[[#This Row],[FECHA DE DEFUNCIÓN]]-higado[[#This Row],[FECHA_TRASPLANTE]])</f>
        <v>597</v>
      </c>
      <c r="BV105" s="1">
        <f ca="1">IF(higado[[#This Row],[FALLECIDO_COD]]=0,TODAY()-higado[[#This Row],[FECHA_TRASPLANTE]],higado[[#This Row],[FECHA DE DEFUNCIÓN]]-higado[[#This Row],[FECHA_TRASPLANTE]])/30.4375</f>
        <v>19.613963039014372</v>
      </c>
      <c r="BW105" s="1">
        <f ca="1">IF(higado[[#This Row],[FALLECIDO_COD]]=0,TODAY()-higado[[#This Row],[FECHA_TRASPLANTE]],higado[[#This Row],[FECHA DE DEFUNCIÓN]]-higado[[#This Row],[FECHA_TRASPLANTE]])/365.25</f>
        <v>1.6344969199178645</v>
      </c>
    </row>
    <row r="106" spans="1:75" x14ac:dyDescent="0.35">
      <c r="A106" t="s">
        <v>377</v>
      </c>
      <c r="D106" t="s">
        <v>380</v>
      </c>
      <c r="E106" t="s">
        <v>77</v>
      </c>
      <c r="H106" s="2"/>
      <c r="I106" s="3">
        <f>(higado[[#This Row],[FECHA_TRASPLANTE]]-higado[[#This Row],[FECHA_NAC_D]])/365.25</f>
        <v>120.15605749486653</v>
      </c>
      <c r="K106" t="s">
        <v>668</v>
      </c>
      <c r="L106" t="s">
        <v>669</v>
      </c>
      <c r="M106" t="s">
        <v>670</v>
      </c>
      <c r="N106">
        <v>401260865</v>
      </c>
      <c r="O106" s="18">
        <v>43887</v>
      </c>
      <c r="P106" t="s">
        <v>81</v>
      </c>
      <c r="Q106" s="2">
        <v>22166</v>
      </c>
      <c r="R106" s="1">
        <f>(higado[[#This Row],[FECHA_TRASPLANTE]]-higado[[#This Row],[FECHA_NAC]])/365.25</f>
        <v>59.468856947296374</v>
      </c>
      <c r="U106" t="s">
        <v>671</v>
      </c>
      <c r="V106">
        <v>20</v>
      </c>
      <c r="W106" t="s">
        <v>82</v>
      </c>
      <c r="X106" t="s">
        <v>261</v>
      </c>
      <c r="Y106" t="s">
        <v>84</v>
      </c>
      <c r="Z106" t="s">
        <v>261</v>
      </c>
      <c r="AD106">
        <v>63</v>
      </c>
      <c r="AM106" t="s">
        <v>86</v>
      </c>
      <c r="AN106" s="2">
        <v>44121</v>
      </c>
      <c r="AO106" t="s">
        <v>672</v>
      </c>
      <c r="AY106" t="s">
        <v>106</v>
      </c>
      <c r="BS106" s="17">
        <f>higado[[#This Row],[FECHA_TRASPLANTE]]</f>
        <v>43887</v>
      </c>
      <c r="BT106">
        <f>IF(higado[[#This Row],[FALLECIDO SI/NO]]="NO",0,1)</f>
        <v>1</v>
      </c>
      <c r="BU106" s="1">
        <f ca="1">IF(higado[[#This Row],[FALLECIDO_COD]]=0,TODAY()-higado[[#This Row],[FECHA_TRASPLANTE]],higado[[#This Row],[FECHA DE DEFUNCIÓN]]-higado[[#This Row],[FECHA_TRASPLANTE]])</f>
        <v>234</v>
      </c>
      <c r="BV106" s="1">
        <f ca="1">IF(higado[[#This Row],[FALLECIDO_COD]]=0,TODAY()-higado[[#This Row],[FECHA_TRASPLANTE]],higado[[#This Row],[FECHA DE DEFUNCIÓN]]-higado[[#This Row],[FECHA_TRASPLANTE]])/30.4375</f>
        <v>7.6878850102669407</v>
      </c>
      <c r="BW106" s="1">
        <f ca="1">IF(higado[[#This Row],[FALLECIDO_COD]]=0,TODAY()-higado[[#This Row],[FECHA_TRASPLANTE]],higado[[#This Row],[FECHA DE DEFUNCIÓN]]-higado[[#This Row],[FECHA_TRASPLANTE]])/365.25</f>
        <v>0.64065708418891165</v>
      </c>
    </row>
    <row r="107" spans="1:75" x14ac:dyDescent="0.35">
      <c r="A107" t="s">
        <v>75</v>
      </c>
      <c r="B107" t="s">
        <v>75</v>
      </c>
      <c r="D107" t="s">
        <v>380</v>
      </c>
      <c r="E107" t="s">
        <v>77</v>
      </c>
      <c r="I107">
        <v>120.35592060232717</v>
      </c>
      <c r="K107" t="s">
        <v>673</v>
      </c>
      <c r="L107" t="s">
        <v>132</v>
      </c>
      <c r="M107" t="s">
        <v>108</v>
      </c>
      <c r="N107">
        <v>104400202</v>
      </c>
      <c r="O107" s="18">
        <v>43960</v>
      </c>
      <c r="P107" t="s">
        <v>81</v>
      </c>
      <c r="Q107" s="2">
        <v>20140</v>
      </c>
      <c r="R107" s="1">
        <f>(higado[[#This Row],[FECHA_TRASPLANTE]]-higado[[#This Row],[FECHA_NAC]])/365.25</f>
        <v>65.215605749486656</v>
      </c>
      <c r="U107" t="s">
        <v>633</v>
      </c>
      <c r="V107">
        <v>25</v>
      </c>
      <c r="W107" t="s">
        <v>82</v>
      </c>
      <c r="X107" t="s">
        <v>91</v>
      </c>
      <c r="Y107" t="s">
        <v>674</v>
      </c>
      <c r="Z107" t="s">
        <v>365</v>
      </c>
      <c r="AD107">
        <v>18</v>
      </c>
      <c r="AM107" t="s">
        <v>106</v>
      </c>
      <c r="AY107" t="s">
        <v>106</v>
      </c>
      <c r="BS107" s="17">
        <f>higado[[#This Row],[FECHA_TRASPLANTE]]</f>
        <v>43960</v>
      </c>
      <c r="BT107">
        <f>IF(higado[[#This Row],[FALLECIDO SI/NO]]="NO",0,1)</f>
        <v>0</v>
      </c>
      <c r="BU107" s="1">
        <f ca="1">IF(higado[[#This Row],[FALLECIDO_COD]]=0,TODAY()-higado[[#This Row],[FECHA_TRASPLANTE]],higado[[#This Row],[FECHA DE DEFUNCIÓN]]-higado[[#This Row],[FECHA_TRASPLANTE]])</f>
        <v>1915</v>
      </c>
      <c r="BV107" s="1">
        <f ca="1">IF(higado[[#This Row],[FALLECIDO_COD]]=0,TODAY()-higado[[#This Row],[FECHA_TRASPLANTE]],higado[[#This Row],[FECHA DE DEFUNCIÓN]]-higado[[#This Row],[FECHA_TRASPLANTE]])/30.4375</f>
        <v>62.91581108829569</v>
      </c>
      <c r="BW107" s="1">
        <f ca="1">IF(higado[[#This Row],[FALLECIDO_COD]]=0,TODAY()-higado[[#This Row],[FECHA_TRASPLANTE]],higado[[#This Row],[FECHA DE DEFUNCIÓN]]-higado[[#This Row],[FECHA_TRASPLANTE]])/365.25</f>
        <v>5.2429842573579739</v>
      </c>
    </row>
    <row r="108" spans="1:75" x14ac:dyDescent="0.35">
      <c r="A108" t="s">
        <v>75</v>
      </c>
      <c r="B108" t="s">
        <v>75</v>
      </c>
      <c r="D108" t="s">
        <v>380</v>
      </c>
      <c r="E108" t="s">
        <v>77</v>
      </c>
      <c r="H108" s="2"/>
      <c r="I108" s="3">
        <f>(higado[[#This Row],[FECHA_TRASPLANTE]]-higado[[#This Row],[FECHA_NAC_D]])/365.25</f>
        <v>120.38877481177276</v>
      </c>
      <c r="K108" t="s">
        <v>675</v>
      </c>
      <c r="L108" t="s">
        <v>258</v>
      </c>
      <c r="M108" t="s">
        <v>156</v>
      </c>
      <c r="N108">
        <v>302220371</v>
      </c>
      <c r="O108" s="18">
        <v>43972</v>
      </c>
      <c r="P108" t="s">
        <v>90</v>
      </c>
      <c r="Q108" s="2">
        <v>21018</v>
      </c>
      <c r="R108" s="1">
        <f>(higado[[#This Row],[FECHA_TRASPLANTE]]-higado[[#This Row],[FECHA_NAC]])/365.25</f>
        <v>62.844626967830251</v>
      </c>
      <c r="U108" t="s">
        <v>532</v>
      </c>
      <c r="V108">
        <v>12</v>
      </c>
      <c r="W108" t="s">
        <v>82</v>
      </c>
      <c r="X108" t="s">
        <v>110</v>
      </c>
      <c r="Y108" t="s">
        <v>340</v>
      </c>
      <c r="Z108" t="s">
        <v>676</v>
      </c>
      <c r="AD108">
        <v>16</v>
      </c>
      <c r="AM108" t="s">
        <v>86</v>
      </c>
      <c r="AN108" s="2">
        <v>45430</v>
      </c>
      <c r="AY108" t="s">
        <v>106</v>
      </c>
      <c r="BS108" s="17">
        <f>higado[[#This Row],[FECHA_TRASPLANTE]]</f>
        <v>43972</v>
      </c>
      <c r="BT108">
        <f>IF(higado[[#This Row],[FALLECIDO SI/NO]]="NO",0,1)</f>
        <v>1</v>
      </c>
      <c r="BU108" s="1">
        <f ca="1">IF(higado[[#This Row],[FALLECIDO_COD]]=0,TODAY()-higado[[#This Row],[FECHA_TRASPLANTE]],higado[[#This Row],[FECHA DE DEFUNCIÓN]]-higado[[#This Row],[FECHA_TRASPLANTE]])</f>
        <v>1458</v>
      </c>
      <c r="BV108" s="1">
        <f ca="1">IF(higado[[#This Row],[FALLECIDO_COD]]=0,TODAY()-higado[[#This Row],[FECHA_TRASPLANTE]],higado[[#This Row],[FECHA DE DEFUNCIÓN]]-higado[[#This Row],[FECHA_TRASPLANTE]])/30.4375</f>
        <v>47.901437371663242</v>
      </c>
      <c r="BW108" s="1">
        <f ca="1">IF(higado[[#This Row],[FALLECIDO_COD]]=0,TODAY()-higado[[#This Row],[FECHA_TRASPLANTE]],higado[[#This Row],[FECHA DE DEFUNCIÓN]]-higado[[#This Row],[FECHA_TRASPLANTE]])/365.25</f>
        <v>3.9917864476386038</v>
      </c>
    </row>
    <row r="109" spans="1:75" x14ac:dyDescent="0.35">
      <c r="A109" t="s">
        <v>376</v>
      </c>
      <c r="B109" t="s">
        <v>376</v>
      </c>
      <c r="D109" t="s">
        <v>380</v>
      </c>
      <c r="E109" t="s">
        <v>375</v>
      </c>
      <c r="I109">
        <v>120.44626967830253</v>
      </c>
      <c r="K109" t="s">
        <v>677</v>
      </c>
      <c r="L109" t="s">
        <v>678</v>
      </c>
      <c r="M109" t="s">
        <v>203</v>
      </c>
      <c r="N109">
        <v>121110216</v>
      </c>
      <c r="O109" s="18">
        <v>43993</v>
      </c>
      <c r="P109" t="s">
        <v>90</v>
      </c>
      <c r="Q109" s="2">
        <v>40625</v>
      </c>
      <c r="R109" s="1">
        <f>(higado[[#This Row],[FECHA_TRASPLANTE]]-higado[[#This Row],[FECHA_NAC]])/365.25</f>
        <v>9.2210814510609165</v>
      </c>
      <c r="T109" s="2">
        <v>43867</v>
      </c>
      <c r="U109" t="s">
        <v>679</v>
      </c>
      <c r="V109">
        <v>25</v>
      </c>
      <c r="W109" t="s">
        <v>82</v>
      </c>
      <c r="X109" t="s">
        <v>261</v>
      </c>
      <c r="Y109" t="s">
        <v>680</v>
      </c>
      <c r="Z109" t="s">
        <v>680</v>
      </c>
      <c r="AD109">
        <v>4</v>
      </c>
      <c r="AM109" t="s">
        <v>106</v>
      </c>
      <c r="AY109" t="s">
        <v>86</v>
      </c>
      <c r="BS109" s="17">
        <f>higado[[#This Row],[FECHA_TRASPLANTE]]</f>
        <v>43993</v>
      </c>
      <c r="BT109">
        <f>IF(higado[[#This Row],[FALLECIDO SI/NO]]="NO",0,1)</f>
        <v>0</v>
      </c>
      <c r="BU109" s="1">
        <f ca="1">IF(higado[[#This Row],[FALLECIDO_COD]]=0,TODAY()-higado[[#This Row],[FECHA_TRASPLANTE]],higado[[#This Row],[FECHA DE DEFUNCIÓN]]-higado[[#This Row],[FECHA_TRASPLANTE]])</f>
        <v>1882</v>
      </c>
      <c r="BV109" s="1">
        <f ca="1">IF(higado[[#This Row],[FALLECIDO_COD]]=0,TODAY()-higado[[#This Row],[FECHA_TRASPLANTE]],higado[[#This Row],[FECHA DE DEFUNCIÓN]]-higado[[#This Row],[FECHA_TRASPLANTE]])/30.4375</f>
        <v>61.831622176591374</v>
      </c>
      <c r="BW109" s="1">
        <f ca="1">IF(higado[[#This Row],[FALLECIDO_COD]]=0,TODAY()-higado[[#This Row],[FECHA_TRASPLANTE]],higado[[#This Row],[FECHA DE DEFUNCIÓN]]-higado[[#This Row],[FECHA_TRASPLANTE]])/365.25</f>
        <v>5.1526351813826148</v>
      </c>
    </row>
    <row r="110" spans="1:75" x14ac:dyDescent="0.35">
      <c r="A110" t="s">
        <v>376</v>
      </c>
      <c r="B110" t="s">
        <v>376</v>
      </c>
      <c r="D110" t="s">
        <v>380</v>
      </c>
      <c r="E110" t="s">
        <v>77</v>
      </c>
      <c r="H110" s="2"/>
      <c r="I110" s="3">
        <f>(higado[[#This Row],[FECHA_TRASPLANTE]]-higado[[#This Row],[FECHA_NAC_D]])/365.25</f>
        <v>120.46543463381246</v>
      </c>
      <c r="K110" t="s">
        <v>681</v>
      </c>
      <c r="L110" t="s">
        <v>682</v>
      </c>
      <c r="M110" t="s">
        <v>683</v>
      </c>
      <c r="N110">
        <v>210350358</v>
      </c>
      <c r="O110" s="18">
        <v>44000</v>
      </c>
      <c r="P110" t="s">
        <v>81</v>
      </c>
      <c r="Q110" s="2">
        <v>43112</v>
      </c>
      <c r="R110" s="1">
        <f>(higado[[#This Row],[FECHA_TRASPLANTE]]-higado[[#This Row],[FECHA_NAC]])/365.25</f>
        <v>2.431211498973306</v>
      </c>
      <c r="T110" s="2">
        <v>43951</v>
      </c>
      <c r="U110" t="s">
        <v>620</v>
      </c>
      <c r="V110">
        <v>0</v>
      </c>
      <c r="W110" t="s">
        <v>82</v>
      </c>
      <c r="X110" t="s">
        <v>261</v>
      </c>
      <c r="Y110" t="s">
        <v>684</v>
      </c>
      <c r="Z110" t="s">
        <v>685</v>
      </c>
      <c r="AD110">
        <v>0</v>
      </c>
      <c r="AM110" t="s">
        <v>86</v>
      </c>
      <c r="AN110" s="2">
        <v>44000</v>
      </c>
      <c r="AO110" t="s">
        <v>686</v>
      </c>
      <c r="AY110" t="s">
        <v>106</v>
      </c>
      <c r="BS110" s="17">
        <f>higado[[#This Row],[FECHA_TRASPLANTE]]</f>
        <v>44000</v>
      </c>
      <c r="BT110">
        <f>IF(higado[[#This Row],[FALLECIDO SI/NO]]="NO",0,1)</f>
        <v>1</v>
      </c>
      <c r="BU110" s="1">
        <f ca="1">IF(higado[[#This Row],[FALLECIDO_COD]]=0,TODAY()-higado[[#This Row],[FECHA_TRASPLANTE]],higado[[#This Row],[FECHA DE DEFUNCIÓN]]-higado[[#This Row],[FECHA_TRASPLANTE]])</f>
        <v>0</v>
      </c>
      <c r="BV110" s="1">
        <f ca="1">IF(higado[[#This Row],[FALLECIDO_COD]]=0,TODAY()-higado[[#This Row],[FECHA_TRASPLANTE]],higado[[#This Row],[FECHA DE DEFUNCIÓN]]-higado[[#This Row],[FECHA_TRASPLANTE]])/30.4375</f>
        <v>0</v>
      </c>
      <c r="BW110" s="1">
        <f ca="1">IF(higado[[#This Row],[FALLECIDO_COD]]=0,TODAY()-higado[[#This Row],[FECHA_TRASPLANTE]],higado[[#This Row],[FECHA DE DEFUNCIÓN]]-higado[[#This Row],[FECHA_TRASPLANTE]])/365.25</f>
        <v>0</v>
      </c>
    </row>
    <row r="111" spans="1:75" x14ac:dyDescent="0.35">
      <c r="A111" t="s">
        <v>377</v>
      </c>
      <c r="D111" t="s">
        <v>380</v>
      </c>
      <c r="E111" t="s">
        <v>77</v>
      </c>
      <c r="I111">
        <v>120.67077344284736</v>
      </c>
      <c r="K111" t="s">
        <v>687</v>
      </c>
      <c r="L111" t="s">
        <v>99</v>
      </c>
      <c r="M111" t="s">
        <v>688</v>
      </c>
      <c r="N111">
        <v>702210726</v>
      </c>
      <c r="O111" s="18">
        <v>44075</v>
      </c>
      <c r="P111" t="s">
        <v>81</v>
      </c>
      <c r="Q111" s="2">
        <v>34197</v>
      </c>
      <c r="R111" s="1">
        <f>(higado[[#This Row],[FECHA_TRASPLANTE]]-higado[[#This Row],[FECHA_NAC]])/365.25</f>
        <v>27.044490075290895</v>
      </c>
      <c r="U111" t="s">
        <v>689</v>
      </c>
      <c r="V111">
        <v>35</v>
      </c>
      <c r="W111" t="s">
        <v>82</v>
      </c>
      <c r="X111" t="s">
        <v>120</v>
      </c>
      <c r="Y111" t="s">
        <v>121</v>
      </c>
      <c r="Z111" t="s">
        <v>690</v>
      </c>
      <c r="AD111">
        <v>47</v>
      </c>
      <c r="AM111" t="s">
        <v>106</v>
      </c>
      <c r="AY111" t="s">
        <v>106</v>
      </c>
      <c r="BS111" s="17">
        <f>higado[[#This Row],[FECHA_TRASPLANTE]]</f>
        <v>44075</v>
      </c>
      <c r="BT111">
        <f>IF(higado[[#This Row],[FALLECIDO SI/NO]]="NO",0,1)</f>
        <v>0</v>
      </c>
      <c r="BU111" s="1">
        <f ca="1">IF(higado[[#This Row],[FALLECIDO_COD]]=0,TODAY()-higado[[#This Row],[FECHA_TRASPLANTE]],higado[[#This Row],[FECHA DE DEFUNCIÓN]]-higado[[#This Row],[FECHA_TRASPLANTE]])</f>
        <v>1800</v>
      </c>
      <c r="BV111" s="1">
        <f ca="1">IF(higado[[#This Row],[FALLECIDO_COD]]=0,TODAY()-higado[[#This Row],[FECHA_TRASPLANTE]],higado[[#This Row],[FECHA DE DEFUNCIÓN]]-higado[[#This Row],[FECHA_TRASPLANTE]])/30.4375</f>
        <v>59.137577002053391</v>
      </c>
      <c r="BW111" s="1">
        <f ca="1">IF(higado[[#This Row],[FALLECIDO_COD]]=0,TODAY()-higado[[#This Row],[FECHA_TRASPLANTE]],higado[[#This Row],[FECHA DE DEFUNCIÓN]]-higado[[#This Row],[FECHA_TRASPLANTE]])/365.25</f>
        <v>4.9281314168377826</v>
      </c>
    </row>
    <row r="112" spans="1:75" x14ac:dyDescent="0.35">
      <c r="A112" t="s">
        <v>376</v>
      </c>
      <c r="B112" t="s">
        <v>376</v>
      </c>
      <c r="D112" t="s">
        <v>380</v>
      </c>
      <c r="E112" t="s">
        <v>77</v>
      </c>
      <c r="I112">
        <v>120.85968514715948</v>
      </c>
      <c r="K112" t="s">
        <v>691</v>
      </c>
      <c r="L112" t="s">
        <v>692</v>
      </c>
      <c r="M112" t="s">
        <v>141</v>
      </c>
      <c r="N112">
        <v>120580817</v>
      </c>
      <c r="O112" s="18">
        <v>44144</v>
      </c>
      <c r="P112" t="s">
        <v>90</v>
      </c>
      <c r="Q112" s="2">
        <v>39979</v>
      </c>
      <c r="R112" s="1">
        <f>(higado[[#This Row],[FECHA_TRASPLANTE]]-higado[[#This Row],[FECHA_NAC]])/365.25</f>
        <v>11.403148528405202</v>
      </c>
      <c r="T112" s="2">
        <v>43803</v>
      </c>
      <c r="U112" t="s">
        <v>693</v>
      </c>
      <c r="V112">
        <v>34</v>
      </c>
      <c r="W112" t="s">
        <v>82</v>
      </c>
      <c r="X112" t="s">
        <v>91</v>
      </c>
      <c r="Y112" t="s">
        <v>161</v>
      </c>
      <c r="Z112" t="s">
        <v>244</v>
      </c>
      <c r="AD112">
        <v>3</v>
      </c>
      <c r="AM112" t="s">
        <v>106</v>
      </c>
      <c r="AY112" t="s">
        <v>106</v>
      </c>
      <c r="BS112" s="17">
        <f>higado[[#This Row],[FECHA_TRASPLANTE]]</f>
        <v>44144</v>
      </c>
      <c r="BT112">
        <f>IF(higado[[#This Row],[FALLECIDO SI/NO]]="NO",0,1)</f>
        <v>0</v>
      </c>
      <c r="BU112" s="1">
        <f ca="1">IF(higado[[#This Row],[FALLECIDO_COD]]=0,TODAY()-higado[[#This Row],[FECHA_TRASPLANTE]],higado[[#This Row],[FECHA DE DEFUNCIÓN]]-higado[[#This Row],[FECHA_TRASPLANTE]])</f>
        <v>1731</v>
      </c>
      <c r="BV112" s="1">
        <f ca="1">IF(higado[[#This Row],[FALLECIDO_COD]]=0,TODAY()-higado[[#This Row],[FECHA_TRASPLANTE]],higado[[#This Row],[FECHA DE DEFUNCIÓN]]-higado[[#This Row],[FECHA_TRASPLANTE]])/30.4375</f>
        <v>56.870636550308006</v>
      </c>
      <c r="BW112" s="1">
        <f ca="1">IF(higado[[#This Row],[FALLECIDO_COD]]=0,TODAY()-higado[[#This Row],[FECHA_TRASPLANTE]],higado[[#This Row],[FECHA DE DEFUNCIÓN]]-higado[[#This Row],[FECHA_TRASPLANTE]])/365.25</f>
        <v>4.7392197125256672</v>
      </c>
    </row>
    <row r="113" spans="1:75" x14ac:dyDescent="0.35">
      <c r="A113" t="s">
        <v>75</v>
      </c>
      <c r="B113" t="s">
        <v>75</v>
      </c>
      <c r="D113" t="s">
        <v>380</v>
      </c>
      <c r="E113" t="s">
        <v>77</v>
      </c>
      <c r="I113">
        <v>120.8870636550308</v>
      </c>
      <c r="K113" t="s">
        <v>694</v>
      </c>
      <c r="L113" t="s">
        <v>149</v>
      </c>
      <c r="M113" t="s">
        <v>692</v>
      </c>
      <c r="N113">
        <v>105730804</v>
      </c>
      <c r="O113" s="18">
        <v>44154</v>
      </c>
      <c r="P113" t="s">
        <v>81</v>
      </c>
      <c r="Q113" s="2">
        <v>20183</v>
      </c>
      <c r="R113" s="1">
        <f>(higado[[#This Row],[FECHA_TRASPLANTE]]-higado[[#This Row],[FECHA_NAC]])/365.25</f>
        <v>65.629021218343595</v>
      </c>
      <c r="U113" t="s">
        <v>416</v>
      </c>
      <c r="V113">
        <v>38</v>
      </c>
      <c r="W113" t="s">
        <v>82</v>
      </c>
      <c r="X113" t="s">
        <v>91</v>
      </c>
      <c r="Y113" t="s">
        <v>91</v>
      </c>
      <c r="Z113" t="s">
        <v>446</v>
      </c>
      <c r="AD113">
        <v>33</v>
      </c>
      <c r="AM113" t="s">
        <v>106</v>
      </c>
      <c r="BS113" s="17">
        <f>higado[[#This Row],[FECHA_TRASPLANTE]]</f>
        <v>44154</v>
      </c>
      <c r="BT113">
        <f>IF(higado[[#This Row],[FALLECIDO SI/NO]]="NO",0,1)</f>
        <v>0</v>
      </c>
      <c r="BU113" s="1">
        <f ca="1">IF(higado[[#This Row],[FALLECIDO_COD]]=0,TODAY()-higado[[#This Row],[FECHA_TRASPLANTE]],higado[[#This Row],[FECHA DE DEFUNCIÓN]]-higado[[#This Row],[FECHA_TRASPLANTE]])</f>
        <v>1721</v>
      </c>
      <c r="BV113" s="1">
        <f ca="1">IF(higado[[#This Row],[FALLECIDO_COD]]=0,TODAY()-higado[[#This Row],[FECHA_TRASPLANTE]],higado[[#This Row],[FECHA DE DEFUNCIÓN]]-higado[[#This Row],[FECHA_TRASPLANTE]])/30.4375</f>
        <v>56.542094455852158</v>
      </c>
      <c r="BW113" s="1">
        <f ca="1">IF(higado[[#This Row],[FALLECIDO_COD]]=0,TODAY()-higado[[#This Row],[FECHA_TRASPLANTE]],higado[[#This Row],[FECHA DE DEFUNCIÓN]]-higado[[#This Row],[FECHA_TRASPLANTE]])/365.25</f>
        <v>4.7118412046543465</v>
      </c>
    </row>
    <row r="114" spans="1:75" x14ac:dyDescent="0.35">
      <c r="A114" t="s">
        <v>377</v>
      </c>
      <c r="D114" t="s">
        <v>380</v>
      </c>
      <c r="E114" t="s">
        <v>77</v>
      </c>
      <c r="H114" s="2"/>
      <c r="I114" s="3">
        <f>(higado[[#This Row],[FECHA_TRASPLANTE]]-higado[[#This Row],[FECHA_NAC_D]])/365.25</f>
        <v>120.92539356605064</v>
      </c>
      <c r="K114" t="s">
        <v>695</v>
      </c>
      <c r="L114" t="s">
        <v>605</v>
      </c>
      <c r="M114" t="s">
        <v>195</v>
      </c>
      <c r="N114">
        <v>113490485</v>
      </c>
      <c r="O114" s="18">
        <v>44168</v>
      </c>
      <c r="P114" t="s">
        <v>81</v>
      </c>
      <c r="Q114" s="2">
        <v>32253</v>
      </c>
      <c r="R114" s="1">
        <f>(higado[[#This Row],[FECHA_TRASPLANTE]]-higado[[#This Row],[FECHA_NAC]])/365.25</f>
        <v>32.621492128678987</v>
      </c>
      <c r="U114" t="s">
        <v>696</v>
      </c>
      <c r="V114">
        <v>23</v>
      </c>
      <c r="W114" t="s">
        <v>82</v>
      </c>
      <c r="X114" t="s">
        <v>125</v>
      </c>
      <c r="Y114" t="s">
        <v>667</v>
      </c>
      <c r="Z114" t="s">
        <v>667</v>
      </c>
      <c r="AD114">
        <v>36</v>
      </c>
      <c r="AM114" t="s">
        <v>86</v>
      </c>
      <c r="AN114" s="2">
        <v>45463</v>
      </c>
      <c r="AY114" t="s">
        <v>106</v>
      </c>
      <c r="BS114" s="17">
        <f>higado[[#This Row],[FECHA_TRASPLANTE]]</f>
        <v>44168</v>
      </c>
      <c r="BT114">
        <f>IF(higado[[#This Row],[FALLECIDO SI/NO]]="NO",0,1)</f>
        <v>1</v>
      </c>
      <c r="BU114" s="1">
        <f ca="1">IF(higado[[#This Row],[FALLECIDO_COD]]=0,TODAY()-higado[[#This Row],[FECHA_TRASPLANTE]],higado[[#This Row],[FECHA DE DEFUNCIÓN]]-higado[[#This Row],[FECHA_TRASPLANTE]])</f>
        <v>1295</v>
      </c>
      <c r="BV114" s="1">
        <f ca="1">IF(higado[[#This Row],[FALLECIDO_COD]]=0,TODAY()-higado[[#This Row],[FECHA_TRASPLANTE]],higado[[#This Row],[FECHA DE DEFUNCIÓN]]-higado[[#This Row],[FECHA_TRASPLANTE]])/30.4375</f>
        <v>42.546201232032857</v>
      </c>
      <c r="BW114" s="1">
        <f ca="1">IF(higado[[#This Row],[FALLECIDO_COD]]=0,TODAY()-higado[[#This Row],[FECHA_TRASPLANTE]],higado[[#This Row],[FECHA DE DEFUNCIÓN]]-higado[[#This Row],[FECHA_TRASPLANTE]])/365.25</f>
        <v>3.5455167693360714</v>
      </c>
    </row>
    <row r="115" spans="1:75" x14ac:dyDescent="0.35">
      <c r="A115" t="s">
        <v>75</v>
      </c>
      <c r="B115" t="s">
        <v>75</v>
      </c>
      <c r="D115" t="s">
        <v>380</v>
      </c>
      <c r="E115" t="s">
        <v>77</v>
      </c>
      <c r="I115">
        <v>120.93086926762491</v>
      </c>
      <c r="K115" t="s">
        <v>697</v>
      </c>
      <c r="L115" t="s">
        <v>188</v>
      </c>
      <c r="M115" t="s">
        <v>698</v>
      </c>
      <c r="N115">
        <v>107430958</v>
      </c>
      <c r="O115" s="18">
        <v>44170</v>
      </c>
      <c r="P115" t="s">
        <v>90</v>
      </c>
      <c r="Q115" s="2">
        <v>25304</v>
      </c>
      <c r="R115" s="1">
        <f>(higado[[#This Row],[FECHA_TRASPLANTE]]-higado[[#This Row],[FECHA_NAC]])/365.25</f>
        <v>51.652292950034223</v>
      </c>
      <c r="U115" t="s">
        <v>416</v>
      </c>
      <c r="V115">
        <v>26</v>
      </c>
      <c r="W115" t="s">
        <v>82</v>
      </c>
      <c r="X115" t="s">
        <v>91</v>
      </c>
      <c r="Y115" t="s">
        <v>157</v>
      </c>
      <c r="Z115" t="s">
        <v>409</v>
      </c>
      <c r="AD115">
        <v>14</v>
      </c>
      <c r="AM115" t="s">
        <v>106</v>
      </c>
      <c r="AY115" t="s">
        <v>106</v>
      </c>
      <c r="BS115" s="17">
        <f>higado[[#This Row],[FECHA_TRASPLANTE]]</f>
        <v>44170</v>
      </c>
      <c r="BT115">
        <f>IF(higado[[#This Row],[FALLECIDO SI/NO]]="NO",0,1)</f>
        <v>0</v>
      </c>
      <c r="BU115" s="1">
        <f ca="1">IF(higado[[#This Row],[FALLECIDO_COD]]=0,TODAY()-higado[[#This Row],[FECHA_TRASPLANTE]],higado[[#This Row],[FECHA DE DEFUNCIÓN]]-higado[[#This Row],[FECHA_TRASPLANTE]])</f>
        <v>1705</v>
      </c>
      <c r="BV115" s="1">
        <f ca="1">IF(higado[[#This Row],[FALLECIDO_COD]]=0,TODAY()-higado[[#This Row],[FECHA_TRASPLANTE]],higado[[#This Row],[FECHA DE DEFUNCIÓN]]-higado[[#This Row],[FECHA_TRASPLANTE]])/30.4375</f>
        <v>56.016427104722794</v>
      </c>
      <c r="BW115" s="1">
        <f ca="1">IF(higado[[#This Row],[FALLECIDO_COD]]=0,TODAY()-higado[[#This Row],[FECHA_TRASPLANTE]],higado[[#This Row],[FECHA DE DEFUNCIÓN]]-higado[[#This Row],[FECHA_TRASPLANTE]])/365.25</f>
        <v>4.6680355920602326</v>
      </c>
    </row>
    <row r="116" spans="1:75" x14ac:dyDescent="0.35">
      <c r="A116" t="s">
        <v>75</v>
      </c>
      <c r="B116" t="s">
        <v>75</v>
      </c>
      <c r="D116" t="s">
        <v>380</v>
      </c>
      <c r="E116" t="s">
        <v>77</v>
      </c>
      <c r="I116">
        <v>120.96919917864476</v>
      </c>
      <c r="K116" t="s">
        <v>342</v>
      </c>
      <c r="L116" t="s">
        <v>699</v>
      </c>
      <c r="M116" t="s">
        <v>479</v>
      </c>
      <c r="N116">
        <v>702690208</v>
      </c>
      <c r="O116" s="18">
        <v>44184</v>
      </c>
      <c r="P116" t="s">
        <v>90</v>
      </c>
      <c r="Q116" s="2">
        <v>36331</v>
      </c>
      <c r="R116" s="1">
        <f>(higado[[#This Row],[FECHA_TRASPLANTE]]-higado[[#This Row],[FECHA_NAC]])/365.25</f>
        <v>21.500342231348391</v>
      </c>
      <c r="U116" t="s">
        <v>391</v>
      </c>
      <c r="V116">
        <v>34</v>
      </c>
      <c r="W116" t="s">
        <v>82</v>
      </c>
      <c r="X116" t="s">
        <v>120</v>
      </c>
      <c r="Y116" t="s">
        <v>471</v>
      </c>
      <c r="Z116" t="s">
        <v>421</v>
      </c>
      <c r="AD116">
        <v>17</v>
      </c>
      <c r="AM116" t="s">
        <v>106</v>
      </c>
      <c r="AY116" t="s">
        <v>106</v>
      </c>
      <c r="BS116" s="17">
        <f>higado[[#This Row],[FECHA_TRASPLANTE]]</f>
        <v>44184</v>
      </c>
      <c r="BT116">
        <f>IF(higado[[#This Row],[FALLECIDO SI/NO]]="NO",0,1)</f>
        <v>0</v>
      </c>
      <c r="BU116" s="1">
        <f ca="1">IF(higado[[#This Row],[FALLECIDO_COD]]=0,TODAY()-higado[[#This Row],[FECHA_TRASPLANTE]],higado[[#This Row],[FECHA DE DEFUNCIÓN]]-higado[[#This Row],[FECHA_TRASPLANTE]])</f>
        <v>1691</v>
      </c>
      <c r="BV116" s="1">
        <f ca="1">IF(higado[[#This Row],[FALLECIDO_COD]]=0,TODAY()-higado[[#This Row],[FECHA_TRASPLANTE]],higado[[#This Row],[FECHA DE DEFUNCIÓN]]-higado[[#This Row],[FECHA_TRASPLANTE]])/30.4375</f>
        <v>55.5564681724846</v>
      </c>
      <c r="BW116" s="1">
        <f ca="1">IF(higado[[#This Row],[FALLECIDO_COD]]=0,TODAY()-higado[[#This Row],[FECHA_TRASPLANTE]],higado[[#This Row],[FECHA DE DEFUNCIÓN]]-higado[[#This Row],[FECHA_TRASPLANTE]])/365.25</f>
        <v>4.6297056810403836</v>
      </c>
    </row>
    <row r="117" spans="1:75" x14ac:dyDescent="0.35">
      <c r="A117" t="s">
        <v>75</v>
      </c>
      <c r="B117" t="s">
        <v>75</v>
      </c>
      <c r="D117" t="s">
        <v>380</v>
      </c>
      <c r="E117" t="s">
        <v>77</v>
      </c>
      <c r="H117" s="2"/>
      <c r="I117" s="3">
        <f>(higado[[#This Row],[FECHA_TRASPLANTE]]-higado[[#This Row],[FECHA_NAC_D]])/365.25</f>
        <v>121.03490759753593</v>
      </c>
      <c r="K117" t="s">
        <v>700</v>
      </c>
      <c r="L117" t="s">
        <v>228</v>
      </c>
      <c r="M117" t="s">
        <v>228</v>
      </c>
      <c r="N117">
        <v>107260245</v>
      </c>
      <c r="O117" s="18">
        <v>44208</v>
      </c>
      <c r="P117" t="s">
        <v>81</v>
      </c>
      <c r="Q117" s="2">
        <v>24860</v>
      </c>
      <c r="R117" s="1">
        <f>(higado[[#This Row],[FECHA_TRASPLANTE]]-higado[[#This Row],[FECHA_NAC]])/365.25</f>
        <v>52.971937029431899</v>
      </c>
      <c r="U117" t="s">
        <v>701</v>
      </c>
      <c r="V117">
        <v>30</v>
      </c>
      <c r="W117" t="s">
        <v>82</v>
      </c>
      <c r="X117" t="s">
        <v>110</v>
      </c>
      <c r="Y117" t="s">
        <v>196</v>
      </c>
      <c r="Z117" t="s">
        <v>702</v>
      </c>
      <c r="AD117">
        <v>10</v>
      </c>
      <c r="AM117" t="s">
        <v>86</v>
      </c>
      <c r="AN117" s="2">
        <v>44982</v>
      </c>
      <c r="AY117" t="s">
        <v>106</v>
      </c>
      <c r="BS117" s="17">
        <f>higado[[#This Row],[FECHA_TRASPLANTE]]</f>
        <v>44208</v>
      </c>
      <c r="BT117">
        <f>IF(higado[[#This Row],[FALLECIDO SI/NO]]="NO",0,1)</f>
        <v>1</v>
      </c>
      <c r="BU117" s="1">
        <f ca="1">IF(higado[[#This Row],[FALLECIDO_COD]]=0,TODAY()-higado[[#This Row],[FECHA_TRASPLANTE]],higado[[#This Row],[FECHA DE DEFUNCIÓN]]-higado[[#This Row],[FECHA_TRASPLANTE]])</f>
        <v>774</v>
      </c>
      <c r="BV117" s="1">
        <f ca="1">IF(higado[[#This Row],[FALLECIDO_COD]]=0,TODAY()-higado[[#This Row],[FECHA_TRASPLANTE]],higado[[#This Row],[FECHA DE DEFUNCIÓN]]-higado[[#This Row],[FECHA_TRASPLANTE]])/30.4375</f>
        <v>25.429158110882955</v>
      </c>
      <c r="BW117" s="1">
        <f ca="1">IF(higado[[#This Row],[FALLECIDO_COD]]=0,TODAY()-higado[[#This Row],[FECHA_TRASPLANTE]],higado[[#This Row],[FECHA DE DEFUNCIÓN]]-higado[[#This Row],[FECHA_TRASPLANTE]])/365.25</f>
        <v>2.1190965092402463</v>
      </c>
    </row>
    <row r="118" spans="1:75" x14ac:dyDescent="0.35">
      <c r="A118" t="s">
        <v>75</v>
      </c>
      <c r="B118" t="s">
        <v>75</v>
      </c>
      <c r="D118" t="s">
        <v>380</v>
      </c>
      <c r="E118" t="s">
        <v>77</v>
      </c>
      <c r="H118" s="2"/>
      <c r="I118" s="3">
        <f>(higado[[#This Row],[FECHA_TRASPLANTE]]-higado[[#This Row],[FECHA_NAC_D]])/365.25</f>
        <v>121.04312114989733</v>
      </c>
      <c r="K118" t="s">
        <v>703</v>
      </c>
      <c r="L118" t="s">
        <v>670</v>
      </c>
      <c r="M118" t="s">
        <v>704</v>
      </c>
      <c r="N118">
        <v>104640821</v>
      </c>
      <c r="O118" s="18">
        <v>44211</v>
      </c>
      <c r="P118" t="s">
        <v>90</v>
      </c>
      <c r="Q118" s="2">
        <v>20691</v>
      </c>
      <c r="R118" s="1">
        <f>(higado[[#This Row],[FECHA_TRASPLANTE]]-higado[[#This Row],[FECHA_NAC]])/365.25</f>
        <v>64.394250513347018</v>
      </c>
      <c r="U118" t="s">
        <v>394</v>
      </c>
      <c r="V118">
        <v>15</v>
      </c>
      <c r="W118" t="s">
        <v>82</v>
      </c>
      <c r="X118" t="s">
        <v>91</v>
      </c>
      <c r="Y118" t="s">
        <v>116</v>
      </c>
      <c r="Z118" t="s">
        <v>705</v>
      </c>
      <c r="AD118">
        <v>25</v>
      </c>
      <c r="AM118" t="s">
        <v>86</v>
      </c>
      <c r="AN118" s="2">
        <v>44236</v>
      </c>
      <c r="AY118" t="s">
        <v>106</v>
      </c>
      <c r="BS118" s="17">
        <f>higado[[#This Row],[FECHA_TRASPLANTE]]</f>
        <v>44211</v>
      </c>
      <c r="BT118">
        <f>IF(higado[[#This Row],[FALLECIDO SI/NO]]="NO",0,1)</f>
        <v>1</v>
      </c>
      <c r="BU118" s="1">
        <f ca="1">IF(higado[[#This Row],[FALLECIDO_COD]]=0,TODAY()-higado[[#This Row],[FECHA_TRASPLANTE]],higado[[#This Row],[FECHA DE DEFUNCIÓN]]-higado[[#This Row],[FECHA_TRASPLANTE]])</f>
        <v>25</v>
      </c>
      <c r="BV118" s="1">
        <f ca="1">IF(higado[[#This Row],[FALLECIDO_COD]]=0,TODAY()-higado[[#This Row],[FECHA_TRASPLANTE]],higado[[#This Row],[FECHA DE DEFUNCIÓN]]-higado[[#This Row],[FECHA_TRASPLANTE]])/30.4375</f>
        <v>0.82135523613963035</v>
      </c>
      <c r="BW118" s="1">
        <f ca="1">IF(higado[[#This Row],[FALLECIDO_COD]]=0,TODAY()-higado[[#This Row],[FECHA_TRASPLANTE]],higado[[#This Row],[FECHA DE DEFUNCIÓN]]-higado[[#This Row],[FECHA_TRASPLANTE]])/365.25</f>
        <v>6.8446269678302529E-2</v>
      </c>
    </row>
    <row r="119" spans="1:75" x14ac:dyDescent="0.35">
      <c r="A119" t="s">
        <v>376</v>
      </c>
      <c r="B119" t="s">
        <v>376</v>
      </c>
      <c r="D119" t="s">
        <v>380</v>
      </c>
      <c r="E119" t="s">
        <v>375</v>
      </c>
      <c r="I119">
        <v>121.05954825462013</v>
      </c>
      <c r="K119" t="s">
        <v>706</v>
      </c>
      <c r="L119" t="s">
        <v>237</v>
      </c>
      <c r="M119" t="s">
        <v>707</v>
      </c>
      <c r="N119">
        <v>504940396</v>
      </c>
      <c r="O119" s="18">
        <v>44217</v>
      </c>
      <c r="P119" t="s">
        <v>81</v>
      </c>
      <c r="Q119" s="2">
        <v>40594</v>
      </c>
      <c r="R119" s="1">
        <f>(higado[[#This Row],[FECHA_TRASPLANTE]]-higado[[#This Row],[FECHA_NAC]])/365.25</f>
        <v>9.9192334017796036</v>
      </c>
      <c r="T119" s="2">
        <v>43472</v>
      </c>
      <c r="U119" t="s">
        <v>708</v>
      </c>
      <c r="V119">
        <v>12</v>
      </c>
      <c r="W119" t="s">
        <v>82</v>
      </c>
      <c r="X119" t="s">
        <v>125</v>
      </c>
      <c r="Y119" t="s">
        <v>709</v>
      </c>
      <c r="Z119" t="s">
        <v>710</v>
      </c>
      <c r="AD119">
        <v>10</v>
      </c>
      <c r="AM119" t="s">
        <v>106</v>
      </c>
      <c r="AY119" t="s">
        <v>106</v>
      </c>
      <c r="BS119" s="17">
        <f>higado[[#This Row],[FECHA_TRASPLANTE]]</f>
        <v>44217</v>
      </c>
      <c r="BT119">
        <f>IF(higado[[#This Row],[FALLECIDO SI/NO]]="NO",0,1)</f>
        <v>0</v>
      </c>
      <c r="BU119" s="1">
        <f ca="1">IF(higado[[#This Row],[FALLECIDO_COD]]=0,TODAY()-higado[[#This Row],[FECHA_TRASPLANTE]],higado[[#This Row],[FECHA DE DEFUNCIÓN]]-higado[[#This Row],[FECHA_TRASPLANTE]])</f>
        <v>1658</v>
      </c>
      <c r="BV119" s="1">
        <f ca="1">IF(higado[[#This Row],[FALLECIDO_COD]]=0,TODAY()-higado[[#This Row],[FECHA_TRASPLANTE]],higado[[#This Row],[FECHA DE DEFUNCIÓN]]-higado[[#This Row],[FECHA_TRASPLANTE]])/30.4375</f>
        <v>54.47227926078029</v>
      </c>
      <c r="BW119" s="1">
        <f ca="1">IF(higado[[#This Row],[FALLECIDO_COD]]=0,TODAY()-higado[[#This Row],[FECHA_TRASPLANTE]],higado[[#This Row],[FECHA DE DEFUNCIÓN]]-higado[[#This Row],[FECHA_TRASPLANTE]])/365.25</f>
        <v>4.5393566050650236</v>
      </c>
    </row>
    <row r="120" spans="1:75" x14ac:dyDescent="0.35">
      <c r="A120" t="s">
        <v>377</v>
      </c>
      <c r="D120" t="s">
        <v>380</v>
      </c>
      <c r="E120" t="s">
        <v>77</v>
      </c>
      <c r="H120" s="2"/>
      <c r="I120" s="3">
        <f>(higado[[#This Row],[FECHA_TRASPLANTE]]-higado[[#This Row],[FECHA_NAC_D]])/365.25</f>
        <v>121.09240246406571</v>
      </c>
      <c r="K120" t="s">
        <v>711</v>
      </c>
      <c r="L120" t="s">
        <v>99</v>
      </c>
      <c r="M120" t="s">
        <v>526</v>
      </c>
      <c r="N120">
        <v>402470416</v>
      </c>
      <c r="O120" s="18">
        <v>44229</v>
      </c>
      <c r="P120" t="s">
        <v>90</v>
      </c>
      <c r="Q120" s="2">
        <v>36675</v>
      </c>
      <c r="R120" s="1">
        <f>(higado[[#This Row],[FECHA_TRASPLANTE]]-higado[[#This Row],[FECHA_NAC]])/365.25</f>
        <v>20.681724845995895</v>
      </c>
      <c r="U120" t="s">
        <v>552</v>
      </c>
      <c r="V120">
        <v>18</v>
      </c>
      <c r="W120" t="s">
        <v>82</v>
      </c>
      <c r="X120" t="s">
        <v>261</v>
      </c>
      <c r="Y120" t="s">
        <v>712</v>
      </c>
      <c r="Z120" t="s">
        <v>713</v>
      </c>
      <c r="AD120">
        <v>23</v>
      </c>
      <c r="AM120" t="s">
        <v>86</v>
      </c>
      <c r="AN120" s="2">
        <v>44509</v>
      </c>
      <c r="AY120" t="s">
        <v>106</v>
      </c>
      <c r="BS120" s="17">
        <f>higado[[#This Row],[FECHA_TRASPLANTE]]</f>
        <v>44229</v>
      </c>
      <c r="BT120">
        <f>IF(higado[[#This Row],[FALLECIDO SI/NO]]="NO",0,1)</f>
        <v>1</v>
      </c>
      <c r="BU120" s="1">
        <f ca="1">IF(higado[[#This Row],[FALLECIDO_COD]]=0,TODAY()-higado[[#This Row],[FECHA_TRASPLANTE]],higado[[#This Row],[FECHA DE DEFUNCIÓN]]-higado[[#This Row],[FECHA_TRASPLANTE]])</f>
        <v>280</v>
      </c>
      <c r="BV120" s="1">
        <f ca="1">IF(higado[[#This Row],[FALLECIDO_COD]]=0,TODAY()-higado[[#This Row],[FECHA_TRASPLANTE]],higado[[#This Row],[FECHA DE DEFUNCIÓN]]-higado[[#This Row],[FECHA_TRASPLANTE]])/30.4375</f>
        <v>9.1991786447638599</v>
      </c>
      <c r="BW120" s="1">
        <f ca="1">IF(higado[[#This Row],[FALLECIDO_COD]]=0,TODAY()-higado[[#This Row],[FECHA_TRASPLANTE]],higado[[#This Row],[FECHA DE DEFUNCIÓN]]-higado[[#This Row],[FECHA_TRASPLANTE]])/365.25</f>
        <v>0.76659822039698833</v>
      </c>
    </row>
    <row r="121" spans="1:75" x14ac:dyDescent="0.35">
      <c r="A121" t="s">
        <v>376</v>
      </c>
      <c r="B121" t="s">
        <v>376</v>
      </c>
      <c r="D121" t="s">
        <v>380</v>
      </c>
      <c r="E121" t="s">
        <v>77</v>
      </c>
      <c r="I121">
        <v>121.14989733059548</v>
      </c>
      <c r="K121" t="s">
        <v>714</v>
      </c>
      <c r="L121" t="s">
        <v>98</v>
      </c>
      <c r="M121" t="s">
        <v>98</v>
      </c>
      <c r="N121">
        <v>209710844</v>
      </c>
      <c r="O121" s="18">
        <v>44250</v>
      </c>
      <c r="P121" t="s">
        <v>90</v>
      </c>
      <c r="Q121" s="2">
        <v>41414</v>
      </c>
      <c r="R121" s="1">
        <f>(higado[[#This Row],[FECHA_TRASPLANTE]]-higado[[#This Row],[FECHA_NAC]])/365.25</f>
        <v>7.7645448323066395</v>
      </c>
      <c r="T121" s="2">
        <v>44085</v>
      </c>
      <c r="U121" t="s">
        <v>611</v>
      </c>
      <c r="V121">
        <v>40</v>
      </c>
      <c r="W121" t="s">
        <v>82</v>
      </c>
      <c r="X121" t="s">
        <v>115</v>
      </c>
      <c r="Y121" t="s">
        <v>197</v>
      </c>
      <c r="Z121" t="s">
        <v>715</v>
      </c>
      <c r="AD121">
        <v>4</v>
      </c>
      <c r="AM121" t="s">
        <v>106</v>
      </c>
      <c r="AY121" t="s">
        <v>106</v>
      </c>
      <c r="BS121" s="17">
        <f>higado[[#This Row],[FECHA_TRASPLANTE]]</f>
        <v>44250</v>
      </c>
      <c r="BT121">
        <f>IF(higado[[#This Row],[FALLECIDO SI/NO]]="NO",0,1)</f>
        <v>0</v>
      </c>
      <c r="BU121" s="1">
        <f ca="1">IF(higado[[#This Row],[FALLECIDO_COD]]=0,TODAY()-higado[[#This Row],[FECHA_TRASPLANTE]],higado[[#This Row],[FECHA DE DEFUNCIÓN]]-higado[[#This Row],[FECHA_TRASPLANTE]])</f>
        <v>1625</v>
      </c>
      <c r="BV121" s="1">
        <f ca="1">IF(higado[[#This Row],[FALLECIDO_COD]]=0,TODAY()-higado[[#This Row],[FECHA_TRASPLANTE]],higado[[#This Row],[FECHA DE DEFUNCIÓN]]-higado[[#This Row],[FECHA_TRASPLANTE]])/30.4375</f>
        <v>53.388090349075974</v>
      </c>
      <c r="BW121" s="1">
        <f ca="1">IF(higado[[#This Row],[FALLECIDO_COD]]=0,TODAY()-higado[[#This Row],[FECHA_TRASPLANTE]],higado[[#This Row],[FECHA DE DEFUNCIÓN]]-higado[[#This Row],[FECHA_TRASPLANTE]])/365.25</f>
        <v>4.4490075290896645</v>
      </c>
    </row>
    <row r="122" spans="1:75" x14ac:dyDescent="0.35">
      <c r="A122" t="s">
        <v>376</v>
      </c>
      <c r="B122" t="s">
        <v>376</v>
      </c>
      <c r="D122" t="s">
        <v>380</v>
      </c>
      <c r="E122" t="s">
        <v>375</v>
      </c>
      <c r="I122">
        <v>121.18822724161534</v>
      </c>
      <c r="K122" t="s">
        <v>716</v>
      </c>
      <c r="L122" t="s">
        <v>114</v>
      </c>
      <c r="M122" t="s">
        <v>717</v>
      </c>
      <c r="N122">
        <v>703530460</v>
      </c>
      <c r="O122" s="18">
        <v>44264</v>
      </c>
      <c r="P122" t="s">
        <v>81</v>
      </c>
      <c r="Q122" s="2">
        <v>40336</v>
      </c>
      <c r="R122" s="1">
        <f>(higado[[#This Row],[FECHA_TRASPLANTE]]-higado[[#This Row],[FECHA_NAC]])/365.25</f>
        <v>10.754277891854894</v>
      </c>
      <c r="T122" s="2">
        <v>43742</v>
      </c>
      <c r="U122" t="s">
        <v>611</v>
      </c>
      <c r="V122">
        <v>14</v>
      </c>
      <c r="W122" t="s">
        <v>82</v>
      </c>
      <c r="X122" t="s">
        <v>120</v>
      </c>
      <c r="Y122" t="s">
        <v>471</v>
      </c>
      <c r="Z122" t="s">
        <v>718</v>
      </c>
      <c r="AD122">
        <v>2</v>
      </c>
      <c r="AM122" t="s">
        <v>106</v>
      </c>
      <c r="AY122" t="s">
        <v>86</v>
      </c>
      <c r="BS122" s="17">
        <f>higado[[#This Row],[FECHA_TRASPLANTE]]</f>
        <v>44264</v>
      </c>
      <c r="BT122">
        <f>IF(higado[[#This Row],[FALLECIDO SI/NO]]="NO",0,1)</f>
        <v>0</v>
      </c>
      <c r="BU122" s="1">
        <f ca="1">IF(higado[[#This Row],[FALLECIDO_COD]]=0,TODAY()-higado[[#This Row],[FECHA_TRASPLANTE]],higado[[#This Row],[FECHA DE DEFUNCIÓN]]-higado[[#This Row],[FECHA_TRASPLANTE]])</f>
        <v>1611</v>
      </c>
      <c r="BV122" s="1">
        <f ca="1">IF(higado[[#This Row],[FALLECIDO_COD]]=0,TODAY()-higado[[#This Row],[FECHA_TRASPLANTE]],higado[[#This Row],[FECHA DE DEFUNCIÓN]]-higado[[#This Row],[FECHA_TRASPLANTE]])/30.4375</f>
        <v>52.928131416837779</v>
      </c>
      <c r="BW122" s="1">
        <f ca="1">IF(higado[[#This Row],[FALLECIDO_COD]]=0,TODAY()-higado[[#This Row],[FECHA_TRASPLANTE]],higado[[#This Row],[FECHA DE DEFUNCIÓN]]-higado[[#This Row],[FECHA_TRASPLANTE]])/365.25</f>
        <v>4.4106776180698155</v>
      </c>
    </row>
    <row r="123" spans="1:75" x14ac:dyDescent="0.35">
      <c r="A123" t="s">
        <v>377</v>
      </c>
      <c r="D123" t="s">
        <v>380</v>
      </c>
      <c r="E123" t="s">
        <v>77</v>
      </c>
      <c r="I123">
        <v>121.28678986995209</v>
      </c>
      <c r="K123" t="s">
        <v>719</v>
      </c>
      <c r="L123" t="s">
        <v>155</v>
      </c>
      <c r="M123" t="s">
        <v>411</v>
      </c>
      <c r="N123">
        <v>107620794</v>
      </c>
      <c r="O123" s="18">
        <v>44300</v>
      </c>
      <c r="P123" t="s">
        <v>81</v>
      </c>
      <c r="Q123" s="2">
        <v>25552</v>
      </c>
      <c r="R123" s="1">
        <f>(higado[[#This Row],[FECHA_TRASPLANTE]]-higado[[#This Row],[FECHA_NAC]])/365.25</f>
        <v>51.329226557152637</v>
      </c>
      <c r="U123" t="s">
        <v>720</v>
      </c>
      <c r="V123">
        <v>23</v>
      </c>
      <c r="W123" t="s">
        <v>82</v>
      </c>
      <c r="X123" t="s">
        <v>261</v>
      </c>
      <c r="Y123" t="s">
        <v>721</v>
      </c>
      <c r="Z123" t="s">
        <v>721</v>
      </c>
      <c r="AD123">
        <v>12</v>
      </c>
      <c r="AM123" t="s">
        <v>106</v>
      </c>
      <c r="AY123" t="s">
        <v>106</v>
      </c>
      <c r="BS123" s="17">
        <f>higado[[#This Row],[FECHA_TRASPLANTE]]</f>
        <v>44300</v>
      </c>
      <c r="BT123">
        <f>IF(higado[[#This Row],[FALLECIDO SI/NO]]="NO",0,1)</f>
        <v>0</v>
      </c>
      <c r="BU123" s="1">
        <f ca="1">IF(higado[[#This Row],[FALLECIDO_COD]]=0,TODAY()-higado[[#This Row],[FECHA_TRASPLANTE]],higado[[#This Row],[FECHA DE DEFUNCIÓN]]-higado[[#This Row],[FECHA_TRASPLANTE]])</f>
        <v>1575</v>
      </c>
      <c r="BV123" s="1">
        <f ca="1">IF(higado[[#This Row],[FALLECIDO_COD]]=0,TODAY()-higado[[#This Row],[FECHA_TRASPLANTE]],higado[[#This Row],[FECHA DE DEFUNCIÓN]]-higado[[#This Row],[FECHA_TRASPLANTE]])/30.4375</f>
        <v>51.745379876796711</v>
      </c>
      <c r="BW123" s="1">
        <f ca="1">IF(higado[[#This Row],[FALLECIDO_COD]]=0,TODAY()-higado[[#This Row],[FECHA_TRASPLANTE]],higado[[#This Row],[FECHA DE DEFUNCIÓN]]-higado[[#This Row],[FECHA_TRASPLANTE]])/365.25</f>
        <v>4.3121149897330593</v>
      </c>
    </row>
    <row r="124" spans="1:75" x14ac:dyDescent="0.35">
      <c r="A124" t="s">
        <v>75</v>
      </c>
      <c r="B124" t="s">
        <v>75</v>
      </c>
      <c r="D124" t="s">
        <v>380</v>
      </c>
      <c r="E124" t="s">
        <v>77</v>
      </c>
      <c r="I124">
        <v>121.30321697467488</v>
      </c>
      <c r="K124" t="s">
        <v>722</v>
      </c>
      <c r="L124" t="s">
        <v>188</v>
      </c>
      <c r="M124" t="s">
        <v>431</v>
      </c>
      <c r="N124">
        <v>117190029</v>
      </c>
      <c r="O124" s="18">
        <v>44306</v>
      </c>
      <c r="P124" t="s">
        <v>90</v>
      </c>
      <c r="Q124" s="2">
        <v>36032</v>
      </c>
      <c r="R124" s="1">
        <f>(higado[[#This Row],[FECHA_TRASPLANTE]]-higado[[#This Row],[FECHA_NAC]])/365.25</f>
        <v>22.652977412731005</v>
      </c>
      <c r="U124" t="s">
        <v>391</v>
      </c>
      <c r="V124">
        <v>28</v>
      </c>
      <c r="W124" t="s">
        <v>82</v>
      </c>
      <c r="X124" t="s">
        <v>91</v>
      </c>
      <c r="Y124" t="s">
        <v>157</v>
      </c>
      <c r="Z124" t="s">
        <v>409</v>
      </c>
      <c r="AD124">
        <v>31</v>
      </c>
      <c r="AM124" t="s">
        <v>106</v>
      </c>
      <c r="AY124" t="s">
        <v>106</v>
      </c>
      <c r="BS124" s="17">
        <f>higado[[#This Row],[FECHA_TRASPLANTE]]</f>
        <v>44306</v>
      </c>
      <c r="BT124">
        <f>IF(higado[[#This Row],[FALLECIDO SI/NO]]="NO",0,1)</f>
        <v>0</v>
      </c>
      <c r="BU124" s="1">
        <f ca="1">IF(higado[[#This Row],[FALLECIDO_COD]]=0,TODAY()-higado[[#This Row],[FECHA_TRASPLANTE]],higado[[#This Row],[FECHA DE DEFUNCIÓN]]-higado[[#This Row],[FECHA_TRASPLANTE]])</f>
        <v>1569</v>
      </c>
      <c r="BV124" s="1">
        <f ca="1">IF(higado[[#This Row],[FALLECIDO_COD]]=0,TODAY()-higado[[#This Row],[FECHA_TRASPLANTE]],higado[[#This Row],[FECHA DE DEFUNCIÓN]]-higado[[#This Row],[FECHA_TRASPLANTE]])/30.4375</f>
        <v>51.548254620123203</v>
      </c>
      <c r="BW124" s="1">
        <f ca="1">IF(higado[[#This Row],[FALLECIDO_COD]]=0,TODAY()-higado[[#This Row],[FECHA_TRASPLANTE]],higado[[#This Row],[FECHA DE DEFUNCIÓN]]-higado[[#This Row],[FECHA_TRASPLANTE]])/365.25</f>
        <v>4.2956878850102669</v>
      </c>
    </row>
    <row r="125" spans="1:75" x14ac:dyDescent="0.35">
      <c r="A125" t="s">
        <v>377</v>
      </c>
      <c r="D125" t="s">
        <v>380</v>
      </c>
      <c r="E125" t="s">
        <v>77</v>
      </c>
      <c r="I125">
        <v>121.34976043805612</v>
      </c>
      <c r="K125" t="s">
        <v>723</v>
      </c>
      <c r="L125" t="s">
        <v>474</v>
      </c>
      <c r="M125" t="s">
        <v>483</v>
      </c>
      <c r="N125">
        <v>16521049</v>
      </c>
      <c r="O125" s="18">
        <v>44323</v>
      </c>
      <c r="P125" t="s">
        <v>81</v>
      </c>
      <c r="Q125" s="2">
        <v>23984</v>
      </c>
      <c r="R125" s="1">
        <f>(higado[[#This Row],[FECHA_TRASPLANTE]]-higado[[#This Row],[FECHA_NAC]])/365.25</f>
        <v>55.685147159479811</v>
      </c>
      <c r="U125" t="s">
        <v>724</v>
      </c>
      <c r="V125">
        <v>25</v>
      </c>
      <c r="W125" t="s">
        <v>146</v>
      </c>
      <c r="X125" t="s">
        <v>91</v>
      </c>
      <c r="Y125" t="s">
        <v>91</v>
      </c>
      <c r="Z125" t="s">
        <v>725</v>
      </c>
      <c r="AD125">
        <v>24</v>
      </c>
      <c r="AM125" t="s">
        <v>106</v>
      </c>
      <c r="AY125" t="s">
        <v>106</v>
      </c>
      <c r="BS125" s="17">
        <f>higado[[#This Row],[FECHA_TRASPLANTE]]</f>
        <v>44323</v>
      </c>
      <c r="BT125">
        <f>IF(higado[[#This Row],[FALLECIDO SI/NO]]="NO",0,1)</f>
        <v>0</v>
      </c>
      <c r="BU125" s="1">
        <f ca="1">IF(higado[[#This Row],[FALLECIDO_COD]]=0,TODAY()-higado[[#This Row],[FECHA_TRASPLANTE]],higado[[#This Row],[FECHA DE DEFUNCIÓN]]-higado[[#This Row],[FECHA_TRASPLANTE]])</f>
        <v>1552</v>
      </c>
      <c r="BV125" s="1">
        <f ca="1">IF(higado[[#This Row],[FALLECIDO_COD]]=0,TODAY()-higado[[#This Row],[FECHA_TRASPLANTE]],higado[[#This Row],[FECHA DE DEFUNCIÓN]]-higado[[#This Row],[FECHA_TRASPLANTE]])/30.4375</f>
        <v>50.989733059548257</v>
      </c>
      <c r="BW125" s="1">
        <f ca="1">IF(higado[[#This Row],[FALLECIDO_COD]]=0,TODAY()-higado[[#This Row],[FECHA_TRASPLANTE]],higado[[#This Row],[FECHA DE DEFUNCIÓN]]-higado[[#This Row],[FECHA_TRASPLANTE]])/365.25</f>
        <v>4.2491444216290208</v>
      </c>
    </row>
    <row r="126" spans="1:75" x14ac:dyDescent="0.35">
      <c r="A126" t="s">
        <v>377</v>
      </c>
      <c r="D126" t="s">
        <v>380</v>
      </c>
      <c r="E126" t="s">
        <v>77</v>
      </c>
      <c r="H126" s="2"/>
      <c r="I126" s="3">
        <f>(higado[[#This Row],[FECHA_TRASPLANTE]]-higado[[#This Row],[FECHA_NAC_D]])/365.25</f>
        <v>121.37166324435319</v>
      </c>
      <c r="K126" t="s">
        <v>726</v>
      </c>
      <c r="L126" t="s">
        <v>98</v>
      </c>
      <c r="M126" t="s">
        <v>496</v>
      </c>
      <c r="N126">
        <v>108290409</v>
      </c>
      <c r="O126" s="18">
        <v>44331</v>
      </c>
      <c r="P126" t="s">
        <v>81</v>
      </c>
      <c r="Q126" s="2">
        <v>25601</v>
      </c>
      <c r="R126" s="1">
        <f>(higado[[#This Row],[FECHA_TRASPLANTE]]-higado[[#This Row],[FECHA_NAC]])/365.25</f>
        <v>51.279945242984255</v>
      </c>
      <c r="U126" t="s">
        <v>727</v>
      </c>
      <c r="V126">
        <v>29</v>
      </c>
      <c r="W126" t="s">
        <v>82</v>
      </c>
      <c r="X126" t="s">
        <v>91</v>
      </c>
      <c r="Y126" t="s">
        <v>84</v>
      </c>
      <c r="Z126" t="s">
        <v>494</v>
      </c>
      <c r="AD126">
        <v>7</v>
      </c>
      <c r="AM126" t="s">
        <v>86</v>
      </c>
      <c r="AN126" s="2">
        <v>44335</v>
      </c>
      <c r="AO126" t="s">
        <v>728</v>
      </c>
      <c r="AY126" t="s">
        <v>106</v>
      </c>
      <c r="BS126" s="17">
        <f>higado[[#This Row],[FECHA_TRASPLANTE]]</f>
        <v>44331</v>
      </c>
      <c r="BT126">
        <f>IF(higado[[#This Row],[FALLECIDO SI/NO]]="NO",0,1)</f>
        <v>1</v>
      </c>
      <c r="BU126" s="1">
        <f ca="1">IF(higado[[#This Row],[FALLECIDO_COD]]=0,TODAY()-higado[[#This Row],[FECHA_TRASPLANTE]],higado[[#This Row],[FECHA DE DEFUNCIÓN]]-higado[[#This Row],[FECHA_TRASPLANTE]])</f>
        <v>4</v>
      </c>
      <c r="BV126" s="1">
        <f ca="1">IF(higado[[#This Row],[FALLECIDO_COD]]=0,TODAY()-higado[[#This Row],[FECHA_TRASPLANTE]],higado[[#This Row],[FECHA DE DEFUNCIÓN]]-higado[[#This Row],[FECHA_TRASPLANTE]])/30.4375</f>
        <v>0.13141683778234087</v>
      </c>
      <c r="BW126" s="1">
        <f ca="1">IF(higado[[#This Row],[FALLECIDO_COD]]=0,TODAY()-higado[[#This Row],[FECHA_TRASPLANTE]],higado[[#This Row],[FECHA DE DEFUNCIÓN]]-higado[[#This Row],[FECHA_TRASPLANTE]])/365.25</f>
        <v>1.0951403148528405E-2</v>
      </c>
    </row>
    <row r="127" spans="1:75" x14ac:dyDescent="0.35">
      <c r="A127" t="s">
        <v>376</v>
      </c>
      <c r="B127" t="s">
        <v>376</v>
      </c>
      <c r="D127" t="s">
        <v>380</v>
      </c>
      <c r="E127" t="s">
        <v>375</v>
      </c>
      <c r="I127">
        <v>121.39904175222451</v>
      </c>
      <c r="K127" t="s">
        <v>729</v>
      </c>
      <c r="L127" t="s">
        <v>132</v>
      </c>
      <c r="M127" t="s">
        <v>730</v>
      </c>
      <c r="N127">
        <v>210490616</v>
      </c>
      <c r="O127" s="18">
        <v>44341</v>
      </c>
      <c r="P127" t="s">
        <v>81</v>
      </c>
      <c r="Q127" s="2">
        <v>43491</v>
      </c>
      <c r="R127" s="1">
        <f>(higado[[#This Row],[FECHA_TRASPLANTE]]-higado[[#This Row],[FECHA_NAC]])/365.25</f>
        <v>2.3271731690622861</v>
      </c>
      <c r="T127" s="2">
        <v>44176</v>
      </c>
      <c r="U127" t="s">
        <v>731</v>
      </c>
      <c r="V127">
        <v>20</v>
      </c>
      <c r="W127" t="s">
        <v>82</v>
      </c>
      <c r="X127" t="s">
        <v>120</v>
      </c>
      <c r="Y127" t="s">
        <v>471</v>
      </c>
      <c r="Z127" t="s">
        <v>718</v>
      </c>
      <c r="AD127">
        <v>5</v>
      </c>
      <c r="AM127" t="s">
        <v>106</v>
      </c>
      <c r="AY127" t="s">
        <v>86</v>
      </c>
      <c r="BS127" s="17">
        <f>higado[[#This Row],[FECHA_TRASPLANTE]]</f>
        <v>44341</v>
      </c>
      <c r="BT127">
        <f>IF(higado[[#This Row],[FALLECIDO SI/NO]]="NO",0,1)</f>
        <v>0</v>
      </c>
      <c r="BU127" s="1">
        <f ca="1">IF(higado[[#This Row],[FALLECIDO_COD]]=0,TODAY()-higado[[#This Row],[FECHA_TRASPLANTE]],higado[[#This Row],[FECHA DE DEFUNCIÓN]]-higado[[#This Row],[FECHA_TRASPLANTE]])</f>
        <v>1534</v>
      </c>
      <c r="BV127" s="1">
        <f ca="1">IF(higado[[#This Row],[FALLECIDO_COD]]=0,TODAY()-higado[[#This Row],[FECHA_TRASPLANTE]],higado[[#This Row],[FECHA DE DEFUNCIÓN]]-higado[[#This Row],[FECHA_TRASPLANTE]])/30.4375</f>
        <v>50.398357289527723</v>
      </c>
      <c r="BW127" s="1">
        <f ca="1">IF(higado[[#This Row],[FALLECIDO_COD]]=0,TODAY()-higado[[#This Row],[FECHA_TRASPLANTE]],higado[[#This Row],[FECHA DE DEFUNCIÓN]]-higado[[#This Row],[FECHA_TRASPLANTE]])/365.25</f>
        <v>4.1998631074606436</v>
      </c>
    </row>
    <row r="128" spans="1:75" x14ac:dyDescent="0.35">
      <c r="A128" t="s">
        <v>376</v>
      </c>
      <c r="B128" t="s">
        <v>376</v>
      </c>
      <c r="D128" t="s">
        <v>380</v>
      </c>
      <c r="E128" t="s">
        <v>375</v>
      </c>
      <c r="H128" s="2"/>
      <c r="I128" s="3">
        <f>(higado[[#This Row],[FECHA_TRASPLANTE]]-higado[[#This Row],[FECHA_NAC_D]])/365.25</f>
        <v>121.55236139630391</v>
      </c>
      <c r="K128" t="s">
        <v>732</v>
      </c>
      <c r="L128" t="s">
        <v>184</v>
      </c>
      <c r="M128" t="s">
        <v>209</v>
      </c>
      <c r="N128">
        <v>605690335</v>
      </c>
      <c r="O128" s="18">
        <v>44397</v>
      </c>
      <c r="P128" t="s">
        <v>90</v>
      </c>
      <c r="Q128" s="2">
        <v>43067</v>
      </c>
      <c r="R128" s="1">
        <f>(higado[[#This Row],[FECHA_TRASPLANTE]]-higado[[#This Row],[FECHA_NAC]])/365.25</f>
        <v>3.6413415468856947</v>
      </c>
      <c r="T128" s="2">
        <v>43588</v>
      </c>
      <c r="U128" t="s">
        <v>428</v>
      </c>
      <c r="V128">
        <v>29</v>
      </c>
      <c r="W128" t="s">
        <v>82</v>
      </c>
      <c r="X128" t="s">
        <v>83</v>
      </c>
      <c r="Y128" t="s">
        <v>320</v>
      </c>
      <c r="Z128" t="s">
        <v>733</v>
      </c>
      <c r="AD128">
        <v>4</v>
      </c>
      <c r="AM128" t="s">
        <v>86</v>
      </c>
      <c r="AN128" s="2">
        <v>44400</v>
      </c>
      <c r="AO128" t="s">
        <v>734</v>
      </c>
      <c r="AY128" t="s">
        <v>106</v>
      </c>
      <c r="BS128" s="17">
        <f>higado[[#This Row],[FECHA_TRASPLANTE]]</f>
        <v>44397</v>
      </c>
      <c r="BT128">
        <f>IF(higado[[#This Row],[FALLECIDO SI/NO]]="NO",0,1)</f>
        <v>1</v>
      </c>
      <c r="BU128" s="1">
        <f ca="1">IF(higado[[#This Row],[FALLECIDO_COD]]=0,TODAY()-higado[[#This Row],[FECHA_TRASPLANTE]],higado[[#This Row],[FECHA DE DEFUNCIÓN]]-higado[[#This Row],[FECHA_TRASPLANTE]])</f>
        <v>3</v>
      </c>
      <c r="BV128" s="1">
        <f ca="1">IF(higado[[#This Row],[FALLECIDO_COD]]=0,TODAY()-higado[[#This Row],[FECHA_TRASPLANTE]],higado[[#This Row],[FECHA DE DEFUNCIÓN]]-higado[[#This Row],[FECHA_TRASPLANTE]])/30.4375</f>
        <v>9.856262833675565E-2</v>
      </c>
      <c r="BW128" s="1">
        <f ca="1">IF(higado[[#This Row],[FALLECIDO_COD]]=0,TODAY()-higado[[#This Row],[FECHA_TRASPLANTE]],higado[[#This Row],[FECHA DE DEFUNCIÓN]]-higado[[#This Row],[FECHA_TRASPLANTE]])/365.25</f>
        <v>8.2135523613963042E-3</v>
      </c>
    </row>
    <row r="129" spans="1:75" x14ac:dyDescent="0.35">
      <c r="A129" t="s">
        <v>75</v>
      </c>
      <c r="B129" t="s">
        <v>75</v>
      </c>
      <c r="D129" t="s">
        <v>380</v>
      </c>
      <c r="E129" t="s">
        <v>77</v>
      </c>
      <c r="I129">
        <v>121.56331279945243</v>
      </c>
      <c r="K129" t="s">
        <v>735</v>
      </c>
      <c r="L129" t="s">
        <v>188</v>
      </c>
      <c r="M129" t="s">
        <v>79</v>
      </c>
      <c r="N129">
        <v>502300125</v>
      </c>
      <c r="O129" s="18">
        <v>44401</v>
      </c>
      <c r="P129" t="s">
        <v>81</v>
      </c>
      <c r="Q129" s="2">
        <v>24142</v>
      </c>
      <c r="R129" s="1">
        <f>(higado[[#This Row],[FECHA_TRASPLANTE]]-higado[[#This Row],[FECHA_NAC]])/365.25</f>
        <v>55.466119096509239</v>
      </c>
      <c r="U129" t="s">
        <v>529</v>
      </c>
      <c r="V129">
        <v>20</v>
      </c>
      <c r="W129" t="s">
        <v>82</v>
      </c>
      <c r="X129" t="s">
        <v>91</v>
      </c>
      <c r="Y129" t="s">
        <v>176</v>
      </c>
      <c r="Z129" t="s">
        <v>311</v>
      </c>
      <c r="AD129">
        <v>10</v>
      </c>
      <c r="AM129" t="s">
        <v>106</v>
      </c>
      <c r="AY129" t="s">
        <v>106</v>
      </c>
      <c r="BS129" s="17">
        <f>higado[[#This Row],[FECHA_TRASPLANTE]]</f>
        <v>44401</v>
      </c>
      <c r="BT129">
        <f>IF(higado[[#This Row],[FALLECIDO SI/NO]]="NO",0,1)</f>
        <v>0</v>
      </c>
      <c r="BU129" s="1">
        <f ca="1">IF(higado[[#This Row],[FALLECIDO_COD]]=0,TODAY()-higado[[#This Row],[FECHA_TRASPLANTE]],higado[[#This Row],[FECHA DE DEFUNCIÓN]]-higado[[#This Row],[FECHA_TRASPLANTE]])</f>
        <v>1474</v>
      </c>
      <c r="BV129" s="1">
        <f ca="1">IF(higado[[#This Row],[FALLECIDO_COD]]=0,TODAY()-higado[[#This Row],[FECHA_TRASPLANTE]],higado[[#This Row],[FECHA DE DEFUNCIÓN]]-higado[[#This Row],[FECHA_TRASPLANTE]])/30.4375</f>
        <v>48.427104722792606</v>
      </c>
      <c r="BW129" s="1">
        <f ca="1">IF(higado[[#This Row],[FALLECIDO_COD]]=0,TODAY()-higado[[#This Row],[FECHA_TRASPLANTE]],higado[[#This Row],[FECHA DE DEFUNCIÓN]]-higado[[#This Row],[FECHA_TRASPLANTE]])/365.25</f>
        <v>4.0355920602327169</v>
      </c>
    </row>
    <row r="130" spans="1:75" x14ac:dyDescent="0.35">
      <c r="A130" t="s">
        <v>75</v>
      </c>
      <c r="B130" t="s">
        <v>75</v>
      </c>
      <c r="D130" t="s">
        <v>380</v>
      </c>
      <c r="E130" t="s">
        <v>77</v>
      </c>
      <c r="I130">
        <v>121.66735112936345</v>
      </c>
      <c r="K130" t="s">
        <v>736</v>
      </c>
      <c r="L130" t="s">
        <v>448</v>
      </c>
      <c r="M130" t="s">
        <v>514</v>
      </c>
      <c r="N130">
        <v>303430999</v>
      </c>
      <c r="O130" s="18">
        <v>44439</v>
      </c>
      <c r="P130" t="s">
        <v>81</v>
      </c>
      <c r="Q130" s="2">
        <v>28072</v>
      </c>
      <c r="R130" s="1">
        <f>(higado[[#This Row],[FECHA_TRASPLANTE]]-higado[[#This Row],[FECHA_NAC]])/365.25</f>
        <v>44.810403832991099</v>
      </c>
      <c r="U130" t="s">
        <v>416</v>
      </c>
      <c r="V130">
        <v>24</v>
      </c>
      <c r="W130" t="s">
        <v>82</v>
      </c>
      <c r="X130" t="s">
        <v>110</v>
      </c>
      <c r="Y130" t="s">
        <v>84</v>
      </c>
      <c r="Z130" t="s">
        <v>395</v>
      </c>
      <c r="AD130">
        <v>16</v>
      </c>
      <c r="AM130" t="s">
        <v>106</v>
      </c>
      <c r="AY130" t="s">
        <v>106</v>
      </c>
      <c r="BS130" s="17">
        <f>higado[[#This Row],[FECHA_TRASPLANTE]]</f>
        <v>44439</v>
      </c>
      <c r="BT130">
        <f>IF(higado[[#This Row],[FALLECIDO SI/NO]]="NO",0,1)</f>
        <v>0</v>
      </c>
      <c r="BU130" s="1">
        <f ca="1">IF(higado[[#This Row],[FALLECIDO_COD]]=0,TODAY()-higado[[#This Row],[FECHA_TRASPLANTE]],higado[[#This Row],[FECHA DE DEFUNCIÓN]]-higado[[#This Row],[FECHA_TRASPLANTE]])</f>
        <v>1436</v>
      </c>
      <c r="BV130" s="1">
        <f ca="1">IF(higado[[#This Row],[FALLECIDO_COD]]=0,TODAY()-higado[[#This Row],[FECHA_TRASPLANTE]],higado[[#This Row],[FECHA DE DEFUNCIÓN]]-higado[[#This Row],[FECHA_TRASPLANTE]])/30.4375</f>
        <v>47.178644763860369</v>
      </c>
      <c r="BW130" s="1">
        <f ca="1">IF(higado[[#This Row],[FALLECIDO_COD]]=0,TODAY()-higado[[#This Row],[FECHA_TRASPLANTE]],higado[[#This Row],[FECHA DE DEFUNCIÓN]]-higado[[#This Row],[FECHA_TRASPLANTE]])/365.25</f>
        <v>3.9315537303216974</v>
      </c>
    </row>
    <row r="131" spans="1:75" x14ac:dyDescent="0.35">
      <c r="A131" t="s">
        <v>376</v>
      </c>
      <c r="B131" t="s">
        <v>376</v>
      </c>
      <c r="D131" t="s">
        <v>380</v>
      </c>
      <c r="E131" t="s">
        <v>77</v>
      </c>
      <c r="I131">
        <v>121.7659137577002</v>
      </c>
      <c r="K131" t="s">
        <v>737</v>
      </c>
      <c r="L131" t="s">
        <v>141</v>
      </c>
      <c r="M131" t="s">
        <v>188</v>
      </c>
      <c r="N131">
        <v>210430220</v>
      </c>
      <c r="O131" s="18">
        <v>44475</v>
      </c>
      <c r="P131" t="s">
        <v>90</v>
      </c>
      <c r="Q131" s="2">
        <v>43337</v>
      </c>
      <c r="R131" s="1">
        <f>(higado[[#This Row],[FECHA_TRASPLANTE]]-higado[[#This Row],[FECHA_NAC]])/365.25</f>
        <v>3.1156741957563314</v>
      </c>
      <c r="T131" s="2">
        <v>44467</v>
      </c>
      <c r="U131" t="s">
        <v>738</v>
      </c>
      <c r="V131">
        <v>17</v>
      </c>
      <c r="W131" t="s">
        <v>82</v>
      </c>
      <c r="X131" t="s">
        <v>115</v>
      </c>
      <c r="Y131" t="s">
        <v>365</v>
      </c>
      <c r="Z131" t="s">
        <v>739</v>
      </c>
      <c r="AM131" t="s">
        <v>106</v>
      </c>
      <c r="AY131" t="s">
        <v>106</v>
      </c>
      <c r="BS131" s="17">
        <f>higado[[#This Row],[FECHA_TRASPLANTE]]</f>
        <v>44475</v>
      </c>
      <c r="BT131">
        <f>IF(higado[[#This Row],[FALLECIDO SI/NO]]="NO",0,1)</f>
        <v>0</v>
      </c>
      <c r="BU131" s="1">
        <f ca="1">IF(higado[[#This Row],[FALLECIDO_COD]]=0,TODAY()-higado[[#This Row],[FECHA_TRASPLANTE]],higado[[#This Row],[FECHA DE DEFUNCIÓN]]-higado[[#This Row],[FECHA_TRASPLANTE]])</f>
        <v>1400</v>
      </c>
      <c r="BV131" s="1">
        <f ca="1">IF(higado[[#This Row],[FALLECIDO_COD]]=0,TODAY()-higado[[#This Row],[FECHA_TRASPLANTE]],higado[[#This Row],[FECHA DE DEFUNCIÓN]]-higado[[#This Row],[FECHA_TRASPLANTE]])/30.4375</f>
        <v>45.995893223819301</v>
      </c>
      <c r="BW131" s="1">
        <f ca="1">IF(higado[[#This Row],[FALLECIDO_COD]]=0,TODAY()-higado[[#This Row],[FECHA_TRASPLANTE]],higado[[#This Row],[FECHA DE DEFUNCIÓN]]-higado[[#This Row],[FECHA_TRASPLANTE]])/365.25</f>
        <v>3.8329911019849416</v>
      </c>
    </row>
    <row r="132" spans="1:75" x14ac:dyDescent="0.35">
      <c r="A132" t="s">
        <v>377</v>
      </c>
      <c r="D132" t="s">
        <v>380</v>
      </c>
      <c r="E132" t="s">
        <v>77</v>
      </c>
      <c r="H132" s="2"/>
      <c r="I132" s="3">
        <f>(higado[[#This Row],[FECHA_TRASPLANTE]]-higado[[#This Row],[FECHA_NAC_D]])/365.25</f>
        <v>121.81519507186859</v>
      </c>
      <c r="K132" t="s">
        <v>740</v>
      </c>
      <c r="L132" t="s">
        <v>741</v>
      </c>
      <c r="M132" t="s">
        <v>742</v>
      </c>
      <c r="N132">
        <v>305410428</v>
      </c>
      <c r="O132" s="18">
        <v>44493</v>
      </c>
      <c r="P132" t="s">
        <v>90</v>
      </c>
      <c r="Q132" s="2">
        <v>37527</v>
      </c>
      <c r="R132" s="1">
        <f>(higado[[#This Row],[FECHA_TRASPLANTE]]-higado[[#This Row],[FECHA_NAC]])/365.25</f>
        <v>19.071868583162217</v>
      </c>
      <c r="U132" t="s">
        <v>743</v>
      </c>
      <c r="V132">
        <v>33</v>
      </c>
      <c r="W132" t="s">
        <v>82</v>
      </c>
      <c r="X132" t="s">
        <v>110</v>
      </c>
      <c r="Y132" t="s">
        <v>110</v>
      </c>
      <c r="Z132" t="s">
        <v>744</v>
      </c>
      <c r="AM132" t="s">
        <v>86</v>
      </c>
      <c r="AN132" s="2">
        <v>44494</v>
      </c>
      <c r="AO132" t="s">
        <v>745</v>
      </c>
      <c r="AY132" t="s">
        <v>106</v>
      </c>
      <c r="BS132" s="17">
        <f>higado[[#This Row],[FECHA_TRASPLANTE]]</f>
        <v>44493</v>
      </c>
      <c r="BT132">
        <f>IF(higado[[#This Row],[FALLECIDO SI/NO]]="NO",0,1)</f>
        <v>1</v>
      </c>
      <c r="BU132" s="1">
        <f ca="1">IF(higado[[#This Row],[FALLECIDO_COD]]=0,TODAY()-higado[[#This Row],[FECHA_TRASPLANTE]],higado[[#This Row],[FECHA DE DEFUNCIÓN]]-higado[[#This Row],[FECHA_TRASPLANTE]])</f>
        <v>1</v>
      </c>
      <c r="BV132" s="1">
        <f ca="1">IF(higado[[#This Row],[FALLECIDO_COD]]=0,TODAY()-higado[[#This Row],[FECHA_TRASPLANTE]],higado[[#This Row],[FECHA DE DEFUNCIÓN]]-higado[[#This Row],[FECHA_TRASPLANTE]])/30.4375</f>
        <v>3.2854209445585217E-2</v>
      </c>
      <c r="BW132" s="1">
        <f ca="1">IF(higado[[#This Row],[FALLECIDO_COD]]=0,TODAY()-higado[[#This Row],[FECHA_TRASPLANTE]],higado[[#This Row],[FECHA DE DEFUNCIÓN]]-higado[[#This Row],[FECHA_TRASPLANTE]])/365.25</f>
        <v>2.7378507871321013E-3</v>
      </c>
    </row>
    <row r="133" spans="1:75" x14ac:dyDescent="0.35">
      <c r="A133" t="s">
        <v>376</v>
      </c>
      <c r="B133" t="s">
        <v>376</v>
      </c>
      <c r="D133" t="s">
        <v>380</v>
      </c>
      <c r="E133" t="s">
        <v>375</v>
      </c>
      <c r="F133" t="s">
        <v>106</v>
      </c>
      <c r="H133">
        <v>30937</v>
      </c>
      <c r="I133">
        <v>37.12251882272416</v>
      </c>
      <c r="J133" t="s">
        <v>746</v>
      </c>
      <c r="K133" t="s">
        <v>747</v>
      </c>
      <c r="L133" t="s">
        <v>483</v>
      </c>
      <c r="M133" t="s">
        <v>741</v>
      </c>
      <c r="N133">
        <v>605680843</v>
      </c>
      <c r="O133" s="18">
        <v>44496</v>
      </c>
      <c r="P133" t="s">
        <v>90</v>
      </c>
      <c r="Q133" s="2">
        <v>43040</v>
      </c>
      <c r="R133" s="1">
        <f>(higado[[#This Row],[FECHA_TRASPLANTE]]-higado[[#This Row],[FECHA_NAC]])/365.25</f>
        <v>3.9863107460643397</v>
      </c>
      <c r="S133" t="s">
        <v>200</v>
      </c>
      <c r="T133" s="2">
        <v>44284</v>
      </c>
      <c r="U133" t="s">
        <v>748</v>
      </c>
      <c r="V133">
        <v>25</v>
      </c>
      <c r="W133" t="s">
        <v>82</v>
      </c>
      <c r="X133" t="s">
        <v>83</v>
      </c>
      <c r="Y133" t="s">
        <v>95</v>
      </c>
      <c r="Z133" t="s">
        <v>749</v>
      </c>
      <c r="AD133">
        <v>30</v>
      </c>
      <c r="AM133" t="s">
        <v>106</v>
      </c>
      <c r="AY133" t="s">
        <v>86</v>
      </c>
      <c r="BS133" s="17">
        <f>higado[[#This Row],[FECHA_TRASPLANTE]]</f>
        <v>44496</v>
      </c>
      <c r="BT133">
        <f>IF(higado[[#This Row],[FALLECIDO SI/NO]]="NO",0,1)</f>
        <v>0</v>
      </c>
      <c r="BU133" s="1">
        <f ca="1">IF(higado[[#This Row],[FALLECIDO_COD]]=0,TODAY()-higado[[#This Row],[FECHA_TRASPLANTE]],higado[[#This Row],[FECHA DE DEFUNCIÓN]]-higado[[#This Row],[FECHA_TRASPLANTE]])</f>
        <v>1379</v>
      </c>
      <c r="BV133" s="1">
        <f ca="1">IF(higado[[#This Row],[FALLECIDO_COD]]=0,TODAY()-higado[[#This Row],[FECHA_TRASPLANTE]],higado[[#This Row],[FECHA DE DEFUNCIÓN]]-higado[[#This Row],[FECHA_TRASPLANTE]])/30.4375</f>
        <v>45.30595482546201</v>
      </c>
      <c r="BW133" s="1">
        <f ca="1">IF(higado[[#This Row],[FALLECIDO_COD]]=0,TODAY()-higado[[#This Row],[FECHA_TRASPLANTE]],higado[[#This Row],[FECHA DE DEFUNCIÓN]]-higado[[#This Row],[FECHA_TRASPLANTE]])/365.25</f>
        <v>3.7754962354551678</v>
      </c>
    </row>
    <row r="134" spans="1:75" x14ac:dyDescent="0.35">
      <c r="A134" t="s">
        <v>377</v>
      </c>
      <c r="D134" t="s">
        <v>380</v>
      </c>
      <c r="E134" t="s">
        <v>77</v>
      </c>
      <c r="I134">
        <v>121.84804928131418</v>
      </c>
      <c r="K134" t="s">
        <v>750</v>
      </c>
      <c r="L134" t="s">
        <v>385</v>
      </c>
      <c r="M134" t="s">
        <v>496</v>
      </c>
      <c r="N134">
        <v>204200632</v>
      </c>
      <c r="O134" s="18">
        <v>44505</v>
      </c>
      <c r="P134" t="s">
        <v>81</v>
      </c>
      <c r="Q134" s="2">
        <v>24347</v>
      </c>
      <c r="R134" s="1">
        <f>(higado[[#This Row],[FECHA_TRASPLANTE]]-higado[[#This Row],[FECHA_NAC]])/365.25</f>
        <v>55.189596167008901</v>
      </c>
      <c r="U134" t="s">
        <v>751</v>
      </c>
      <c r="V134">
        <v>32</v>
      </c>
      <c r="W134" t="s">
        <v>82</v>
      </c>
      <c r="X134" t="s">
        <v>91</v>
      </c>
      <c r="Y134" t="s">
        <v>161</v>
      </c>
      <c r="Z134" t="s">
        <v>244</v>
      </c>
      <c r="AM134" t="s">
        <v>106</v>
      </c>
      <c r="AY134" t="s">
        <v>106</v>
      </c>
      <c r="BS134" s="17">
        <f>higado[[#This Row],[FECHA_TRASPLANTE]]</f>
        <v>44505</v>
      </c>
      <c r="BT134">
        <f>IF(higado[[#This Row],[FALLECIDO SI/NO]]="NO",0,1)</f>
        <v>0</v>
      </c>
      <c r="BU134" s="1">
        <f ca="1">IF(higado[[#This Row],[FALLECIDO_COD]]=0,TODAY()-higado[[#This Row],[FECHA_TRASPLANTE]],higado[[#This Row],[FECHA DE DEFUNCIÓN]]-higado[[#This Row],[FECHA_TRASPLANTE]])</f>
        <v>1370</v>
      </c>
      <c r="BV134" s="1">
        <f ca="1">IF(higado[[#This Row],[FALLECIDO_COD]]=0,TODAY()-higado[[#This Row],[FECHA_TRASPLANTE]],higado[[#This Row],[FECHA DE DEFUNCIÓN]]-higado[[#This Row],[FECHA_TRASPLANTE]])/30.4375</f>
        <v>45.010266940451743</v>
      </c>
      <c r="BW134" s="1">
        <f ca="1">IF(higado[[#This Row],[FALLECIDO_COD]]=0,TODAY()-higado[[#This Row],[FECHA_TRASPLANTE]],higado[[#This Row],[FECHA DE DEFUNCIÓN]]-higado[[#This Row],[FECHA_TRASPLANTE]])/365.25</f>
        <v>3.7508555783709787</v>
      </c>
    </row>
    <row r="135" spans="1:75" x14ac:dyDescent="0.35">
      <c r="A135" t="s">
        <v>75</v>
      </c>
      <c r="B135" t="s">
        <v>75</v>
      </c>
      <c r="D135" t="s">
        <v>380</v>
      </c>
      <c r="E135" t="s">
        <v>77</v>
      </c>
      <c r="I135">
        <v>121.8507871321013</v>
      </c>
      <c r="K135" t="s">
        <v>752</v>
      </c>
      <c r="L135" t="s">
        <v>753</v>
      </c>
      <c r="M135" t="s">
        <v>754</v>
      </c>
      <c r="N135">
        <v>503510496</v>
      </c>
      <c r="O135" s="18">
        <v>44506</v>
      </c>
      <c r="P135" t="s">
        <v>90</v>
      </c>
      <c r="Q135" s="2">
        <v>31530</v>
      </c>
      <c r="R135" s="1">
        <f>(higado[[#This Row],[FECHA_TRASPLANTE]]-higado[[#This Row],[FECHA_NAC]])/365.25</f>
        <v>35.526351813826146</v>
      </c>
      <c r="U135" t="s">
        <v>660</v>
      </c>
      <c r="V135">
        <v>23</v>
      </c>
      <c r="W135" t="s">
        <v>82</v>
      </c>
      <c r="X135" t="s">
        <v>120</v>
      </c>
      <c r="Y135" t="s">
        <v>755</v>
      </c>
      <c r="Z135" t="s">
        <v>756</v>
      </c>
      <c r="AM135" t="s">
        <v>106</v>
      </c>
      <c r="AY135" t="s">
        <v>106</v>
      </c>
      <c r="BS135" s="17">
        <f>higado[[#This Row],[FECHA_TRASPLANTE]]</f>
        <v>44506</v>
      </c>
      <c r="BT135">
        <f>IF(higado[[#This Row],[FALLECIDO SI/NO]]="NO",0,1)</f>
        <v>0</v>
      </c>
      <c r="BU135" s="1">
        <f ca="1">IF(higado[[#This Row],[FALLECIDO_COD]]=0,TODAY()-higado[[#This Row],[FECHA_TRASPLANTE]],higado[[#This Row],[FECHA DE DEFUNCIÓN]]-higado[[#This Row],[FECHA_TRASPLANTE]])</f>
        <v>1369</v>
      </c>
      <c r="BV135" s="1">
        <f ca="1">IF(higado[[#This Row],[FALLECIDO_COD]]=0,TODAY()-higado[[#This Row],[FECHA_TRASPLANTE]],higado[[#This Row],[FECHA DE DEFUNCIÓN]]-higado[[#This Row],[FECHA_TRASPLANTE]])/30.4375</f>
        <v>44.977412731006162</v>
      </c>
      <c r="BW135" s="1">
        <f ca="1">IF(higado[[#This Row],[FALLECIDO_COD]]=0,TODAY()-higado[[#This Row],[FECHA_TRASPLANTE]],higado[[#This Row],[FECHA DE DEFUNCIÓN]]-higado[[#This Row],[FECHA_TRASPLANTE]])/365.25</f>
        <v>3.7481177275838466</v>
      </c>
    </row>
    <row r="136" spans="1:75" x14ac:dyDescent="0.35">
      <c r="A136" t="s">
        <v>75</v>
      </c>
      <c r="B136" t="s">
        <v>75</v>
      </c>
      <c r="C136" t="s">
        <v>757</v>
      </c>
      <c r="D136" t="s">
        <v>380</v>
      </c>
      <c r="E136" t="s">
        <v>77</v>
      </c>
      <c r="H136">
        <v>39805</v>
      </c>
      <c r="I136">
        <v>13.043121149897331</v>
      </c>
      <c r="J136" t="s">
        <v>77</v>
      </c>
      <c r="K136" t="s">
        <v>758</v>
      </c>
      <c r="L136" t="s">
        <v>759</v>
      </c>
      <c r="M136" t="s">
        <v>425</v>
      </c>
      <c r="N136">
        <v>601640959</v>
      </c>
      <c r="O136" s="18">
        <v>44569</v>
      </c>
      <c r="P136" t="s">
        <v>90</v>
      </c>
      <c r="Q136" s="2">
        <v>22670</v>
      </c>
      <c r="R136" s="1">
        <f>(higado[[#This Row],[FECHA_TRASPLANTE]]-higado[[#This Row],[FECHA_NAC]])/365.25</f>
        <v>59.956194387405887</v>
      </c>
      <c r="S136" t="s">
        <v>200</v>
      </c>
      <c r="T136" s="2">
        <v>44565.57916666667</v>
      </c>
      <c r="U136" t="s">
        <v>445</v>
      </c>
      <c r="V136">
        <v>35</v>
      </c>
      <c r="W136" t="s">
        <v>82</v>
      </c>
      <c r="X136" t="s">
        <v>91</v>
      </c>
      <c r="Y136" t="s">
        <v>193</v>
      </c>
      <c r="Z136" t="s">
        <v>760</v>
      </c>
      <c r="AD136">
        <v>9</v>
      </c>
      <c r="AF136" t="s">
        <v>375</v>
      </c>
      <c r="AG136" t="s">
        <v>375</v>
      </c>
      <c r="AH136" t="s">
        <v>375</v>
      </c>
      <c r="AI136" t="s">
        <v>375</v>
      </c>
      <c r="AJ136" t="s">
        <v>375</v>
      </c>
      <c r="AK136" t="s">
        <v>761</v>
      </c>
      <c r="AM136" t="s">
        <v>106</v>
      </c>
      <c r="AN136" s="2" t="s">
        <v>762</v>
      </c>
      <c r="AO136" t="s">
        <v>762</v>
      </c>
      <c r="AQ136" t="s">
        <v>358</v>
      </c>
      <c r="AV136" t="s">
        <v>106</v>
      </c>
      <c r="AY136" t="s">
        <v>106</v>
      </c>
      <c r="BO136">
        <v>209130284</v>
      </c>
      <c r="BP136" t="s">
        <v>81</v>
      </c>
      <c r="BQ136" t="s">
        <v>82</v>
      </c>
      <c r="BS136" s="17">
        <f>higado[[#This Row],[FECHA_TRASPLANTE]]</f>
        <v>44569</v>
      </c>
      <c r="BT136">
        <f>IF(higado[[#This Row],[FALLECIDO SI/NO]]="NO",0,1)</f>
        <v>0</v>
      </c>
      <c r="BU136" s="1">
        <f ca="1">IF(higado[[#This Row],[FALLECIDO_COD]]=0,TODAY()-higado[[#This Row],[FECHA_TRASPLANTE]],higado[[#This Row],[FECHA DE DEFUNCIÓN]]-higado[[#This Row],[FECHA_TRASPLANTE]])</f>
        <v>1306</v>
      </c>
      <c r="BV136" s="1">
        <f ca="1">IF(higado[[#This Row],[FALLECIDO_COD]]=0,TODAY()-higado[[#This Row],[FECHA_TRASPLANTE]],higado[[#This Row],[FECHA DE DEFUNCIÓN]]-higado[[#This Row],[FECHA_TRASPLANTE]])/30.4375</f>
        <v>42.907597535934293</v>
      </c>
      <c r="BW136" s="1">
        <f ca="1">IF(higado[[#This Row],[FALLECIDO_COD]]=0,TODAY()-higado[[#This Row],[FECHA_TRASPLANTE]],higado[[#This Row],[FECHA DE DEFUNCIÓN]]-higado[[#This Row],[FECHA_TRASPLANTE]])/365.25</f>
        <v>3.5756331279945242</v>
      </c>
    </row>
    <row r="137" spans="1:75" x14ac:dyDescent="0.35">
      <c r="A137" t="s">
        <v>75</v>
      </c>
      <c r="B137" t="s">
        <v>75</v>
      </c>
      <c r="C137" t="s">
        <v>763</v>
      </c>
      <c r="D137" t="s">
        <v>380</v>
      </c>
      <c r="E137" t="s">
        <v>77</v>
      </c>
      <c r="H137">
        <v>35649</v>
      </c>
      <c r="I137">
        <v>24.438056125941138</v>
      </c>
      <c r="J137" t="s">
        <v>77</v>
      </c>
      <c r="K137" t="s">
        <v>764</v>
      </c>
      <c r="L137" t="s">
        <v>324</v>
      </c>
      <c r="M137" t="s">
        <v>765</v>
      </c>
      <c r="N137">
        <v>601540018</v>
      </c>
      <c r="O137" s="18">
        <v>44575</v>
      </c>
      <c r="P137" t="s">
        <v>81</v>
      </c>
      <c r="Q137" s="2">
        <v>22107</v>
      </c>
      <c r="R137" s="1">
        <f>(higado[[#This Row],[FECHA_TRASPLANTE]]-higado[[#This Row],[FECHA_NAC]])/365.25</f>
        <v>61.51403148528405</v>
      </c>
      <c r="S137" t="s">
        <v>210</v>
      </c>
      <c r="T137" s="2">
        <v>44335.833333333336</v>
      </c>
      <c r="U137" t="s">
        <v>766</v>
      </c>
      <c r="V137">
        <v>23</v>
      </c>
      <c r="W137" t="s">
        <v>82</v>
      </c>
      <c r="X137" t="s">
        <v>120</v>
      </c>
      <c r="Y137" t="s">
        <v>471</v>
      </c>
      <c r="Z137" t="s">
        <v>226</v>
      </c>
      <c r="AD137">
        <v>13</v>
      </c>
      <c r="AF137" t="s">
        <v>375</v>
      </c>
      <c r="AG137" t="s">
        <v>375</v>
      </c>
      <c r="AH137" t="s">
        <v>375</v>
      </c>
      <c r="AI137" t="s">
        <v>375</v>
      </c>
      <c r="AJ137" t="s">
        <v>375</v>
      </c>
      <c r="AK137" t="s">
        <v>761</v>
      </c>
      <c r="AM137" t="s">
        <v>106</v>
      </c>
      <c r="AN137" s="2" t="s">
        <v>762</v>
      </c>
      <c r="AO137" t="s">
        <v>762</v>
      </c>
      <c r="AQ137" t="s">
        <v>358</v>
      </c>
      <c r="AV137" t="s">
        <v>106</v>
      </c>
      <c r="AY137" t="s">
        <v>106</v>
      </c>
      <c r="BO137">
        <v>116850947</v>
      </c>
      <c r="BP137" t="s">
        <v>90</v>
      </c>
      <c r="BQ137" t="s">
        <v>82</v>
      </c>
      <c r="BS137" s="17">
        <f>higado[[#This Row],[FECHA_TRASPLANTE]]</f>
        <v>44575</v>
      </c>
      <c r="BT137">
        <f>IF(higado[[#This Row],[FALLECIDO SI/NO]]="NO",0,1)</f>
        <v>0</v>
      </c>
      <c r="BU137" s="1">
        <f ca="1">IF(higado[[#This Row],[FALLECIDO_COD]]=0,TODAY()-higado[[#This Row],[FECHA_TRASPLANTE]],higado[[#This Row],[FECHA DE DEFUNCIÓN]]-higado[[#This Row],[FECHA_TRASPLANTE]])</f>
        <v>1300</v>
      </c>
      <c r="BV137" s="1">
        <f ca="1">IF(higado[[#This Row],[FALLECIDO_COD]]=0,TODAY()-higado[[#This Row],[FECHA_TRASPLANTE]],higado[[#This Row],[FECHA DE DEFUNCIÓN]]-higado[[#This Row],[FECHA_TRASPLANTE]])/30.4375</f>
        <v>42.710472279260777</v>
      </c>
      <c r="BW137" s="1">
        <f ca="1">IF(higado[[#This Row],[FALLECIDO_COD]]=0,TODAY()-higado[[#This Row],[FECHA_TRASPLANTE]],higado[[#This Row],[FECHA DE DEFUNCIÓN]]-higado[[#This Row],[FECHA_TRASPLANTE]])/365.25</f>
        <v>3.5592060232717317</v>
      </c>
    </row>
    <row r="138" spans="1:75" x14ac:dyDescent="0.35">
      <c r="A138" t="s">
        <v>75</v>
      </c>
      <c r="B138" t="s">
        <v>75</v>
      </c>
      <c r="C138" t="s">
        <v>767</v>
      </c>
      <c r="D138" t="s">
        <v>380</v>
      </c>
      <c r="E138" t="s">
        <v>77</v>
      </c>
      <c r="I138">
        <v>122.04517453798768</v>
      </c>
      <c r="J138" t="s">
        <v>77</v>
      </c>
      <c r="K138" t="s">
        <v>768</v>
      </c>
      <c r="L138" t="s">
        <v>79</v>
      </c>
      <c r="M138" t="s">
        <v>209</v>
      </c>
      <c r="N138">
        <v>106160108</v>
      </c>
      <c r="O138" s="18">
        <v>44577</v>
      </c>
      <c r="P138" t="s">
        <v>90</v>
      </c>
      <c r="Q138" s="2">
        <v>23318</v>
      </c>
      <c r="R138" s="1">
        <f>(higado[[#This Row],[FECHA_TRASPLANTE]]-higado[[#This Row],[FECHA_NAC]])/365.25</f>
        <v>58.203969883641342</v>
      </c>
      <c r="S138" t="s">
        <v>210</v>
      </c>
      <c r="T138" s="2">
        <v>43626</v>
      </c>
      <c r="U138" t="s">
        <v>394</v>
      </c>
      <c r="V138">
        <v>17</v>
      </c>
      <c r="W138" t="s">
        <v>82</v>
      </c>
      <c r="X138" t="s">
        <v>91</v>
      </c>
      <c r="Y138" t="s">
        <v>215</v>
      </c>
      <c r="Z138" t="s">
        <v>215</v>
      </c>
      <c r="AD138">
        <v>30</v>
      </c>
      <c r="AF138" t="s">
        <v>375</v>
      </c>
      <c r="AG138" t="s">
        <v>375</v>
      </c>
      <c r="AH138" t="s">
        <v>375</v>
      </c>
      <c r="AI138" t="s">
        <v>375</v>
      </c>
      <c r="AJ138" t="s">
        <v>375</v>
      </c>
      <c r="AK138" t="s">
        <v>761</v>
      </c>
      <c r="AM138" t="s">
        <v>106</v>
      </c>
      <c r="AN138" s="2" t="s">
        <v>762</v>
      </c>
      <c r="AO138" t="s">
        <v>762</v>
      </c>
      <c r="AQ138" t="s">
        <v>358</v>
      </c>
      <c r="AV138" t="s">
        <v>106</v>
      </c>
      <c r="AY138" t="s">
        <v>106</v>
      </c>
      <c r="BS138" s="17">
        <f>higado[[#This Row],[FECHA_TRASPLANTE]]</f>
        <v>44577</v>
      </c>
      <c r="BT138">
        <f>IF(higado[[#This Row],[FALLECIDO SI/NO]]="NO",0,1)</f>
        <v>0</v>
      </c>
      <c r="BU138" s="1">
        <f ca="1">IF(higado[[#This Row],[FALLECIDO_COD]]=0,TODAY()-higado[[#This Row],[FECHA_TRASPLANTE]],higado[[#This Row],[FECHA DE DEFUNCIÓN]]-higado[[#This Row],[FECHA_TRASPLANTE]])</f>
        <v>1298</v>
      </c>
      <c r="BV138" s="1">
        <f ca="1">IF(higado[[#This Row],[FALLECIDO_COD]]=0,TODAY()-higado[[#This Row],[FECHA_TRASPLANTE]],higado[[#This Row],[FECHA DE DEFUNCIÓN]]-higado[[#This Row],[FECHA_TRASPLANTE]])/30.4375</f>
        <v>42.644763860369608</v>
      </c>
      <c r="BW138" s="1">
        <f ca="1">IF(higado[[#This Row],[FALLECIDO_COD]]=0,TODAY()-higado[[#This Row],[FECHA_TRASPLANTE]],higado[[#This Row],[FECHA DE DEFUNCIÓN]]-higado[[#This Row],[FECHA_TRASPLANTE]])/365.25</f>
        <v>3.5537303216974676</v>
      </c>
    </row>
    <row r="139" spans="1:75" x14ac:dyDescent="0.35">
      <c r="A139" t="s">
        <v>376</v>
      </c>
      <c r="B139" t="s">
        <v>376</v>
      </c>
      <c r="D139" t="s">
        <v>380</v>
      </c>
      <c r="E139" t="s">
        <v>375</v>
      </c>
      <c r="G139" t="s">
        <v>200</v>
      </c>
      <c r="H139" s="2">
        <v>35626</v>
      </c>
      <c r="I139" s="3">
        <f>(higado[[#This Row],[FECHA_TRASPLANTE]]-higado[[#This Row],[FECHA_NAC_D]])/365.25</f>
        <v>24.629705681040384</v>
      </c>
      <c r="J139" t="s">
        <v>746</v>
      </c>
      <c r="K139" t="s">
        <v>663</v>
      </c>
      <c r="L139" t="s">
        <v>150</v>
      </c>
      <c r="M139" t="s">
        <v>479</v>
      </c>
      <c r="N139">
        <v>122790534</v>
      </c>
      <c r="O139" s="18">
        <v>44622</v>
      </c>
      <c r="P139" t="s">
        <v>81</v>
      </c>
      <c r="Q139" s="2">
        <v>42845</v>
      </c>
      <c r="R139" s="1">
        <f>(higado[[#This Row],[FECHA_TRASPLANTE]]-higado[[#This Row],[FECHA_NAC]])/365.25</f>
        <v>4.8651608487337441</v>
      </c>
      <c r="S139" t="s">
        <v>200</v>
      </c>
      <c r="U139" t="s">
        <v>769</v>
      </c>
      <c r="V139">
        <v>39</v>
      </c>
      <c r="W139" t="s">
        <v>82</v>
      </c>
      <c r="X139" t="s">
        <v>91</v>
      </c>
      <c r="Y139" t="s">
        <v>152</v>
      </c>
      <c r="Z139" t="s">
        <v>332</v>
      </c>
      <c r="AF139" t="s">
        <v>770</v>
      </c>
      <c r="AM139" t="s">
        <v>86</v>
      </c>
      <c r="AN139" s="2">
        <v>44622</v>
      </c>
      <c r="AO139" t="s">
        <v>771</v>
      </c>
      <c r="AQ139" t="s">
        <v>772</v>
      </c>
      <c r="AY139" t="s">
        <v>86</v>
      </c>
      <c r="BO139" t="s">
        <v>773</v>
      </c>
      <c r="BP139" t="s">
        <v>90</v>
      </c>
      <c r="BQ139" t="s">
        <v>82</v>
      </c>
      <c r="BS139" s="17">
        <f>higado[[#This Row],[FECHA_TRASPLANTE]]</f>
        <v>44622</v>
      </c>
      <c r="BT139">
        <f>IF(higado[[#This Row],[FALLECIDO SI/NO]]="NO",0,1)</f>
        <v>1</v>
      </c>
      <c r="BU139" s="1">
        <f ca="1">IF(higado[[#This Row],[FALLECIDO_COD]]=0,TODAY()-higado[[#This Row],[FECHA_TRASPLANTE]],higado[[#This Row],[FECHA DE DEFUNCIÓN]]-higado[[#This Row],[FECHA_TRASPLANTE]])</f>
        <v>0</v>
      </c>
      <c r="BV139" s="1">
        <f ca="1">IF(higado[[#This Row],[FALLECIDO_COD]]=0,TODAY()-higado[[#This Row],[FECHA_TRASPLANTE]],higado[[#This Row],[FECHA DE DEFUNCIÓN]]-higado[[#This Row],[FECHA_TRASPLANTE]])/30.4375</f>
        <v>0</v>
      </c>
      <c r="BW139" s="1">
        <f ca="1">IF(higado[[#This Row],[FALLECIDO_COD]]=0,TODAY()-higado[[#This Row],[FECHA_TRASPLANTE]],higado[[#This Row],[FECHA DE DEFUNCIÓN]]-higado[[#This Row],[FECHA_TRASPLANTE]])/365.25</f>
        <v>0</v>
      </c>
    </row>
    <row r="140" spans="1:75" x14ac:dyDescent="0.35">
      <c r="A140" t="s">
        <v>75</v>
      </c>
      <c r="B140" t="s">
        <v>75</v>
      </c>
      <c r="C140" t="s">
        <v>774</v>
      </c>
      <c r="D140" t="s">
        <v>380</v>
      </c>
      <c r="E140" t="s">
        <v>77</v>
      </c>
      <c r="H140">
        <v>22073</v>
      </c>
      <c r="I140">
        <v>61.768651608487339</v>
      </c>
      <c r="J140" t="s">
        <v>77</v>
      </c>
      <c r="K140" t="s">
        <v>775</v>
      </c>
      <c r="L140" t="s">
        <v>132</v>
      </c>
      <c r="M140" t="s">
        <v>385</v>
      </c>
      <c r="N140">
        <v>203440716</v>
      </c>
      <c r="O140" s="18">
        <v>44634</v>
      </c>
      <c r="P140" t="s">
        <v>81</v>
      </c>
      <c r="Q140" s="2">
        <v>21853</v>
      </c>
      <c r="R140" s="1">
        <f>(higado[[#This Row],[FECHA_TRASPLANTE]]-higado[[#This Row],[FECHA_NAC]])/365.25</f>
        <v>62.370978781656397</v>
      </c>
      <c r="S140" t="s">
        <v>200</v>
      </c>
      <c r="T140" s="2">
        <v>44508.339583333334</v>
      </c>
      <c r="U140" t="s">
        <v>776</v>
      </c>
      <c r="V140">
        <v>34</v>
      </c>
      <c r="W140" t="s">
        <v>82</v>
      </c>
      <c r="X140" t="s">
        <v>91</v>
      </c>
      <c r="Y140" t="s">
        <v>157</v>
      </c>
      <c r="Z140" t="s">
        <v>777</v>
      </c>
      <c r="AD140">
        <v>7</v>
      </c>
      <c r="AF140" t="s">
        <v>375</v>
      </c>
      <c r="AG140" t="s">
        <v>375</v>
      </c>
      <c r="AH140" t="s">
        <v>375</v>
      </c>
      <c r="AI140" t="s">
        <v>375</v>
      </c>
      <c r="AJ140" t="s">
        <v>375</v>
      </c>
      <c r="AK140" t="s">
        <v>761</v>
      </c>
      <c r="AM140" t="s">
        <v>106</v>
      </c>
      <c r="AN140" s="2" t="s">
        <v>762</v>
      </c>
      <c r="AO140" t="s">
        <v>762</v>
      </c>
      <c r="AQ140" t="s">
        <v>358</v>
      </c>
      <c r="AV140" t="s">
        <v>106</v>
      </c>
      <c r="AY140" t="s">
        <v>106</v>
      </c>
      <c r="BO140">
        <v>302410005</v>
      </c>
      <c r="BP140" t="s">
        <v>81</v>
      </c>
      <c r="BQ140" t="s">
        <v>82</v>
      </c>
      <c r="BS140" s="17">
        <f>higado[[#This Row],[FECHA_TRASPLANTE]]</f>
        <v>44634</v>
      </c>
      <c r="BT140">
        <f>IF(higado[[#This Row],[FALLECIDO SI/NO]]="NO",0,1)</f>
        <v>0</v>
      </c>
      <c r="BU140" s="1">
        <f ca="1">IF(higado[[#This Row],[FALLECIDO_COD]]=0,TODAY()-higado[[#This Row],[FECHA_TRASPLANTE]],higado[[#This Row],[FECHA DE DEFUNCIÓN]]-higado[[#This Row],[FECHA_TRASPLANTE]])</f>
        <v>1241</v>
      </c>
      <c r="BV140" s="1">
        <f ca="1">IF(higado[[#This Row],[FALLECIDO_COD]]=0,TODAY()-higado[[#This Row],[FECHA_TRASPLANTE]],higado[[#This Row],[FECHA DE DEFUNCIÓN]]-higado[[#This Row],[FECHA_TRASPLANTE]])/30.4375</f>
        <v>40.772073921971256</v>
      </c>
      <c r="BW140" s="1">
        <f ca="1">IF(higado[[#This Row],[FALLECIDO_COD]]=0,TODAY()-higado[[#This Row],[FECHA_TRASPLANTE]],higado[[#This Row],[FECHA DE DEFUNCIÓN]]-higado[[#This Row],[FECHA_TRASPLANTE]])/365.25</f>
        <v>3.3976728268309375</v>
      </c>
    </row>
    <row r="141" spans="1:75" x14ac:dyDescent="0.35">
      <c r="A141" t="s">
        <v>75</v>
      </c>
      <c r="B141" t="s">
        <v>75</v>
      </c>
      <c r="C141" t="s">
        <v>778</v>
      </c>
      <c r="D141" t="s">
        <v>380</v>
      </c>
      <c r="E141" t="s">
        <v>77</v>
      </c>
      <c r="H141">
        <v>24264</v>
      </c>
      <c r="I141">
        <v>55.852156057494867</v>
      </c>
      <c r="J141" t="s">
        <v>77</v>
      </c>
      <c r="K141" t="s">
        <v>779</v>
      </c>
      <c r="L141" t="s">
        <v>277</v>
      </c>
      <c r="M141" t="s">
        <v>99</v>
      </c>
      <c r="N141">
        <v>106830282</v>
      </c>
      <c r="O141" s="18">
        <v>44664</v>
      </c>
      <c r="P141" t="s">
        <v>90</v>
      </c>
      <c r="Q141" s="2">
        <v>24346</v>
      </c>
      <c r="R141" s="1">
        <f>(higado[[#This Row],[FECHA_TRASPLANTE]]-higado[[#This Row],[FECHA_NAC]])/365.25</f>
        <v>55.627652292950032</v>
      </c>
      <c r="S141" t="s">
        <v>210</v>
      </c>
      <c r="T141" s="2">
        <v>44586.29583333333</v>
      </c>
      <c r="U141" t="s">
        <v>445</v>
      </c>
      <c r="V141">
        <v>19</v>
      </c>
      <c r="W141" t="s">
        <v>82</v>
      </c>
      <c r="X141" t="s">
        <v>91</v>
      </c>
      <c r="Y141" t="s">
        <v>157</v>
      </c>
      <c r="Z141" t="s">
        <v>158</v>
      </c>
      <c r="AD141">
        <v>7</v>
      </c>
      <c r="AF141" t="s">
        <v>375</v>
      </c>
      <c r="AG141" t="s">
        <v>375</v>
      </c>
      <c r="AH141" t="s">
        <v>375</v>
      </c>
      <c r="AI141" t="s">
        <v>375</v>
      </c>
      <c r="AJ141" t="s">
        <v>375</v>
      </c>
      <c r="AK141" t="s">
        <v>761</v>
      </c>
      <c r="AM141" t="s">
        <v>106</v>
      </c>
      <c r="AN141" s="2" t="s">
        <v>762</v>
      </c>
      <c r="AO141" t="s">
        <v>762</v>
      </c>
      <c r="AQ141" t="s">
        <v>358</v>
      </c>
      <c r="AV141" t="s">
        <v>106</v>
      </c>
      <c r="AY141" t="s">
        <v>106</v>
      </c>
      <c r="BO141">
        <v>106760614</v>
      </c>
      <c r="BP141" t="s">
        <v>90</v>
      </c>
      <c r="BQ141" t="s">
        <v>82</v>
      </c>
      <c r="BS141" s="17">
        <f>higado[[#This Row],[FECHA_TRASPLANTE]]</f>
        <v>44664</v>
      </c>
      <c r="BT141">
        <f>IF(higado[[#This Row],[FALLECIDO SI/NO]]="NO",0,1)</f>
        <v>0</v>
      </c>
      <c r="BU141" s="1">
        <f ca="1">IF(higado[[#This Row],[FALLECIDO_COD]]=0,TODAY()-higado[[#This Row],[FECHA_TRASPLANTE]],higado[[#This Row],[FECHA DE DEFUNCIÓN]]-higado[[#This Row],[FECHA_TRASPLANTE]])</f>
        <v>1211</v>
      </c>
      <c r="BV141" s="1">
        <f ca="1">IF(higado[[#This Row],[FALLECIDO_COD]]=0,TODAY()-higado[[#This Row],[FECHA_TRASPLANTE]],higado[[#This Row],[FECHA DE DEFUNCIÓN]]-higado[[#This Row],[FECHA_TRASPLANTE]])/30.4375</f>
        <v>39.786447638603697</v>
      </c>
      <c r="BW141" s="1">
        <f ca="1">IF(higado[[#This Row],[FALLECIDO_COD]]=0,TODAY()-higado[[#This Row],[FECHA_TRASPLANTE]],higado[[#This Row],[FECHA DE DEFUNCIÓN]]-higado[[#This Row],[FECHA_TRASPLANTE]])/365.25</f>
        <v>3.3155373032169746</v>
      </c>
    </row>
    <row r="142" spans="1:75" x14ac:dyDescent="0.35">
      <c r="A142" t="s">
        <v>377</v>
      </c>
      <c r="C142" t="s">
        <v>780</v>
      </c>
      <c r="D142" t="s">
        <v>380</v>
      </c>
      <c r="E142" t="s">
        <v>77</v>
      </c>
      <c r="G142" t="s">
        <v>210</v>
      </c>
      <c r="H142" s="2"/>
      <c r="I142" s="3">
        <f>(higado[[#This Row],[FECHA_TRASPLANTE]]-higado[[#This Row],[FECHA_NAC_D]])/365.25</f>
        <v>122.38193018480493</v>
      </c>
      <c r="J142" t="s">
        <v>77</v>
      </c>
      <c r="K142" t="s">
        <v>781</v>
      </c>
      <c r="L142" t="s">
        <v>155</v>
      </c>
      <c r="M142" t="s">
        <v>642</v>
      </c>
      <c r="N142">
        <v>203620712</v>
      </c>
      <c r="O142" s="18">
        <v>44700</v>
      </c>
      <c r="P142" t="s">
        <v>90</v>
      </c>
      <c r="Q142" s="2">
        <v>22497</v>
      </c>
      <c r="R142" s="1">
        <f>(higado[[#This Row],[FECHA_TRASPLANTE]]-higado[[#This Row],[FECHA_NAC]])/365.25</f>
        <v>60.788501026694043</v>
      </c>
      <c r="S142" t="s">
        <v>210</v>
      </c>
      <c r="U142" t="s">
        <v>782</v>
      </c>
      <c r="V142">
        <v>22</v>
      </c>
      <c r="W142" t="s">
        <v>82</v>
      </c>
      <c r="X142" t="s">
        <v>83</v>
      </c>
      <c r="Y142" t="s">
        <v>783</v>
      </c>
      <c r="Z142" t="s">
        <v>784</v>
      </c>
      <c r="AF142" t="s">
        <v>785</v>
      </c>
      <c r="AM142" t="s">
        <v>86</v>
      </c>
      <c r="AN142" s="2">
        <v>44716</v>
      </c>
      <c r="AQ142" t="s">
        <v>358</v>
      </c>
      <c r="BO142" t="s">
        <v>786</v>
      </c>
      <c r="BP142" t="s">
        <v>90</v>
      </c>
      <c r="BQ142" t="s">
        <v>82</v>
      </c>
      <c r="BS142" s="17">
        <f>higado[[#This Row],[FECHA_TRASPLANTE]]</f>
        <v>44700</v>
      </c>
      <c r="BT142">
        <f>IF(higado[[#This Row],[FALLECIDO SI/NO]]="NO",0,1)</f>
        <v>1</v>
      </c>
      <c r="BU142" s="1">
        <f ca="1">IF(higado[[#This Row],[FALLECIDO_COD]]=0,TODAY()-higado[[#This Row],[FECHA_TRASPLANTE]],higado[[#This Row],[FECHA DE DEFUNCIÓN]]-higado[[#This Row],[FECHA_TRASPLANTE]])</f>
        <v>16</v>
      </c>
      <c r="BV142" s="1">
        <f ca="1">IF(higado[[#This Row],[FALLECIDO_COD]]=0,TODAY()-higado[[#This Row],[FECHA_TRASPLANTE]],higado[[#This Row],[FECHA DE DEFUNCIÓN]]-higado[[#This Row],[FECHA_TRASPLANTE]])/30.4375</f>
        <v>0.52566735112936347</v>
      </c>
      <c r="BW142" s="1">
        <f ca="1">IF(higado[[#This Row],[FALLECIDO_COD]]=0,TODAY()-higado[[#This Row],[FECHA_TRASPLANTE]],higado[[#This Row],[FECHA DE DEFUNCIÓN]]-higado[[#This Row],[FECHA_TRASPLANTE]])/365.25</f>
        <v>4.380561259411362E-2</v>
      </c>
    </row>
    <row r="143" spans="1:75" x14ac:dyDescent="0.35">
      <c r="A143" t="s">
        <v>75</v>
      </c>
      <c r="B143" t="s">
        <v>75</v>
      </c>
      <c r="C143" t="s">
        <v>787</v>
      </c>
      <c r="D143" t="s">
        <v>380</v>
      </c>
      <c r="E143" t="s">
        <v>77</v>
      </c>
      <c r="H143" s="2">
        <v>20224</v>
      </c>
      <c r="I143" s="3">
        <f>(higado[[#This Row],[FECHA_TRASPLANTE]]-higado[[#This Row],[FECHA_NAC_D]])/365.25</f>
        <v>67.011635865845307</v>
      </c>
      <c r="J143" t="s">
        <v>77</v>
      </c>
      <c r="K143" t="s">
        <v>788</v>
      </c>
      <c r="L143" t="s">
        <v>164</v>
      </c>
      <c r="M143" t="s">
        <v>132</v>
      </c>
      <c r="N143">
        <v>107720128</v>
      </c>
      <c r="O143" s="18">
        <v>44700</v>
      </c>
      <c r="P143" t="s">
        <v>90</v>
      </c>
      <c r="Q143" s="2">
        <v>25694</v>
      </c>
      <c r="R143" s="1">
        <f>(higado[[#This Row],[FECHA_TRASPLANTE]]-higado[[#This Row],[FECHA_NAC]])/365.25</f>
        <v>52.035592060232716</v>
      </c>
      <c r="S143" t="s">
        <v>200</v>
      </c>
      <c r="T143" s="2">
        <v>42801</v>
      </c>
      <c r="U143" t="s">
        <v>480</v>
      </c>
      <c r="V143">
        <v>29</v>
      </c>
      <c r="W143" t="s">
        <v>82</v>
      </c>
      <c r="X143" t="s">
        <v>91</v>
      </c>
      <c r="Y143" t="s">
        <v>91</v>
      </c>
      <c r="Z143" t="s">
        <v>307</v>
      </c>
      <c r="AD143">
        <v>7</v>
      </c>
      <c r="AF143" t="s">
        <v>375</v>
      </c>
      <c r="AG143" t="s">
        <v>375</v>
      </c>
      <c r="AH143" t="s">
        <v>770</v>
      </c>
      <c r="AI143" t="s">
        <v>770</v>
      </c>
      <c r="AJ143" t="s">
        <v>770</v>
      </c>
      <c r="AK143" t="s">
        <v>770</v>
      </c>
      <c r="AM143" t="s">
        <v>86</v>
      </c>
      <c r="AN143" s="2">
        <v>44762</v>
      </c>
      <c r="AO143" t="s">
        <v>789</v>
      </c>
      <c r="AQ143" t="s">
        <v>358</v>
      </c>
      <c r="AV143" t="s">
        <v>106</v>
      </c>
      <c r="AY143" t="s">
        <v>106</v>
      </c>
      <c r="BO143">
        <v>7005400750</v>
      </c>
      <c r="BP143" t="s">
        <v>81</v>
      </c>
      <c r="BQ143" t="s">
        <v>82</v>
      </c>
      <c r="BS143" s="17">
        <f>higado[[#This Row],[FECHA_TRASPLANTE]]</f>
        <v>44700</v>
      </c>
      <c r="BT143">
        <f>IF(higado[[#This Row],[FALLECIDO SI/NO]]="NO",0,1)</f>
        <v>1</v>
      </c>
      <c r="BU143" s="1">
        <f ca="1">IF(higado[[#This Row],[FALLECIDO_COD]]=0,TODAY()-higado[[#This Row],[FECHA_TRASPLANTE]],higado[[#This Row],[FECHA DE DEFUNCIÓN]]-higado[[#This Row],[FECHA_TRASPLANTE]])</f>
        <v>62</v>
      </c>
      <c r="BV143" s="1">
        <f ca="1">IF(higado[[#This Row],[FALLECIDO_COD]]=0,TODAY()-higado[[#This Row],[FECHA_TRASPLANTE]],higado[[#This Row],[FECHA DE DEFUNCIÓN]]-higado[[#This Row],[FECHA_TRASPLANTE]])/30.4375</f>
        <v>2.0369609856262834</v>
      </c>
      <c r="BW143" s="1">
        <f ca="1">IF(higado[[#This Row],[FALLECIDO_COD]]=0,TODAY()-higado[[#This Row],[FECHA_TRASPLANTE]],higado[[#This Row],[FECHA DE DEFUNCIÓN]]-higado[[#This Row],[FECHA_TRASPLANTE]])/365.25</f>
        <v>0.16974674880219029</v>
      </c>
    </row>
    <row r="144" spans="1:75" x14ac:dyDescent="0.35">
      <c r="A144" t="s">
        <v>75</v>
      </c>
      <c r="B144" t="s">
        <v>75</v>
      </c>
      <c r="C144" t="s">
        <v>790</v>
      </c>
      <c r="D144" t="s">
        <v>380</v>
      </c>
      <c r="E144" t="s">
        <v>77</v>
      </c>
      <c r="H144">
        <v>36109</v>
      </c>
      <c r="I144">
        <v>23.605749486652979</v>
      </c>
      <c r="J144" t="s">
        <v>77</v>
      </c>
      <c r="K144" t="s">
        <v>791</v>
      </c>
      <c r="L144" t="s">
        <v>348</v>
      </c>
      <c r="M144" t="s">
        <v>792</v>
      </c>
      <c r="N144">
        <v>304520304</v>
      </c>
      <c r="O144" s="18">
        <v>44731</v>
      </c>
      <c r="P144" t="s">
        <v>90</v>
      </c>
      <c r="Q144" s="2">
        <v>33299</v>
      </c>
      <c r="R144" s="1">
        <f>(higado[[#This Row],[FECHA_TRASPLANTE]]-higado[[#This Row],[FECHA_NAC]])/365.25</f>
        <v>31.299110198494184</v>
      </c>
      <c r="S144" t="s">
        <v>200</v>
      </c>
      <c r="T144" s="2">
        <v>44427.480555555558</v>
      </c>
      <c r="U144" t="s">
        <v>445</v>
      </c>
      <c r="V144">
        <v>23</v>
      </c>
      <c r="W144" t="s">
        <v>82</v>
      </c>
      <c r="X144" t="s">
        <v>110</v>
      </c>
      <c r="Y144" t="s">
        <v>188</v>
      </c>
      <c r="Z144" t="s">
        <v>793</v>
      </c>
      <c r="AD144" t="s">
        <v>794</v>
      </c>
      <c r="AF144" t="s">
        <v>375</v>
      </c>
      <c r="AG144" t="s">
        <v>375</v>
      </c>
      <c r="AH144" t="s">
        <v>375</v>
      </c>
      <c r="AI144" t="s">
        <v>375</v>
      </c>
      <c r="AJ144" t="s">
        <v>375</v>
      </c>
      <c r="AK144" t="s">
        <v>761</v>
      </c>
      <c r="AM144" t="s">
        <v>106</v>
      </c>
      <c r="AN144" s="2" t="s">
        <v>762</v>
      </c>
      <c r="AO144" t="s">
        <v>762</v>
      </c>
      <c r="AQ144" t="s">
        <v>358</v>
      </c>
      <c r="AV144" t="s">
        <v>106</v>
      </c>
      <c r="AY144" t="s">
        <v>106</v>
      </c>
      <c r="BO144">
        <v>702640605</v>
      </c>
      <c r="BP144" t="s">
        <v>81</v>
      </c>
      <c r="BQ144" t="s">
        <v>82</v>
      </c>
      <c r="BS144" s="17">
        <f>higado[[#This Row],[FECHA_TRASPLANTE]]</f>
        <v>44731</v>
      </c>
      <c r="BT144">
        <f>IF(higado[[#This Row],[FALLECIDO SI/NO]]="NO",0,1)</f>
        <v>0</v>
      </c>
      <c r="BU144" s="1">
        <f ca="1">IF(higado[[#This Row],[FALLECIDO_COD]]=0,TODAY()-higado[[#This Row],[FECHA_TRASPLANTE]],higado[[#This Row],[FECHA DE DEFUNCIÓN]]-higado[[#This Row],[FECHA_TRASPLANTE]])</f>
        <v>1144</v>
      </c>
      <c r="BV144" s="1">
        <f ca="1">IF(higado[[#This Row],[FALLECIDO_COD]]=0,TODAY()-higado[[#This Row],[FECHA_TRASPLANTE]],higado[[#This Row],[FECHA DE DEFUNCIÓN]]-higado[[#This Row],[FECHA_TRASPLANTE]])/30.4375</f>
        <v>37.585215605749489</v>
      </c>
      <c r="BW144" s="1">
        <f ca="1">IF(higado[[#This Row],[FALLECIDO_COD]]=0,TODAY()-higado[[#This Row],[FECHA_TRASPLANTE]],higado[[#This Row],[FECHA DE DEFUNCIÓN]]-higado[[#This Row],[FECHA_TRASPLANTE]])/365.25</f>
        <v>3.1321013004791238</v>
      </c>
    </row>
    <row r="145" spans="1:75" x14ac:dyDescent="0.35">
      <c r="A145" t="s">
        <v>75</v>
      </c>
      <c r="B145" t="s">
        <v>75</v>
      </c>
      <c r="C145" t="s">
        <v>795</v>
      </c>
      <c r="D145" t="s">
        <v>380</v>
      </c>
      <c r="E145" t="s">
        <v>77</v>
      </c>
      <c r="H145">
        <v>36657</v>
      </c>
      <c r="I145">
        <v>22.113620807665981</v>
      </c>
      <c r="J145" t="s">
        <v>77</v>
      </c>
      <c r="K145" t="s">
        <v>796</v>
      </c>
      <c r="L145" t="s">
        <v>753</v>
      </c>
      <c r="M145" t="s">
        <v>432</v>
      </c>
      <c r="N145">
        <v>106160488</v>
      </c>
      <c r="O145" s="18">
        <v>44734</v>
      </c>
      <c r="P145" t="s">
        <v>90</v>
      </c>
      <c r="Q145" s="2">
        <v>23340</v>
      </c>
      <c r="R145" s="1">
        <f>(higado[[#This Row],[FECHA_TRASPLANTE]]-higado[[#This Row],[FECHA_NAC]])/365.25</f>
        <v>58.573579739904176</v>
      </c>
      <c r="S145" t="s">
        <v>210</v>
      </c>
      <c r="T145" s="2">
        <v>44698.67291666667</v>
      </c>
      <c r="U145" t="s">
        <v>394</v>
      </c>
      <c r="V145">
        <v>17</v>
      </c>
      <c r="W145" t="s">
        <v>82</v>
      </c>
      <c r="X145" t="s">
        <v>91</v>
      </c>
      <c r="Y145" t="s">
        <v>434</v>
      </c>
      <c r="Z145" t="s">
        <v>797</v>
      </c>
      <c r="AD145" t="s">
        <v>794</v>
      </c>
      <c r="AF145" t="s">
        <v>375</v>
      </c>
      <c r="AG145" t="s">
        <v>375</v>
      </c>
      <c r="AH145" t="s">
        <v>375</v>
      </c>
      <c r="AI145" t="s">
        <v>375</v>
      </c>
      <c r="AJ145" t="s">
        <v>375</v>
      </c>
      <c r="AK145" t="s">
        <v>761</v>
      </c>
      <c r="AM145" t="s">
        <v>106</v>
      </c>
      <c r="AN145" s="2" t="s">
        <v>762</v>
      </c>
      <c r="AO145" t="s">
        <v>762</v>
      </c>
      <c r="AQ145" t="s">
        <v>358</v>
      </c>
      <c r="AV145" t="s">
        <v>106</v>
      </c>
      <c r="AY145" t="s">
        <v>106</v>
      </c>
      <c r="BO145">
        <v>402470179</v>
      </c>
      <c r="BP145" t="s">
        <v>81</v>
      </c>
      <c r="BQ145" t="s">
        <v>82</v>
      </c>
      <c r="BS145" s="17">
        <f>higado[[#This Row],[FECHA_TRASPLANTE]]</f>
        <v>44734</v>
      </c>
      <c r="BT145">
        <f>IF(higado[[#This Row],[FALLECIDO SI/NO]]="NO",0,1)</f>
        <v>0</v>
      </c>
      <c r="BU145" s="1">
        <f ca="1">IF(higado[[#This Row],[FALLECIDO_COD]]=0,TODAY()-higado[[#This Row],[FECHA_TRASPLANTE]],higado[[#This Row],[FECHA DE DEFUNCIÓN]]-higado[[#This Row],[FECHA_TRASPLANTE]])</f>
        <v>1141</v>
      </c>
      <c r="BV145" s="1">
        <f ca="1">IF(higado[[#This Row],[FALLECIDO_COD]]=0,TODAY()-higado[[#This Row],[FECHA_TRASPLANTE]],higado[[#This Row],[FECHA DE DEFUNCIÓN]]-higado[[#This Row],[FECHA_TRASPLANTE]])/30.4375</f>
        <v>37.486652977412732</v>
      </c>
      <c r="BW145" s="1">
        <f ca="1">IF(higado[[#This Row],[FALLECIDO_COD]]=0,TODAY()-higado[[#This Row],[FECHA_TRASPLANTE]],higado[[#This Row],[FECHA DE DEFUNCIÓN]]-higado[[#This Row],[FECHA_TRASPLANTE]])/365.25</f>
        <v>3.1238877481177276</v>
      </c>
    </row>
    <row r="146" spans="1:75" x14ac:dyDescent="0.35">
      <c r="A146" t="s">
        <v>75</v>
      </c>
      <c r="B146" t="s">
        <v>75</v>
      </c>
      <c r="C146" t="s">
        <v>798</v>
      </c>
      <c r="D146" t="s">
        <v>380</v>
      </c>
      <c r="E146" t="s">
        <v>77</v>
      </c>
      <c r="H146">
        <v>24460</v>
      </c>
      <c r="I146">
        <v>55.567419575633132</v>
      </c>
      <c r="J146" t="s">
        <v>77</v>
      </c>
      <c r="K146" t="s">
        <v>799</v>
      </c>
      <c r="L146" t="s">
        <v>155</v>
      </c>
      <c r="M146" t="s">
        <v>800</v>
      </c>
      <c r="N146">
        <v>302920574</v>
      </c>
      <c r="O146" s="18">
        <v>44756</v>
      </c>
      <c r="P146" t="s">
        <v>81</v>
      </c>
      <c r="Q146" s="2">
        <v>24765</v>
      </c>
      <c r="R146" s="1">
        <f>(higado[[#This Row],[FECHA_TRASPLANTE]]-higado[[#This Row],[FECHA_NAC]])/365.25</f>
        <v>54.732375085557834</v>
      </c>
      <c r="S146" t="s">
        <v>200</v>
      </c>
      <c r="T146" s="2">
        <v>43227</v>
      </c>
      <c r="U146" t="s">
        <v>394</v>
      </c>
      <c r="V146">
        <v>21</v>
      </c>
      <c r="W146" t="s">
        <v>82</v>
      </c>
      <c r="X146" t="s">
        <v>110</v>
      </c>
      <c r="Y146" t="s">
        <v>801</v>
      </c>
      <c r="Z146" t="s">
        <v>802</v>
      </c>
      <c r="AD146" t="s">
        <v>794</v>
      </c>
      <c r="AF146" t="s">
        <v>375</v>
      </c>
      <c r="AG146" t="s">
        <v>375</v>
      </c>
      <c r="AH146" t="s">
        <v>375</v>
      </c>
      <c r="AI146" t="s">
        <v>375</v>
      </c>
      <c r="AJ146" t="s">
        <v>762</v>
      </c>
      <c r="AK146" t="s">
        <v>761</v>
      </c>
      <c r="AM146" t="s">
        <v>106</v>
      </c>
      <c r="AN146" s="2" t="s">
        <v>762</v>
      </c>
      <c r="AO146" t="s">
        <v>762</v>
      </c>
      <c r="AQ146" t="s">
        <v>358</v>
      </c>
      <c r="AV146" t="s">
        <v>106</v>
      </c>
      <c r="AY146" t="s">
        <v>106</v>
      </c>
      <c r="BO146">
        <v>21010022000481</v>
      </c>
      <c r="BP146" t="s">
        <v>90</v>
      </c>
      <c r="BQ146" t="s">
        <v>146</v>
      </c>
      <c r="BS146" s="17">
        <f>higado[[#This Row],[FECHA_TRASPLANTE]]</f>
        <v>44756</v>
      </c>
      <c r="BT146">
        <f>IF(higado[[#This Row],[FALLECIDO SI/NO]]="NO",0,1)</f>
        <v>0</v>
      </c>
      <c r="BU146" s="1">
        <f ca="1">IF(higado[[#This Row],[FALLECIDO_COD]]=0,TODAY()-higado[[#This Row],[FECHA_TRASPLANTE]],higado[[#This Row],[FECHA DE DEFUNCIÓN]]-higado[[#This Row],[FECHA_TRASPLANTE]])</f>
        <v>1119</v>
      </c>
      <c r="BV146" s="1">
        <f ca="1">IF(higado[[#This Row],[FALLECIDO_COD]]=0,TODAY()-higado[[#This Row],[FECHA_TRASPLANTE]],higado[[#This Row],[FECHA DE DEFUNCIÓN]]-higado[[#This Row],[FECHA_TRASPLANTE]])/30.4375</f>
        <v>36.763860369609858</v>
      </c>
      <c r="BW146" s="1">
        <f ca="1">IF(higado[[#This Row],[FALLECIDO_COD]]=0,TODAY()-higado[[#This Row],[FECHA_TRASPLANTE]],higado[[#This Row],[FECHA DE DEFUNCIÓN]]-higado[[#This Row],[FECHA_TRASPLANTE]])/365.25</f>
        <v>3.0636550308008212</v>
      </c>
    </row>
    <row r="147" spans="1:75" x14ac:dyDescent="0.35">
      <c r="A147" t="s">
        <v>75</v>
      </c>
      <c r="B147" t="s">
        <v>75</v>
      </c>
      <c r="C147" t="s">
        <v>803</v>
      </c>
      <c r="D147" t="s">
        <v>380</v>
      </c>
      <c r="E147" t="s">
        <v>77</v>
      </c>
      <c r="H147">
        <v>28598</v>
      </c>
      <c r="I147">
        <v>44.279260780287473</v>
      </c>
      <c r="J147" t="s">
        <v>77</v>
      </c>
      <c r="K147" t="s">
        <v>804</v>
      </c>
      <c r="L147" t="s">
        <v>805</v>
      </c>
      <c r="M147" t="s">
        <v>204</v>
      </c>
      <c r="N147">
        <v>110830813</v>
      </c>
      <c r="O147" s="18">
        <v>44771</v>
      </c>
      <c r="P147" t="s">
        <v>90</v>
      </c>
      <c r="Q147" s="2">
        <v>29506</v>
      </c>
      <c r="R147" s="1">
        <f>(higado[[#This Row],[FECHA_TRASPLANTE]]-higado[[#This Row],[FECHA_NAC]])/365.25</f>
        <v>41.793292265571523</v>
      </c>
      <c r="S147" t="s">
        <v>806</v>
      </c>
      <c r="T147" s="2">
        <v>44417.599305555559</v>
      </c>
      <c r="U147" t="s">
        <v>807</v>
      </c>
      <c r="V147">
        <v>18</v>
      </c>
      <c r="W147" t="s">
        <v>82</v>
      </c>
      <c r="X147" t="s">
        <v>91</v>
      </c>
      <c r="Y147" t="s">
        <v>91</v>
      </c>
      <c r="Z147" t="s">
        <v>450</v>
      </c>
      <c r="AD147" t="s">
        <v>794</v>
      </c>
      <c r="AF147" t="s">
        <v>375</v>
      </c>
      <c r="AG147" t="s">
        <v>375</v>
      </c>
      <c r="AH147" t="s">
        <v>375</v>
      </c>
      <c r="AI147" t="s">
        <v>375</v>
      </c>
      <c r="AJ147" t="s">
        <v>762</v>
      </c>
      <c r="AK147" t="s">
        <v>761</v>
      </c>
      <c r="AM147" t="s">
        <v>106</v>
      </c>
      <c r="AN147" s="2" t="s">
        <v>762</v>
      </c>
      <c r="AO147" t="s">
        <v>762</v>
      </c>
      <c r="AQ147" t="s">
        <v>358</v>
      </c>
      <c r="AV147" t="s">
        <v>106</v>
      </c>
      <c r="AY147" t="s">
        <v>106</v>
      </c>
      <c r="BO147">
        <v>110000261</v>
      </c>
      <c r="BP147" t="s">
        <v>90</v>
      </c>
      <c r="BQ147" t="s">
        <v>82</v>
      </c>
      <c r="BS147" s="17">
        <f>higado[[#This Row],[FECHA_TRASPLANTE]]</f>
        <v>44771</v>
      </c>
      <c r="BT147">
        <f>IF(higado[[#This Row],[FALLECIDO SI/NO]]="NO",0,1)</f>
        <v>0</v>
      </c>
      <c r="BU147" s="1">
        <f ca="1">IF(higado[[#This Row],[FALLECIDO_COD]]=0,TODAY()-higado[[#This Row],[FECHA_TRASPLANTE]],higado[[#This Row],[FECHA DE DEFUNCIÓN]]-higado[[#This Row],[FECHA_TRASPLANTE]])</f>
        <v>1104</v>
      </c>
      <c r="BV147" s="1">
        <f ca="1">IF(higado[[#This Row],[FALLECIDO_COD]]=0,TODAY()-higado[[#This Row],[FECHA_TRASPLANTE]],higado[[#This Row],[FECHA DE DEFUNCIÓN]]-higado[[#This Row],[FECHA_TRASPLANTE]])/30.4375</f>
        <v>36.271047227926076</v>
      </c>
      <c r="BW147" s="1">
        <f ca="1">IF(higado[[#This Row],[FALLECIDO_COD]]=0,TODAY()-higado[[#This Row],[FECHA_TRASPLANTE]],higado[[#This Row],[FECHA DE DEFUNCIÓN]]-higado[[#This Row],[FECHA_TRASPLANTE]])/365.25</f>
        <v>3.0225872689938398</v>
      </c>
    </row>
    <row r="148" spans="1:75" x14ac:dyDescent="0.35">
      <c r="A148" t="s">
        <v>377</v>
      </c>
      <c r="C148" t="s">
        <v>808</v>
      </c>
      <c r="D148" t="s">
        <v>380</v>
      </c>
      <c r="E148" t="s">
        <v>77</v>
      </c>
      <c r="G148" t="s">
        <v>200</v>
      </c>
      <c r="H148" s="2"/>
      <c r="I148" s="3">
        <f>(higado[[#This Row],[FECHA_TRASPLANTE]]-higado[[#This Row],[FECHA_NAC_D]])/365.25</f>
        <v>122.61738535249829</v>
      </c>
      <c r="J148" t="s">
        <v>77</v>
      </c>
      <c r="K148" t="s">
        <v>809</v>
      </c>
      <c r="L148" t="s">
        <v>452</v>
      </c>
      <c r="M148" t="s">
        <v>132</v>
      </c>
      <c r="N148">
        <v>104570374</v>
      </c>
      <c r="O148" s="18">
        <v>44786</v>
      </c>
      <c r="P148" t="s">
        <v>81</v>
      </c>
      <c r="Q148" s="2">
        <v>20403</v>
      </c>
      <c r="R148" s="1">
        <f>(higado[[#This Row],[FECHA_TRASPLANTE]]-higado[[#This Row],[FECHA_NAC]])/365.25</f>
        <v>66.757015742642025</v>
      </c>
      <c r="S148" t="s">
        <v>200</v>
      </c>
      <c r="U148" t="s">
        <v>810</v>
      </c>
      <c r="V148">
        <v>14</v>
      </c>
      <c r="W148" t="s">
        <v>82</v>
      </c>
      <c r="X148" t="s">
        <v>91</v>
      </c>
      <c r="Y148" t="s">
        <v>84</v>
      </c>
      <c r="Z148" t="s">
        <v>307</v>
      </c>
      <c r="AF148" t="s">
        <v>811</v>
      </c>
      <c r="AM148" t="s">
        <v>86</v>
      </c>
      <c r="AN148" s="2">
        <v>44905</v>
      </c>
      <c r="AO148" t="s">
        <v>812</v>
      </c>
      <c r="AQ148" t="s">
        <v>358</v>
      </c>
      <c r="BO148" t="s">
        <v>813</v>
      </c>
      <c r="BP148" t="s">
        <v>90</v>
      </c>
      <c r="BQ148" t="s">
        <v>82</v>
      </c>
      <c r="BS148" s="17">
        <f>higado[[#This Row],[FECHA_TRASPLANTE]]</f>
        <v>44786</v>
      </c>
      <c r="BT148">
        <f>IF(higado[[#This Row],[FALLECIDO SI/NO]]="NO",0,1)</f>
        <v>1</v>
      </c>
      <c r="BU148" s="1">
        <f ca="1">IF(higado[[#This Row],[FALLECIDO_COD]]=0,TODAY()-higado[[#This Row],[FECHA_TRASPLANTE]],higado[[#This Row],[FECHA DE DEFUNCIÓN]]-higado[[#This Row],[FECHA_TRASPLANTE]])</f>
        <v>119</v>
      </c>
      <c r="BV148" s="1">
        <f ca="1">IF(higado[[#This Row],[FALLECIDO_COD]]=0,TODAY()-higado[[#This Row],[FECHA_TRASPLANTE]],higado[[#This Row],[FECHA DE DEFUNCIÓN]]-higado[[#This Row],[FECHA_TRASPLANTE]])/30.4375</f>
        <v>3.9096509240246409</v>
      </c>
      <c r="BW148" s="1">
        <f ca="1">IF(higado[[#This Row],[FALLECIDO_COD]]=0,TODAY()-higado[[#This Row],[FECHA_TRASPLANTE]],higado[[#This Row],[FECHA DE DEFUNCIÓN]]-higado[[#This Row],[FECHA_TRASPLANTE]])/365.25</f>
        <v>0.32580424366872007</v>
      </c>
    </row>
    <row r="149" spans="1:75" x14ac:dyDescent="0.35">
      <c r="A149" t="s">
        <v>376</v>
      </c>
      <c r="B149" t="s">
        <v>376</v>
      </c>
      <c r="D149" t="s">
        <v>380</v>
      </c>
      <c r="E149" t="s">
        <v>375</v>
      </c>
      <c r="G149" t="s">
        <v>200</v>
      </c>
      <c r="I149">
        <v>122.62559890485969</v>
      </c>
      <c r="J149" t="s">
        <v>746</v>
      </c>
      <c r="K149" t="s">
        <v>814</v>
      </c>
      <c r="L149" t="s">
        <v>815</v>
      </c>
      <c r="M149" t="s">
        <v>692</v>
      </c>
      <c r="N149">
        <v>504910182</v>
      </c>
      <c r="O149" s="18">
        <v>44789</v>
      </c>
      <c r="P149" t="s">
        <v>90</v>
      </c>
      <c r="Q149" s="2">
        <v>40393</v>
      </c>
      <c r="R149" s="1">
        <f>(higado[[#This Row],[FECHA_TRASPLANTE]]-higado[[#This Row],[FECHA_NAC]])/365.25</f>
        <v>12.035592060232718</v>
      </c>
      <c r="S149" t="s">
        <v>200</v>
      </c>
      <c r="U149" t="s">
        <v>563</v>
      </c>
      <c r="V149">
        <v>15</v>
      </c>
      <c r="W149" t="s">
        <v>82</v>
      </c>
      <c r="X149" t="s">
        <v>125</v>
      </c>
      <c r="Y149" t="s">
        <v>667</v>
      </c>
      <c r="Z149" t="s">
        <v>667</v>
      </c>
      <c r="AF149" t="s">
        <v>816</v>
      </c>
      <c r="AM149" t="s">
        <v>106</v>
      </c>
      <c r="AQ149" t="s">
        <v>358</v>
      </c>
      <c r="AY149" t="s">
        <v>106</v>
      </c>
      <c r="BO149" t="s">
        <v>817</v>
      </c>
      <c r="BP149" t="s">
        <v>90</v>
      </c>
      <c r="BQ149" t="s">
        <v>82</v>
      </c>
      <c r="BS149" s="17">
        <f>higado[[#This Row],[FECHA_TRASPLANTE]]</f>
        <v>44789</v>
      </c>
      <c r="BT149">
        <f>IF(higado[[#This Row],[FALLECIDO SI/NO]]="NO",0,1)</f>
        <v>0</v>
      </c>
      <c r="BU149" s="1">
        <f ca="1">IF(higado[[#This Row],[FALLECIDO_COD]]=0,TODAY()-higado[[#This Row],[FECHA_TRASPLANTE]],higado[[#This Row],[FECHA DE DEFUNCIÓN]]-higado[[#This Row],[FECHA_TRASPLANTE]])</f>
        <v>1086</v>
      </c>
      <c r="BV149" s="1">
        <f ca="1">IF(higado[[#This Row],[FALLECIDO_COD]]=0,TODAY()-higado[[#This Row],[FECHA_TRASPLANTE]],higado[[#This Row],[FECHA DE DEFUNCIÓN]]-higado[[#This Row],[FECHA_TRASPLANTE]])/30.4375</f>
        <v>35.679671457905542</v>
      </c>
      <c r="BW149" s="1">
        <f ca="1">IF(higado[[#This Row],[FALLECIDO_COD]]=0,TODAY()-higado[[#This Row],[FECHA_TRASPLANTE]],higado[[#This Row],[FECHA DE DEFUNCIÓN]]-higado[[#This Row],[FECHA_TRASPLANTE]])/365.25</f>
        <v>2.9733059548254621</v>
      </c>
    </row>
    <row r="150" spans="1:75" x14ac:dyDescent="0.35">
      <c r="A150" t="s">
        <v>376</v>
      </c>
      <c r="B150" t="s">
        <v>376</v>
      </c>
      <c r="C150" t="s">
        <v>818</v>
      </c>
      <c r="D150" t="s">
        <v>380</v>
      </c>
      <c r="E150" t="s">
        <v>77</v>
      </c>
      <c r="G150" t="s">
        <v>200</v>
      </c>
      <c r="H150" s="2">
        <v>34755</v>
      </c>
      <c r="I150" s="3">
        <f>(higado[[#This Row],[FECHA_TRASPLANTE]]-higado[[#This Row],[FECHA_NAC_D]])/365.25</f>
        <v>27.66050650239562</v>
      </c>
      <c r="J150" t="s">
        <v>77</v>
      </c>
      <c r="K150" t="s">
        <v>819</v>
      </c>
      <c r="L150" t="s">
        <v>820</v>
      </c>
      <c r="M150" t="s">
        <v>228</v>
      </c>
      <c r="N150">
        <v>209440488</v>
      </c>
      <c r="O150" s="18">
        <v>44858</v>
      </c>
      <c r="P150" t="s">
        <v>90</v>
      </c>
      <c r="Q150" s="2">
        <v>40669</v>
      </c>
      <c r="R150" s="1">
        <f>(higado[[#This Row],[FECHA_TRASPLANTE]]-higado[[#This Row],[FECHA_NAC]])/365.25</f>
        <v>11.468856947296372</v>
      </c>
      <c r="S150" t="s">
        <v>200</v>
      </c>
      <c r="T150" s="2">
        <v>44760</v>
      </c>
      <c r="U150" t="s">
        <v>821</v>
      </c>
      <c r="V150">
        <v>55</v>
      </c>
      <c r="W150" t="s">
        <v>82</v>
      </c>
      <c r="X150" t="s">
        <v>115</v>
      </c>
      <c r="Y150" t="s">
        <v>115</v>
      </c>
      <c r="Z150" t="s">
        <v>822</v>
      </c>
      <c r="AF150" t="s">
        <v>823</v>
      </c>
      <c r="AM150" t="s">
        <v>86</v>
      </c>
      <c r="AN150" s="2">
        <v>45107</v>
      </c>
      <c r="AO150" t="s">
        <v>824</v>
      </c>
      <c r="AQ150" t="s">
        <v>358</v>
      </c>
      <c r="AY150" t="s">
        <v>106</v>
      </c>
      <c r="BO150" t="s">
        <v>825</v>
      </c>
      <c r="BP150" t="s">
        <v>90</v>
      </c>
      <c r="BQ150" t="s">
        <v>82</v>
      </c>
      <c r="BS150" s="17">
        <f>higado[[#This Row],[FECHA_TRASPLANTE]]</f>
        <v>44858</v>
      </c>
      <c r="BT150">
        <f>IF(higado[[#This Row],[FALLECIDO SI/NO]]="NO",0,1)</f>
        <v>1</v>
      </c>
      <c r="BU150" s="1">
        <f ca="1">IF(higado[[#This Row],[FALLECIDO_COD]]=0,TODAY()-higado[[#This Row],[FECHA_TRASPLANTE]],higado[[#This Row],[FECHA DE DEFUNCIÓN]]-higado[[#This Row],[FECHA_TRASPLANTE]])</f>
        <v>249</v>
      </c>
      <c r="BV150" s="1">
        <f ca="1">IF(higado[[#This Row],[FALLECIDO_COD]]=0,TODAY()-higado[[#This Row],[FECHA_TRASPLANTE]],higado[[#This Row],[FECHA DE DEFUNCIÓN]]-higado[[#This Row],[FECHA_TRASPLANTE]])/30.4375</f>
        <v>8.1806981519507183</v>
      </c>
      <c r="BW150" s="1">
        <f ca="1">IF(higado[[#This Row],[FALLECIDO_COD]]=0,TODAY()-higado[[#This Row],[FECHA_TRASPLANTE]],higado[[#This Row],[FECHA DE DEFUNCIÓN]]-higado[[#This Row],[FECHA_TRASPLANTE]])/365.25</f>
        <v>0.68172484599589322</v>
      </c>
    </row>
    <row r="151" spans="1:75" x14ac:dyDescent="0.35">
      <c r="A151" t="s">
        <v>377</v>
      </c>
      <c r="C151" t="s">
        <v>826</v>
      </c>
      <c r="D151" t="s">
        <v>380</v>
      </c>
      <c r="E151" t="s">
        <v>77</v>
      </c>
      <c r="G151" t="s">
        <v>200</v>
      </c>
      <c r="H151" s="2"/>
      <c r="I151" s="3">
        <f>(higado[[#This Row],[FECHA_TRASPLANTE]]-higado[[#This Row],[FECHA_NAC_D]])/365.25</f>
        <v>122.839151266256</v>
      </c>
      <c r="J151" t="s">
        <v>77</v>
      </c>
      <c r="K151" t="s">
        <v>608</v>
      </c>
      <c r="L151" t="s">
        <v>385</v>
      </c>
      <c r="M151" t="s">
        <v>827</v>
      </c>
      <c r="N151">
        <v>106160788</v>
      </c>
      <c r="O151" s="18">
        <v>44867</v>
      </c>
      <c r="P151" t="s">
        <v>81</v>
      </c>
      <c r="Q151" s="2">
        <v>23314</v>
      </c>
      <c r="R151" s="1">
        <f>(higado[[#This Row],[FECHA_TRASPLANTE]]-higado[[#This Row],[FECHA_NAC]])/365.25</f>
        <v>59.008898015058179</v>
      </c>
      <c r="S151" t="s">
        <v>205</v>
      </c>
      <c r="U151" t="s">
        <v>828</v>
      </c>
      <c r="V151">
        <v>34</v>
      </c>
      <c r="W151" t="s">
        <v>82</v>
      </c>
      <c r="X151" t="s">
        <v>115</v>
      </c>
      <c r="Y151" t="s">
        <v>84</v>
      </c>
      <c r="Z151" t="s">
        <v>115</v>
      </c>
      <c r="AF151" t="s">
        <v>829</v>
      </c>
      <c r="AM151" t="s">
        <v>86</v>
      </c>
      <c r="AN151" s="2">
        <v>44868</v>
      </c>
      <c r="AO151" t="s">
        <v>830</v>
      </c>
      <c r="AQ151" t="s">
        <v>358</v>
      </c>
      <c r="BO151" t="s">
        <v>831</v>
      </c>
      <c r="BP151" t="s">
        <v>90</v>
      </c>
      <c r="BQ151" t="s">
        <v>82</v>
      </c>
      <c r="BS151" s="17">
        <f>higado[[#This Row],[FECHA_TRASPLANTE]]</f>
        <v>44867</v>
      </c>
      <c r="BT151">
        <f>IF(higado[[#This Row],[FALLECIDO SI/NO]]="NO",0,1)</f>
        <v>1</v>
      </c>
      <c r="BU151" s="1">
        <f ca="1">IF(higado[[#This Row],[FALLECIDO_COD]]=0,TODAY()-higado[[#This Row],[FECHA_TRASPLANTE]],higado[[#This Row],[FECHA DE DEFUNCIÓN]]-higado[[#This Row],[FECHA_TRASPLANTE]])</f>
        <v>1</v>
      </c>
      <c r="BV151" s="1">
        <f ca="1">IF(higado[[#This Row],[FALLECIDO_COD]]=0,TODAY()-higado[[#This Row],[FECHA_TRASPLANTE]],higado[[#This Row],[FECHA DE DEFUNCIÓN]]-higado[[#This Row],[FECHA_TRASPLANTE]])/30.4375</f>
        <v>3.2854209445585217E-2</v>
      </c>
      <c r="BW151" s="1">
        <f ca="1">IF(higado[[#This Row],[FALLECIDO_COD]]=0,TODAY()-higado[[#This Row],[FECHA_TRASPLANTE]],higado[[#This Row],[FECHA DE DEFUNCIÓN]]-higado[[#This Row],[FECHA_TRASPLANTE]])/365.25</f>
        <v>2.7378507871321013E-3</v>
      </c>
    </row>
    <row r="152" spans="1:75" x14ac:dyDescent="0.35">
      <c r="A152" t="s">
        <v>377</v>
      </c>
      <c r="C152" t="s">
        <v>832</v>
      </c>
      <c r="D152" t="s">
        <v>380</v>
      </c>
      <c r="E152" t="s">
        <v>77</v>
      </c>
      <c r="G152" t="s">
        <v>205</v>
      </c>
      <c r="H152" s="2"/>
      <c r="I152" s="3">
        <f>(higado[[#This Row],[FECHA_TRASPLANTE]]-higado[[#This Row],[FECHA_NAC_D]])/365.25</f>
        <v>122.84736481861738</v>
      </c>
      <c r="J152" t="s">
        <v>77</v>
      </c>
      <c r="K152" t="s">
        <v>833</v>
      </c>
      <c r="L152" t="s">
        <v>475</v>
      </c>
      <c r="M152" t="s">
        <v>348</v>
      </c>
      <c r="N152">
        <v>107050008</v>
      </c>
      <c r="O152" s="18">
        <v>44870</v>
      </c>
      <c r="P152" t="s">
        <v>81</v>
      </c>
      <c r="Q152" s="2">
        <v>24671</v>
      </c>
      <c r="R152" s="1">
        <f>(higado[[#This Row],[FECHA_TRASPLANTE]]-higado[[#This Row],[FECHA_NAC]])/365.25</f>
        <v>55.301848049281311</v>
      </c>
      <c r="S152" t="s">
        <v>205</v>
      </c>
      <c r="U152" t="s">
        <v>834</v>
      </c>
      <c r="V152">
        <v>37</v>
      </c>
      <c r="W152" t="s">
        <v>82</v>
      </c>
      <c r="X152" t="s">
        <v>115</v>
      </c>
      <c r="Y152" t="s">
        <v>365</v>
      </c>
      <c r="Z152" t="s">
        <v>835</v>
      </c>
      <c r="AM152" t="s">
        <v>86</v>
      </c>
      <c r="AN152" s="2">
        <v>44926</v>
      </c>
      <c r="AQ152" t="s">
        <v>358</v>
      </c>
      <c r="BO152" t="s">
        <v>836</v>
      </c>
      <c r="BP152" t="s">
        <v>81</v>
      </c>
      <c r="BQ152" t="s">
        <v>82</v>
      </c>
      <c r="BS152" s="17">
        <f>higado[[#This Row],[FECHA_TRASPLANTE]]</f>
        <v>44870</v>
      </c>
      <c r="BT152">
        <f>IF(higado[[#This Row],[FALLECIDO SI/NO]]="NO",0,1)</f>
        <v>1</v>
      </c>
      <c r="BU152" s="1">
        <f ca="1">IF(higado[[#This Row],[FALLECIDO_COD]]=0,TODAY()-higado[[#This Row],[FECHA_TRASPLANTE]],higado[[#This Row],[FECHA DE DEFUNCIÓN]]-higado[[#This Row],[FECHA_TRASPLANTE]])</f>
        <v>56</v>
      </c>
      <c r="BV152" s="1">
        <f ca="1">IF(higado[[#This Row],[FALLECIDO_COD]]=0,TODAY()-higado[[#This Row],[FECHA_TRASPLANTE]],higado[[#This Row],[FECHA DE DEFUNCIÓN]]-higado[[#This Row],[FECHA_TRASPLANTE]])/30.4375</f>
        <v>1.839835728952772</v>
      </c>
      <c r="BW152" s="1">
        <f ca="1">IF(higado[[#This Row],[FALLECIDO_COD]]=0,TODAY()-higado[[#This Row],[FECHA_TRASPLANTE]],higado[[#This Row],[FECHA DE DEFUNCIÓN]]-higado[[#This Row],[FECHA_TRASPLANTE]])/365.25</f>
        <v>0.15331964407939766</v>
      </c>
    </row>
    <row r="153" spans="1:75" x14ac:dyDescent="0.35">
      <c r="A153" t="s">
        <v>377</v>
      </c>
      <c r="C153" t="s">
        <v>837</v>
      </c>
      <c r="D153" t="s">
        <v>380</v>
      </c>
      <c r="E153" t="s">
        <v>77</v>
      </c>
      <c r="G153" t="s">
        <v>205</v>
      </c>
      <c r="H153" s="2"/>
      <c r="I153" s="3">
        <f>(higado[[#This Row],[FECHA_TRASPLANTE]]-higado[[#This Row],[FECHA_NAC_D]])/365.25</f>
        <v>122.90485968514716</v>
      </c>
      <c r="J153" t="s">
        <v>77</v>
      </c>
      <c r="K153" t="s">
        <v>838</v>
      </c>
      <c r="L153" t="s">
        <v>99</v>
      </c>
      <c r="M153" t="s">
        <v>269</v>
      </c>
      <c r="N153">
        <v>106690589</v>
      </c>
      <c r="O153" s="18">
        <v>44891</v>
      </c>
      <c r="P153" t="s">
        <v>81</v>
      </c>
      <c r="Q153" s="2">
        <v>24072</v>
      </c>
      <c r="R153" s="1">
        <f>(higado[[#This Row],[FECHA_TRASPLANTE]]-higado[[#This Row],[FECHA_NAC]])/365.25</f>
        <v>56.999315537303218</v>
      </c>
      <c r="S153" t="s">
        <v>205</v>
      </c>
      <c r="U153" t="s">
        <v>839</v>
      </c>
      <c r="V153">
        <v>23</v>
      </c>
      <c r="W153" t="s">
        <v>82</v>
      </c>
      <c r="X153" t="s">
        <v>91</v>
      </c>
      <c r="Y153" t="s">
        <v>152</v>
      </c>
      <c r="Z153" t="s">
        <v>332</v>
      </c>
      <c r="AF153" t="s">
        <v>840</v>
      </c>
      <c r="AM153" t="s">
        <v>86</v>
      </c>
      <c r="AN153" s="2">
        <v>44936</v>
      </c>
      <c r="AQ153" t="s">
        <v>358</v>
      </c>
      <c r="BO153" t="s">
        <v>841</v>
      </c>
      <c r="BP153" t="s">
        <v>81</v>
      </c>
      <c r="BQ153" t="s">
        <v>82</v>
      </c>
      <c r="BS153" s="17">
        <f>higado[[#This Row],[FECHA_TRASPLANTE]]</f>
        <v>44891</v>
      </c>
      <c r="BT153">
        <f>IF(higado[[#This Row],[FALLECIDO SI/NO]]="NO",0,1)</f>
        <v>1</v>
      </c>
      <c r="BU153" s="1">
        <f ca="1">IF(higado[[#This Row],[FALLECIDO_COD]]=0,TODAY()-higado[[#This Row],[FECHA_TRASPLANTE]],higado[[#This Row],[FECHA DE DEFUNCIÓN]]-higado[[#This Row],[FECHA_TRASPLANTE]])</f>
        <v>45</v>
      </c>
      <c r="BV153" s="1">
        <f ca="1">IF(higado[[#This Row],[FALLECIDO_COD]]=0,TODAY()-higado[[#This Row],[FECHA_TRASPLANTE]],higado[[#This Row],[FECHA DE DEFUNCIÓN]]-higado[[#This Row],[FECHA_TRASPLANTE]])/30.4375</f>
        <v>1.4784394250513346</v>
      </c>
      <c r="BW153" s="1">
        <f ca="1">IF(higado[[#This Row],[FALLECIDO_COD]]=0,TODAY()-higado[[#This Row],[FECHA_TRASPLANTE]],higado[[#This Row],[FECHA DE DEFUNCIÓN]]-higado[[#This Row],[FECHA_TRASPLANTE]])/365.25</f>
        <v>0.12320328542094455</v>
      </c>
    </row>
    <row r="154" spans="1:75" x14ac:dyDescent="0.35">
      <c r="A154" t="s">
        <v>75</v>
      </c>
      <c r="B154" t="s">
        <v>75</v>
      </c>
      <c r="C154" t="s">
        <v>842</v>
      </c>
      <c r="D154" t="s">
        <v>380</v>
      </c>
      <c r="E154" t="s">
        <v>77</v>
      </c>
      <c r="H154">
        <v>31627</v>
      </c>
      <c r="I154">
        <v>36.317590691307323</v>
      </c>
      <c r="J154" t="s">
        <v>77</v>
      </c>
      <c r="K154" t="s">
        <v>665</v>
      </c>
      <c r="L154" t="s">
        <v>843</v>
      </c>
      <c r="M154" t="s">
        <v>844</v>
      </c>
      <c r="N154">
        <v>119670807</v>
      </c>
      <c r="O154" s="18">
        <v>44892</v>
      </c>
      <c r="P154" t="s">
        <v>90</v>
      </c>
      <c r="Q154" s="2">
        <v>38892</v>
      </c>
      <c r="R154" s="1">
        <f>(higado[[#This Row],[FECHA_TRASPLANTE]]-higado[[#This Row],[FECHA_NAC]])/365.25</f>
        <v>16.427104722792606</v>
      </c>
      <c r="S154" t="s">
        <v>200</v>
      </c>
      <c r="T154" s="2">
        <v>44889.338888888888</v>
      </c>
      <c r="U154" t="s">
        <v>845</v>
      </c>
      <c r="V154">
        <v>37</v>
      </c>
      <c r="W154" t="s">
        <v>82</v>
      </c>
      <c r="X154" t="s">
        <v>91</v>
      </c>
      <c r="Y154" t="s">
        <v>152</v>
      </c>
      <c r="Z154" t="s">
        <v>241</v>
      </c>
      <c r="AD154">
        <v>10</v>
      </c>
      <c r="AF154" t="s">
        <v>375</v>
      </c>
      <c r="AG154" t="s">
        <v>375</v>
      </c>
      <c r="AH154" t="s">
        <v>375</v>
      </c>
      <c r="AI154" t="s">
        <v>375</v>
      </c>
      <c r="AJ154" t="s">
        <v>762</v>
      </c>
      <c r="AK154" t="s">
        <v>761</v>
      </c>
      <c r="AM154" t="s">
        <v>106</v>
      </c>
      <c r="AN154" s="2" t="s">
        <v>762</v>
      </c>
      <c r="AO154" t="s">
        <v>762</v>
      </c>
      <c r="AQ154" t="s">
        <v>358</v>
      </c>
      <c r="AV154" t="s">
        <v>106</v>
      </c>
      <c r="AY154" t="s">
        <v>106</v>
      </c>
      <c r="BO154">
        <v>206230335</v>
      </c>
      <c r="BP154" t="s">
        <v>81</v>
      </c>
      <c r="BQ154" t="s">
        <v>82</v>
      </c>
      <c r="BS154" s="17">
        <f>higado[[#This Row],[FECHA_TRASPLANTE]]</f>
        <v>44892</v>
      </c>
      <c r="BT154">
        <f>IF(higado[[#This Row],[FALLECIDO SI/NO]]="NO",0,1)</f>
        <v>0</v>
      </c>
      <c r="BU154" s="1">
        <f ca="1">IF(higado[[#This Row],[FALLECIDO_COD]]=0,TODAY()-higado[[#This Row],[FECHA_TRASPLANTE]],higado[[#This Row],[FECHA DE DEFUNCIÓN]]-higado[[#This Row],[FECHA_TRASPLANTE]])</f>
        <v>983</v>
      </c>
      <c r="BV154" s="1">
        <f ca="1">IF(higado[[#This Row],[FALLECIDO_COD]]=0,TODAY()-higado[[#This Row],[FECHA_TRASPLANTE]],higado[[#This Row],[FECHA DE DEFUNCIÓN]]-higado[[#This Row],[FECHA_TRASPLANTE]])/30.4375</f>
        <v>32.295687885010267</v>
      </c>
      <c r="BW154" s="1">
        <f ca="1">IF(higado[[#This Row],[FALLECIDO_COD]]=0,TODAY()-higado[[#This Row],[FECHA_TRASPLANTE]],higado[[#This Row],[FECHA DE DEFUNCIÓN]]-higado[[#This Row],[FECHA_TRASPLANTE]])/365.25</f>
        <v>2.6913073237508556</v>
      </c>
    </row>
    <row r="155" spans="1:75" x14ac:dyDescent="0.35">
      <c r="A155" t="s">
        <v>377</v>
      </c>
      <c r="C155" t="s">
        <v>846</v>
      </c>
      <c r="D155" t="s">
        <v>380</v>
      </c>
      <c r="E155" t="s">
        <v>77</v>
      </c>
      <c r="G155" t="s">
        <v>210</v>
      </c>
      <c r="I155">
        <v>122.91854893908283</v>
      </c>
      <c r="J155" t="s">
        <v>77</v>
      </c>
      <c r="K155" t="s">
        <v>847</v>
      </c>
      <c r="L155" t="s">
        <v>848</v>
      </c>
      <c r="M155" t="s">
        <v>149</v>
      </c>
      <c r="N155">
        <v>108010001</v>
      </c>
      <c r="O155" s="18">
        <v>44896</v>
      </c>
      <c r="P155" t="s">
        <v>81</v>
      </c>
      <c r="Q155" s="2">
        <v>24591</v>
      </c>
      <c r="R155" s="1">
        <f>(higado[[#This Row],[FECHA_TRASPLANTE]]-higado[[#This Row],[FECHA_NAC]])/365.25</f>
        <v>55.592060232717316</v>
      </c>
      <c r="S155" t="s">
        <v>210</v>
      </c>
      <c r="U155" t="s">
        <v>849</v>
      </c>
      <c r="V155">
        <v>34</v>
      </c>
      <c r="W155" t="s">
        <v>82</v>
      </c>
      <c r="X155" t="s">
        <v>91</v>
      </c>
      <c r="Y155" t="s">
        <v>176</v>
      </c>
      <c r="Z155" t="s">
        <v>311</v>
      </c>
      <c r="AF155" t="s">
        <v>850</v>
      </c>
      <c r="AM155" t="s">
        <v>106</v>
      </c>
      <c r="AQ155" t="s">
        <v>358</v>
      </c>
      <c r="BO155" t="s">
        <v>851</v>
      </c>
      <c r="BP155" t="s">
        <v>81</v>
      </c>
      <c r="BQ155" t="s">
        <v>82</v>
      </c>
      <c r="BS155" s="17">
        <f>higado[[#This Row],[FECHA_TRASPLANTE]]</f>
        <v>44896</v>
      </c>
      <c r="BT155">
        <f>IF(higado[[#This Row],[FALLECIDO SI/NO]]="NO",0,1)</f>
        <v>0</v>
      </c>
      <c r="BU155" s="1">
        <f ca="1">IF(higado[[#This Row],[FALLECIDO_COD]]=0,TODAY()-higado[[#This Row],[FECHA_TRASPLANTE]],higado[[#This Row],[FECHA DE DEFUNCIÓN]]-higado[[#This Row],[FECHA_TRASPLANTE]])</f>
        <v>979</v>
      </c>
      <c r="BV155" s="1">
        <f ca="1">IF(higado[[#This Row],[FALLECIDO_COD]]=0,TODAY()-higado[[#This Row],[FECHA_TRASPLANTE]],higado[[#This Row],[FECHA DE DEFUNCIÓN]]-higado[[#This Row],[FECHA_TRASPLANTE]])/30.4375</f>
        <v>32.164271047227928</v>
      </c>
      <c r="BW155" s="1">
        <f ca="1">IF(higado[[#This Row],[FALLECIDO_COD]]=0,TODAY()-higado[[#This Row],[FECHA_TRASPLANTE]],higado[[#This Row],[FECHA DE DEFUNCIÓN]]-higado[[#This Row],[FECHA_TRASPLANTE]])/365.25</f>
        <v>2.6803559206023273</v>
      </c>
    </row>
    <row r="156" spans="1:75" x14ac:dyDescent="0.35">
      <c r="A156" t="s">
        <v>75</v>
      </c>
      <c r="B156" t="s">
        <v>75</v>
      </c>
      <c r="C156" t="s">
        <v>852</v>
      </c>
      <c r="D156" t="s">
        <v>380</v>
      </c>
      <c r="E156" t="s">
        <v>77</v>
      </c>
      <c r="H156">
        <v>38138</v>
      </c>
      <c r="I156">
        <v>18.543463381245722</v>
      </c>
      <c r="J156" t="s">
        <v>77</v>
      </c>
      <c r="K156" t="s">
        <v>853</v>
      </c>
      <c r="L156" t="s">
        <v>103</v>
      </c>
      <c r="M156" t="s">
        <v>208</v>
      </c>
      <c r="N156">
        <v>104840959</v>
      </c>
      <c r="O156" s="18">
        <v>44911</v>
      </c>
      <c r="P156" t="s">
        <v>81</v>
      </c>
      <c r="Q156" s="2">
        <v>20895</v>
      </c>
      <c r="R156" s="1">
        <f>(higado[[#This Row],[FECHA_TRASPLANTE]]-higado[[#This Row],[FECHA_NAC]])/365.25</f>
        <v>65.752224503764552</v>
      </c>
      <c r="S156" t="s">
        <v>205</v>
      </c>
      <c r="T156" s="2">
        <v>44565.643750000003</v>
      </c>
      <c r="U156" t="s">
        <v>394</v>
      </c>
      <c r="V156">
        <v>16</v>
      </c>
      <c r="W156" t="s">
        <v>82</v>
      </c>
      <c r="X156" t="s">
        <v>91</v>
      </c>
      <c r="Y156" t="s">
        <v>161</v>
      </c>
      <c r="Z156" t="s">
        <v>244</v>
      </c>
      <c r="AD156">
        <v>12</v>
      </c>
      <c r="AF156" t="s">
        <v>375</v>
      </c>
      <c r="AG156" t="s">
        <v>375</v>
      </c>
      <c r="AH156" t="s">
        <v>375</v>
      </c>
      <c r="AI156" t="s">
        <v>375</v>
      </c>
      <c r="AJ156" t="s">
        <v>762</v>
      </c>
      <c r="AK156" t="s">
        <v>761</v>
      </c>
      <c r="AM156" t="s">
        <v>106</v>
      </c>
      <c r="AN156" s="2" t="s">
        <v>762</v>
      </c>
      <c r="AO156" t="s">
        <v>762</v>
      </c>
      <c r="AQ156" t="s">
        <v>358</v>
      </c>
      <c r="AV156" t="s">
        <v>106</v>
      </c>
      <c r="AY156" t="s">
        <v>106</v>
      </c>
      <c r="BO156">
        <v>604860773</v>
      </c>
      <c r="BP156" t="s">
        <v>81</v>
      </c>
      <c r="BQ156" t="s">
        <v>82</v>
      </c>
      <c r="BS156" s="17">
        <f>higado[[#This Row],[FECHA_TRASPLANTE]]</f>
        <v>44911</v>
      </c>
      <c r="BT156">
        <f>IF(higado[[#This Row],[FALLECIDO SI/NO]]="NO",0,1)</f>
        <v>0</v>
      </c>
      <c r="BU156" s="1">
        <f ca="1">IF(higado[[#This Row],[FALLECIDO_COD]]=0,TODAY()-higado[[#This Row],[FECHA_TRASPLANTE]],higado[[#This Row],[FECHA DE DEFUNCIÓN]]-higado[[#This Row],[FECHA_TRASPLANTE]])</f>
        <v>964</v>
      </c>
      <c r="BV156" s="1">
        <f ca="1">IF(higado[[#This Row],[FALLECIDO_COD]]=0,TODAY()-higado[[#This Row],[FECHA_TRASPLANTE]],higado[[#This Row],[FECHA DE DEFUNCIÓN]]-higado[[#This Row],[FECHA_TRASPLANTE]])/30.4375</f>
        <v>31.671457905544148</v>
      </c>
      <c r="BW156" s="1">
        <f ca="1">IF(higado[[#This Row],[FALLECIDO_COD]]=0,TODAY()-higado[[#This Row],[FECHA_TRASPLANTE]],higado[[#This Row],[FECHA DE DEFUNCIÓN]]-higado[[#This Row],[FECHA_TRASPLANTE]])/365.25</f>
        <v>2.6392881587953458</v>
      </c>
    </row>
    <row r="157" spans="1:75" x14ac:dyDescent="0.35">
      <c r="A157" t="s">
        <v>75</v>
      </c>
      <c r="B157" t="s">
        <v>75</v>
      </c>
      <c r="C157" t="s">
        <v>854</v>
      </c>
      <c r="D157" t="s">
        <v>380</v>
      </c>
      <c r="E157" t="s">
        <v>77</v>
      </c>
      <c r="H157">
        <v>34699</v>
      </c>
      <c r="I157">
        <v>27.983572895277206</v>
      </c>
      <c r="J157" t="s">
        <v>77</v>
      </c>
      <c r="K157" t="s">
        <v>855</v>
      </c>
      <c r="L157" t="s">
        <v>856</v>
      </c>
      <c r="M157" t="s">
        <v>857</v>
      </c>
      <c r="N157">
        <v>1560100891</v>
      </c>
      <c r="O157" s="18">
        <v>44920</v>
      </c>
      <c r="P157" t="s">
        <v>81</v>
      </c>
      <c r="Q157" s="2">
        <v>20686</v>
      </c>
      <c r="R157" s="1">
        <f>(higado[[#This Row],[FECHA_TRASPLANTE]]-higado[[#This Row],[FECHA_NAC]])/365.25</f>
        <v>66.349075975359341</v>
      </c>
      <c r="S157" t="s">
        <v>200</v>
      </c>
      <c r="T157" s="2">
        <v>44420.444444444445</v>
      </c>
      <c r="U157" t="s">
        <v>394</v>
      </c>
      <c r="V157">
        <v>24</v>
      </c>
      <c r="W157" t="s">
        <v>858</v>
      </c>
      <c r="X157" t="s">
        <v>91</v>
      </c>
      <c r="Y157" t="s">
        <v>211</v>
      </c>
      <c r="Z157" t="s">
        <v>607</v>
      </c>
      <c r="AD157">
        <v>9</v>
      </c>
      <c r="AF157" t="s">
        <v>375</v>
      </c>
      <c r="AG157" t="s">
        <v>375</v>
      </c>
      <c r="AH157" t="s">
        <v>375</v>
      </c>
      <c r="AI157" t="s">
        <v>375</v>
      </c>
      <c r="AJ157" t="s">
        <v>762</v>
      </c>
      <c r="AK157" t="s">
        <v>761</v>
      </c>
      <c r="AM157" t="s">
        <v>106</v>
      </c>
      <c r="AN157" s="2" t="s">
        <v>762</v>
      </c>
      <c r="AO157" t="s">
        <v>762</v>
      </c>
      <c r="AQ157" t="s">
        <v>358</v>
      </c>
      <c r="AV157" t="s">
        <v>106</v>
      </c>
      <c r="AY157" t="s">
        <v>106</v>
      </c>
      <c r="BO157">
        <v>702330385</v>
      </c>
      <c r="BP157" t="s">
        <v>81</v>
      </c>
      <c r="BQ157" t="s">
        <v>82</v>
      </c>
      <c r="BS157" s="17">
        <f>higado[[#This Row],[FECHA_TRASPLANTE]]</f>
        <v>44920</v>
      </c>
      <c r="BT157">
        <f>IF(higado[[#This Row],[FALLECIDO SI/NO]]="NO",0,1)</f>
        <v>0</v>
      </c>
      <c r="BU157" s="1">
        <f ca="1">IF(higado[[#This Row],[FALLECIDO_COD]]=0,TODAY()-higado[[#This Row],[FECHA_TRASPLANTE]],higado[[#This Row],[FECHA DE DEFUNCIÓN]]-higado[[#This Row],[FECHA_TRASPLANTE]])</f>
        <v>955</v>
      </c>
      <c r="BV157" s="1">
        <f ca="1">IF(higado[[#This Row],[FALLECIDO_COD]]=0,TODAY()-higado[[#This Row],[FECHA_TRASPLANTE]],higado[[#This Row],[FECHA DE DEFUNCIÓN]]-higado[[#This Row],[FECHA_TRASPLANTE]])/30.4375</f>
        <v>31.375770020533881</v>
      </c>
      <c r="BW157" s="1">
        <f ca="1">IF(higado[[#This Row],[FALLECIDO_COD]]=0,TODAY()-higado[[#This Row],[FECHA_TRASPLANTE]],higado[[#This Row],[FECHA DE DEFUNCIÓN]]-higado[[#This Row],[FECHA_TRASPLANTE]])/365.25</f>
        <v>2.6146475017111568</v>
      </c>
    </row>
    <row r="158" spans="1:75" x14ac:dyDescent="0.35">
      <c r="A158" t="s">
        <v>376</v>
      </c>
      <c r="B158" t="s">
        <v>376</v>
      </c>
      <c r="C158">
        <v>44929</v>
      </c>
      <c r="D158" t="s">
        <v>380</v>
      </c>
      <c r="E158" t="s">
        <v>77</v>
      </c>
      <c r="F158" t="s">
        <v>106</v>
      </c>
      <c r="G158" t="s">
        <v>200</v>
      </c>
      <c r="H158" s="2">
        <v>42641</v>
      </c>
      <c r="I158" s="3">
        <f>(higado[[#This Row],[FECHA_TRASPLANTE]]-higado[[#This Row],[FECHA_NAC_D]])/365.25</f>
        <v>6.2642026009582477</v>
      </c>
      <c r="J158" t="s">
        <v>77</v>
      </c>
      <c r="K158" t="s">
        <v>819</v>
      </c>
      <c r="L158" t="s">
        <v>820</v>
      </c>
      <c r="M158" t="s">
        <v>228</v>
      </c>
      <c r="N158">
        <v>209440488</v>
      </c>
      <c r="O158" s="18">
        <v>44929</v>
      </c>
      <c r="P158" t="s">
        <v>90</v>
      </c>
      <c r="Q158" s="2">
        <v>40669</v>
      </c>
      <c r="R158" s="1">
        <f>(higado[[#This Row],[FECHA_TRASPLANTE]]-higado[[#This Row],[FECHA_NAC]])/365.25</f>
        <v>11.663244353182751</v>
      </c>
      <c r="S158" t="s">
        <v>200</v>
      </c>
      <c r="T158" s="2">
        <v>44929</v>
      </c>
      <c r="U158" t="s">
        <v>859</v>
      </c>
      <c r="V158">
        <v>25</v>
      </c>
      <c r="W158" t="s">
        <v>82</v>
      </c>
      <c r="X158" t="s">
        <v>115</v>
      </c>
      <c r="Y158" t="s">
        <v>115</v>
      </c>
      <c r="Z158" t="s">
        <v>822</v>
      </c>
      <c r="AF158" t="s">
        <v>823</v>
      </c>
      <c r="AM158" t="s">
        <v>86</v>
      </c>
      <c r="AN158" s="2">
        <v>45107</v>
      </c>
      <c r="AO158" t="s">
        <v>824</v>
      </c>
      <c r="AP158" t="s">
        <v>106</v>
      </c>
      <c r="AQ158" t="s">
        <v>358</v>
      </c>
      <c r="AY158" t="s">
        <v>106</v>
      </c>
      <c r="BO158" t="s">
        <v>825</v>
      </c>
      <c r="BP158" t="s">
        <v>90</v>
      </c>
      <c r="BQ158" t="s">
        <v>82</v>
      </c>
      <c r="BS158" s="17">
        <f>higado[[#This Row],[FECHA_TRASPLANTE]]</f>
        <v>44929</v>
      </c>
      <c r="BT158">
        <f>IF(higado[[#This Row],[FALLECIDO SI/NO]]="NO",0,1)</f>
        <v>1</v>
      </c>
      <c r="BU158" s="1">
        <f ca="1">IF(higado[[#This Row],[FALLECIDO_COD]]=0,TODAY()-higado[[#This Row],[FECHA_TRASPLANTE]],higado[[#This Row],[FECHA DE DEFUNCIÓN]]-higado[[#This Row],[FECHA_TRASPLANTE]])</f>
        <v>178</v>
      </c>
      <c r="BV158" s="1">
        <f ca="1">IF(higado[[#This Row],[FALLECIDO_COD]]=0,TODAY()-higado[[#This Row],[FECHA_TRASPLANTE]],higado[[#This Row],[FECHA DE DEFUNCIÓN]]-higado[[#This Row],[FECHA_TRASPLANTE]])/30.4375</f>
        <v>5.848049281314168</v>
      </c>
      <c r="BW158" s="1">
        <f ca="1">IF(higado[[#This Row],[FALLECIDO_COD]]=0,TODAY()-higado[[#This Row],[FECHA_TRASPLANTE]],higado[[#This Row],[FECHA DE DEFUNCIÓN]]-higado[[#This Row],[FECHA_TRASPLANTE]])/365.25</f>
        <v>0.48733744010951402</v>
      </c>
    </row>
    <row r="159" spans="1:75" x14ac:dyDescent="0.35">
      <c r="A159" t="s">
        <v>377</v>
      </c>
      <c r="C159" t="s">
        <v>860</v>
      </c>
      <c r="D159" t="s">
        <v>380</v>
      </c>
      <c r="E159" t="s">
        <v>77</v>
      </c>
      <c r="I159">
        <v>123.0561259411362</v>
      </c>
      <c r="J159" t="s">
        <v>77</v>
      </c>
      <c r="K159" t="s">
        <v>861</v>
      </c>
      <c r="L159" t="s">
        <v>753</v>
      </c>
      <c r="M159" t="s">
        <v>240</v>
      </c>
      <c r="N159">
        <v>105650607</v>
      </c>
      <c r="O159" s="18">
        <v>44946.25</v>
      </c>
      <c r="P159" t="s">
        <v>81</v>
      </c>
      <c r="Q159" s="2">
        <v>22543</v>
      </c>
      <c r="R159" s="1">
        <f>(higado[[#This Row],[FECHA_TRASPLANTE]]-higado[[#This Row],[FECHA_NAC]])/365.25</f>
        <v>61.336755646817245</v>
      </c>
      <c r="S159" t="s">
        <v>210</v>
      </c>
      <c r="U159" t="s">
        <v>862</v>
      </c>
      <c r="V159">
        <v>24</v>
      </c>
      <c r="W159" t="s">
        <v>82</v>
      </c>
      <c r="X159" t="s">
        <v>91</v>
      </c>
      <c r="Y159" t="s">
        <v>84</v>
      </c>
      <c r="Z159" t="s">
        <v>307</v>
      </c>
      <c r="AF159" t="s">
        <v>863</v>
      </c>
      <c r="AM159" t="s">
        <v>106</v>
      </c>
      <c r="AQ159" t="s">
        <v>358</v>
      </c>
      <c r="BS159" s="17">
        <f>higado[[#This Row],[FECHA_TRASPLANTE]]</f>
        <v>44946.25</v>
      </c>
      <c r="BT159">
        <f>IF(higado[[#This Row],[FALLECIDO SI/NO]]="NO",0,1)</f>
        <v>0</v>
      </c>
      <c r="BU159" s="1">
        <f ca="1">IF(higado[[#This Row],[FALLECIDO_COD]]=0,TODAY()-higado[[#This Row],[FECHA_TRASPLANTE]],higado[[#This Row],[FECHA DE DEFUNCIÓN]]-higado[[#This Row],[FECHA_TRASPLANTE]])</f>
        <v>928.75</v>
      </c>
      <c r="BV159" s="1">
        <f ca="1">IF(higado[[#This Row],[FALLECIDO_COD]]=0,TODAY()-higado[[#This Row],[FECHA_TRASPLANTE]],higado[[#This Row],[FECHA DE DEFUNCIÓN]]-higado[[#This Row],[FECHA_TRASPLANTE]])/30.4375</f>
        <v>30.513347022587268</v>
      </c>
      <c r="BW159" s="1">
        <f ca="1">IF(higado[[#This Row],[FALLECIDO_COD]]=0,TODAY()-higado[[#This Row],[FECHA_TRASPLANTE]],higado[[#This Row],[FECHA DE DEFUNCIÓN]]-higado[[#This Row],[FECHA_TRASPLANTE]])/365.25</f>
        <v>2.5427789185489389</v>
      </c>
    </row>
    <row r="160" spans="1:75" x14ac:dyDescent="0.35">
      <c r="A160" t="s">
        <v>75</v>
      </c>
      <c r="B160" t="s">
        <v>75</v>
      </c>
      <c r="C160" t="s">
        <v>864</v>
      </c>
      <c r="D160" t="s">
        <v>380</v>
      </c>
      <c r="E160" t="s">
        <v>77</v>
      </c>
      <c r="I160">
        <v>123.08624229979466</v>
      </c>
      <c r="J160" t="s">
        <v>77</v>
      </c>
      <c r="K160" t="s">
        <v>865</v>
      </c>
      <c r="L160" t="s">
        <v>866</v>
      </c>
      <c r="M160" t="s">
        <v>474</v>
      </c>
      <c r="N160">
        <v>700910994</v>
      </c>
      <c r="O160" s="18">
        <v>44957.25</v>
      </c>
      <c r="P160" t="s">
        <v>81</v>
      </c>
      <c r="Q160" s="2">
        <v>25144.25</v>
      </c>
      <c r="R160" s="1">
        <f>(higado[[#This Row],[FECHA_TRASPLANTE]]-higado[[#This Row],[FECHA_NAC]])/365.25</f>
        <v>54.245037645448321</v>
      </c>
      <c r="S160" t="s">
        <v>210</v>
      </c>
      <c r="T160" s="2">
        <v>44888.634027777778</v>
      </c>
      <c r="U160" t="s">
        <v>394</v>
      </c>
      <c r="V160">
        <v>15</v>
      </c>
      <c r="W160" t="s">
        <v>82</v>
      </c>
      <c r="X160" t="s">
        <v>110</v>
      </c>
      <c r="Y160" t="s">
        <v>110</v>
      </c>
      <c r="Z160" t="s">
        <v>867</v>
      </c>
      <c r="AD160">
        <v>9</v>
      </c>
      <c r="AF160" t="s">
        <v>375</v>
      </c>
      <c r="AG160" t="s">
        <v>375</v>
      </c>
      <c r="AH160" t="s">
        <v>375</v>
      </c>
      <c r="AI160" t="s">
        <v>375</v>
      </c>
      <c r="AJ160" t="s">
        <v>762</v>
      </c>
      <c r="AK160" t="s">
        <v>761</v>
      </c>
      <c r="AM160" t="s">
        <v>106</v>
      </c>
      <c r="AQ160" t="s">
        <v>358</v>
      </c>
      <c r="AV160" t="s">
        <v>106</v>
      </c>
      <c r="AY160" t="s">
        <v>106</v>
      </c>
      <c r="BS160" s="17">
        <f>higado[[#This Row],[FECHA_TRASPLANTE]]</f>
        <v>44957.25</v>
      </c>
      <c r="BT160">
        <f>IF(higado[[#This Row],[FALLECIDO SI/NO]]="NO",0,1)</f>
        <v>0</v>
      </c>
      <c r="BU160" s="1">
        <f ca="1">IF(higado[[#This Row],[FALLECIDO_COD]]=0,TODAY()-higado[[#This Row],[FECHA_TRASPLANTE]],higado[[#This Row],[FECHA DE DEFUNCIÓN]]-higado[[#This Row],[FECHA_TRASPLANTE]])</f>
        <v>917.75</v>
      </c>
      <c r="BV160" s="1">
        <f ca="1">IF(higado[[#This Row],[FALLECIDO_COD]]=0,TODAY()-higado[[#This Row],[FECHA_TRASPLANTE]],higado[[#This Row],[FECHA DE DEFUNCIÓN]]-higado[[#This Row],[FECHA_TRASPLANTE]])/30.4375</f>
        <v>30.151950718685832</v>
      </c>
      <c r="BW160" s="1">
        <f ca="1">IF(higado[[#This Row],[FALLECIDO_COD]]=0,TODAY()-higado[[#This Row],[FECHA_TRASPLANTE]],higado[[#This Row],[FECHA DE DEFUNCIÓN]]-higado[[#This Row],[FECHA_TRASPLANTE]])/365.25</f>
        <v>2.5126625598904861</v>
      </c>
    </row>
    <row r="161" spans="1:75" x14ac:dyDescent="0.35">
      <c r="A161" t="s">
        <v>75</v>
      </c>
      <c r="B161" t="s">
        <v>75</v>
      </c>
      <c r="C161" t="s">
        <v>868</v>
      </c>
      <c r="D161" t="s">
        <v>380</v>
      </c>
      <c r="E161" t="s">
        <v>77</v>
      </c>
      <c r="I161">
        <v>123.11909650924025</v>
      </c>
      <c r="J161" t="s">
        <v>77</v>
      </c>
      <c r="K161" t="s">
        <v>869</v>
      </c>
      <c r="L161" t="s">
        <v>94</v>
      </c>
      <c r="M161" t="s">
        <v>870</v>
      </c>
      <c r="N161">
        <v>105360599</v>
      </c>
      <c r="O161" s="18">
        <v>44969.25</v>
      </c>
      <c r="P161" t="s">
        <v>81</v>
      </c>
      <c r="Q161" s="2">
        <v>22132.25</v>
      </c>
      <c r="R161" s="1">
        <f>(higado[[#This Row],[FECHA_TRASPLANTE]]-higado[[#This Row],[FECHA_NAC]])/365.25</f>
        <v>62.5242984257358</v>
      </c>
      <c r="S161" t="s">
        <v>200</v>
      </c>
      <c r="T161" s="2">
        <v>44852.402777777781</v>
      </c>
      <c r="U161" t="s">
        <v>871</v>
      </c>
      <c r="V161">
        <v>34</v>
      </c>
      <c r="W161" t="s">
        <v>82</v>
      </c>
      <c r="X161" t="s">
        <v>91</v>
      </c>
      <c r="Y161" t="s">
        <v>91</v>
      </c>
      <c r="Z161" t="s">
        <v>450</v>
      </c>
      <c r="AD161">
        <v>7</v>
      </c>
      <c r="AF161" t="s">
        <v>375</v>
      </c>
      <c r="AG161" t="s">
        <v>375</v>
      </c>
      <c r="AH161" t="s">
        <v>375</v>
      </c>
      <c r="AI161" t="s">
        <v>375</v>
      </c>
      <c r="AJ161" t="s">
        <v>762</v>
      </c>
      <c r="AK161" t="s">
        <v>761</v>
      </c>
      <c r="AM161" t="s">
        <v>106</v>
      </c>
      <c r="AQ161" t="s">
        <v>358</v>
      </c>
      <c r="AV161" t="s">
        <v>106</v>
      </c>
      <c r="AY161" t="s">
        <v>106</v>
      </c>
      <c r="BS161" s="17">
        <f>higado[[#This Row],[FECHA_TRASPLANTE]]</f>
        <v>44969.25</v>
      </c>
      <c r="BT161">
        <f>IF(higado[[#This Row],[FALLECIDO SI/NO]]="NO",0,1)</f>
        <v>0</v>
      </c>
      <c r="BU161" s="1">
        <f ca="1">IF(higado[[#This Row],[FALLECIDO_COD]]=0,TODAY()-higado[[#This Row],[FECHA_TRASPLANTE]],higado[[#This Row],[FECHA DE DEFUNCIÓN]]-higado[[#This Row],[FECHA_TRASPLANTE]])</f>
        <v>905.75</v>
      </c>
      <c r="BV161" s="1">
        <f ca="1">IF(higado[[#This Row],[FALLECIDO_COD]]=0,TODAY()-higado[[#This Row],[FECHA_TRASPLANTE]],higado[[#This Row],[FECHA DE DEFUNCIÓN]]-higado[[#This Row],[FECHA_TRASPLANTE]])/30.4375</f>
        <v>29.757700205338811</v>
      </c>
      <c r="BW161" s="1">
        <f ca="1">IF(higado[[#This Row],[FALLECIDO_COD]]=0,TODAY()-higado[[#This Row],[FECHA_TRASPLANTE]],higado[[#This Row],[FECHA DE DEFUNCIÓN]]-higado[[#This Row],[FECHA_TRASPLANTE]])/365.25</f>
        <v>2.4798083504449009</v>
      </c>
    </row>
    <row r="162" spans="1:75" x14ac:dyDescent="0.35">
      <c r="A162" t="s">
        <v>376</v>
      </c>
      <c r="B162" t="s">
        <v>376</v>
      </c>
      <c r="C162" t="s">
        <v>872</v>
      </c>
      <c r="D162" t="s">
        <v>380</v>
      </c>
      <c r="E162" t="s">
        <v>77</v>
      </c>
      <c r="H162" s="2"/>
      <c r="I162" s="3">
        <f>(higado[[#This Row],[FECHA_TRASPLANTE]]-higado[[#This Row],[FECHA_NAC_D]])/365.25</f>
        <v>123.16563997262149</v>
      </c>
      <c r="J162" t="s">
        <v>77</v>
      </c>
      <c r="K162" t="s">
        <v>873</v>
      </c>
      <c r="L162" t="s">
        <v>240</v>
      </c>
      <c r="M162" t="s">
        <v>874</v>
      </c>
      <c r="N162">
        <v>403460181</v>
      </c>
      <c r="O162" s="18">
        <v>44986.25</v>
      </c>
      <c r="P162" t="s">
        <v>81</v>
      </c>
      <c r="Q162" s="2">
        <v>44799</v>
      </c>
      <c r="R162" s="1">
        <f>(higado[[#This Row],[FECHA_TRASPLANTE]]-higado[[#This Row],[FECHA_NAC]])/365.25</f>
        <v>0.51266255989048592</v>
      </c>
      <c r="S162" t="s">
        <v>200</v>
      </c>
      <c r="U162" t="s">
        <v>875</v>
      </c>
      <c r="V162">
        <v>15</v>
      </c>
      <c r="W162" t="s">
        <v>82</v>
      </c>
      <c r="X162" t="s">
        <v>261</v>
      </c>
      <c r="Y162" t="s">
        <v>680</v>
      </c>
      <c r="Z162" t="s">
        <v>680</v>
      </c>
      <c r="AD162">
        <v>3</v>
      </c>
      <c r="AF162" t="s">
        <v>876</v>
      </c>
      <c r="AM162" t="s">
        <v>86</v>
      </c>
      <c r="AN162" s="2">
        <v>44988</v>
      </c>
      <c r="AO162" t="s">
        <v>877</v>
      </c>
      <c r="AQ162" t="s">
        <v>358</v>
      </c>
      <c r="AY162" t="s">
        <v>106</v>
      </c>
      <c r="BS162" s="17">
        <f>higado[[#This Row],[FECHA_TRASPLANTE]]</f>
        <v>44986.25</v>
      </c>
      <c r="BT162">
        <f>IF(higado[[#This Row],[FALLECIDO SI/NO]]="NO",0,1)</f>
        <v>1</v>
      </c>
      <c r="BU162" s="1">
        <f ca="1">IF(higado[[#This Row],[FALLECIDO_COD]]=0,TODAY()-higado[[#This Row],[FECHA_TRASPLANTE]],higado[[#This Row],[FECHA DE DEFUNCIÓN]]-higado[[#This Row],[FECHA_TRASPLANTE]])</f>
        <v>1.75</v>
      </c>
      <c r="BV162" s="1">
        <f ca="1">IF(higado[[#This Row],[FALLECIDO_COD]]=0,TODAY()-higado[[#This Row],[FECHA_TRASPLANTE]],higado[[#This Row],[FECHA DE DEFUNCIÓN]]-higado[[#This Row],[FECHA_TRASPLANTE]])/30.4375</f>
        <v>5.7494866529774126E-2</v>
      </c>
      <c r="BW162" s="1">
        <f ca="1">IF(higado[[#This Row],[FALLECIDO_COD]]=0,TODAY()-higado[[#This Row],[FECHA_TRASPLANTE]],higado[[#This Row],[FECHA DE DEFUNCIÓN]]-higado[[#This Row],[FECHA_TRASPLANTE]])/365.25</f>
        <v>4.7912388774811769E-3</v>
      </c>
    </row>
    <row r="163" spans="1:75" x14ac:dyDescent="0.35">
      <c r="A163" t="s">
        <v>75</v>
      </c>
      <c r="B163" t="s">
        <v>75</v>
      </c>
      <c r="C163" t="s">
        <v>878</v>
      </c>
      <c r="D163" t="s">
        <v>380</v>
      </c>
      <c r="E163" t="s">
        <v>77</v>
      </c>
      <c r="I163">
        <v>123.20670773442848</v>
      </c>
      <c r="J163" t="s">
        <v>77</v>
      </c>
      <c r="K163" t="s">
        <v>879</v>
      </c>
      <c r="L163" t="s">
        <v>388</v>
      </c>
      <c r="M163" t="s">
        <v>880</v>
      </c>
      <c r="N163">
        <v>105750945</v>
      </c>
      <c r="O163" s="18">
        <v>45001.25</v>
      </c>
      <c r="P163" t="s">
        <v>81</v>
      </c>
      <c r="Q163" s="2">
        <v>22735.25</v>
      </c>
      <c r="R163" s="1">
        <f>(higado[[#This Row],[FECHA_TRASPLANTE]]-higado[[#This Row],[FECHA_NAC]])/365.25</f>
        <v>60.960985626283367</v>
      </c>
      <c r="S163" t="s">
        <v>344</v>
      </c>
      <c r="T163" s="2">
        <v>44967.505555555559</v>
      </c>
      <c r="U163" t="s">
        <v>394</v>
      </c>
      <c r="V163">
        <v>18</v>
      </c>
      <c r="W163" t="s">
        <v>82</v>
      </c>
      <c r="X163" t="s">
        <v>91</v>
      </c>
      <c r="Y163" t="s">
        <v>211</v>
      </c>
      <c r="Z163" t="s">
        <v>607</v>
      </c>
      <c r="AD163">
        <v>5</v>
      </c>
      <c r="AF163" t="s">
        <v>375</v>
      </c>
      <c r="AG163" t="s">
        <v>375</v>
      </c>
      <c r="AH163" t="s">
        <v>375</v>
      </c>
      <c r="AI163" t="s">
        <v>375</v>
      </c>
      <c r="AJ163" t="s">
        <v>762</v>
      </c>
      <c r="AK163" t="s">
        <v>761</v>
      </c>
      <c r="AM163" t="s">
        <v>106</v>
      </c>
      <c r="AQ163" t="s">
        <v>358</v>
      </c>
      <c r="AV163" t="s">
        <v>106</v>
      </c>
      <c r="AY163" t="s">
        <v>106</v>
      </c>
      <c r="BS163" s="17">
        <f>higado[[#This Row],[FECHA_TRASPLANTE]]</f>
        <v>45001.25</v>
      </c>
      <c r="BT163">
        <f>IF(higado[[#This Row],[FALLECIDO SI/NO]]="NO",0,1)</f>
        <v>0</v>
      </c>
      <c r="BU163" s="1">
        <f ca="1">IF(higado[[#This Row],[FALLECIDO_COD]]=0,TODAY()-higado[[#This Row],[FECHA_TRASPLANTE]],higado[[#This Row],[FECHA DE DEFUNCIÓN]]-higado[[#This Row],[FECHA_TRASPLANTE]])</f>
        <v>873.75</v>
      </c>
      <c r="BV163" s="1">
        <f ca="1">IF(higado[[#This Row],[FALLECIDO_COD]]=0,TODAY()-higado[[#This Row],[FECHA_TRASPLANTE]],higado[[#This Row],[FECHA DE DEFUNCIÓN]]-higado[[#This Row],[FECHA_TRASPLANTE]])/30.4375</f>
        <v>28.706365503080082</v>
      </c>
      <c r="BW163" s="1">
        <f ca="1">IF(higado[[#This Row],[FALLECIDO_COD]]=0,TODAY()-higado[[#This Row],[FECHA_TRASPLANTE]],higado[[#This Row],[FECHA DE DEFUNCIÓN]]-higado[[#This Row],[FECHA_TRASPLANTE]])/365.25</f>
        <v>2.3921971252566734</v>
      </c>
    </row>
    <row r="164" spans="1:75" x14ac:dyDescent="0.35">
      <c r="A164" t="s">
        <v>75</v>
      </c>
      <c r="B164" t="s">
        <v>75</v>
      </c>
      <c r="C164" t="s">
        <v>762</v>
      </c>
      <c r="D164" t="s">
        <v>380</v>
      </c>
      <c r="E164" t="s">
        <v>375</v>
      </c>
      <c r="G164" t="s">
        <v>210</v>
      </c>
      <c r="H164">
        <v>33206.25</v>
      </c>
      <c r="I164">
        <v>32.364134154688571</v>
      </c>
      <c r="J164" t="s">
        <v>746</v>
      </c>
      <c r="K164" t="s">
        <v>881</v>
      </c>
      <c r="L164" t="s">
        <v>882</v>
      </c>
      <c r="M164" t="s">
        <v>883</v>
      </c>
      <c r="N164">
        <v>800590278</v>
      </c>
      <c r="O164" s="18">
        <v>45027.25</v>
      </c>
      <c r="P164" t="s">
        <v>90</v>
      </c>
      <c r="Q164" s="2">
        <v>22826.25</v>
      </c>
      <c r="R164" s="1">
        <f>(higado[[#This Row],[FECHA_TRASPLANTE]]-higado[[#This Row],[FECHA_NAC]])/365.25</f>
        <v>60.78302532511978</v>
      </c>
      <c r="S164" t="s">
        <v>210</v>
      </c>
      <c r="T164" s="2">
        <v>44802.414583333331</v>
      </c>
      <c r="U164" t="s">
        <v>445</v>
      </c>
      <c r="V164">
        <v>17</v>
      </c>
      <c r="W164" t="s">
        <v>82</v>
      </c>
      <c r="X164" t="s">
        <v>91</v>
      </c>
      <c r="Y164" t="s">
        <v>91</v>
      </c>
      <c r="Z164" t="s">
        <v>450</v>
      </c>
      <c r="AD164">
        <v>6</v>
      </c>
      <c r="AF164" t="s">
        <v>375</v>
      </c>
      <c r="AG164" t="s">
        <v>375</v>
      </c>
      <c r="AH164" t="s">
        <v>375</v>
      </c>
      <c r="AI164" t="s">
        <v>375</v>
      </c>
      <c r="AJ164" t="s">
        <v>762</v>
      </c>
      <c r="AK164" t="s">
        <v>761</v>
      </c>
      <c r="AM164" t="s">
        <v>106</v>
      </c>
      <c r="AQ164" t="s">
        <v>358</v>
      </c>
      <c r="AV164" t="s">
        <v>106</v>
      </c>
      <c r="AY164" t="s">
        <v>106</v>
      </c>
      <c r="BO164">
        <v>114480667</v>
      </c>
      <c r="BP164" t="s">
        <v>90</v>
      </c>
      <c r="BQ164" t="s">
        <v>82</v>
      </c>
      <c r="BS164" s="17">
        <f>higado[[#This Row],[FECHA_TRASPLANTE]]</f>
        <v>45027.25</v>
      </c>
      <c r="BT164">
        <f>IF(higado[[#This Row],[FALLECIDO SI/NO]]="NO",0,1)</f>
        <v>0</v>
      </c>
      <c r="BU164" s="1">
        <f ca="1">IF(higado[[#This Row],[FALLECIDO_COD]]=0,TODAY()-higado[[#This Row],[FECHA_TRASPLANTE]],higado[[#This Row],[FECHA DE DEFUNCIÓN]]-higado[[#This Row],[FECHA_TRASPLANTE]])</f>
        <v>847.75</v>
      </c>
      <c r="BV164" s="1">
        <f ca="1">IF(higado[[#This Row],[FALLECIDO_COD]]=0,TODAY()-higado[[#This Row],[FECHA_TRASPLANTE]],higado[[#This Row],[FECHA DE DEFUNCIÓN]]-higado[[#This Row],[FECHA_TRASPLANTE]])/30.4375</f>
        <v>27.852156057494867</v>
      </c>
      <c r="BW164" s="1">
        <f ca="1">IF(higado[[#This Row],[FALLECIDO_COD]]=0,TODAY()-higado[[#This Row],[FECHA_TRASPLANTE]],higado[[#This Row],[FECHA DE DEFUNCIÓN]]-higado[[#This Row],[FECHA_TRASPLANTE]])/365.25</f>
        <v>2.3210130047912387</v>
      </c>
    </row>
    <row r="165" spans="1:75" x14ac:dyDescent="0.35">
      <c r="A165" t="s">
        <v>75</v>
      </c>
      <c r="B165" t="s">
        <v>75</v>
      </c>
      <c r="C165" t="s">
        <v>281</v>
      </c>
      <c r="D165" t="s">
        <v>380</v>
      </c>
      <c r="E165" t="s">
        <v>77</v>
      </c>
      <c r="I165">
        <v>123.31622176591375</v>
      </c>
      <c r="J165" t="s">
        <v>77</v>
      </c>
      <c r="K165" t="s">
        <v>884</v>
      </c>
      <c r="L165" t="s">
        <v>526</v>
      </c>
      <c r="M165" t="s">
        <v>108</v>
      </c>
      <c r="N165">
        <v>111370504</v>
      </c>
      <c r="O165" s="18">
        <v>45041.25</v>
      </c>
      <c r="P165" t="s">
        <v>81</v>
      </c>
      <c r="Q165" s="2">
        <v>30060.25</v>
      </c>
      <c r="R165" s="1">
        <f>(higado[[#This Row],[FECHA_TRASPLANTE]]-higado[[#This Row],[FECHA_NAC]])/365.25</f>
        <v>41.015742642026012</v>
      </c>
      <c r="S165" t="s">
        <v>200</v>
      </c>
      <c r="T165" s="2">
        <v>45008.427083333336</v>
      </c>
      <c r="U165" t="s">
        <v>885</v>
      </c>
      <c r="V165">
        <v>22</v>
      </c>
      <c r="W165" t="s">
        <v>82</v>
      </c>
      <c r="X165" t="s">
        <v>91</v>
      </c>
      <c r="Y165" t="s">
        <v>498</v>
      </c>
      <c r="Z165" t="s">
        <v>510</v>
      </c>
      <c r="AD165">
        <v>6</v>
      </c>
      <c r="AF165" t="s">
        <v>375</v>
      </c>
      <c r="AG165" t="s">
        <v>375</v>
      </c>
      <c r="AH165" t="s">
        <v>375</v>
      </c>
      <c r="AI165" t="s">
        <v>375</v>
      </c>
      <c r="AJ165" t="s">
        <v>762</v>
      </c>
      <c r="AK165" t="s">
        <v>761</v>
      </c>
      <c r="AM165" t="s">
        <v>106</v>
      </c>
      <c r="AQ165" t="s">
        <v>358</v>
      </c>
      <c r="AV165" t="s">
        <v>106</v>
      </c>
      <c r="AY165" t="s">
        <v>106</v>
      </c>
      <c r="BS165" s="17">
        <f>higado[[#This Row],[FECHA_TRASPLANTE]]</f>
        <v>45041.25</v>
      </c>
      <c r="BT165">
        <f>IF(higado[[#This Row],[FALLECIDO SI/NO]]="NO",0,1)</f>
        <v>0</v>
      </c>
      <c r="BU165" s="1">
        <f ca="1">IF(higado[[#This Row],[FALLECIDO_COD]]=0,TODAY()-higado[[#This Row],[FECHA_TRASPLANTE]],higado[[#This Row],[FECHA DE DEFUNCIÓN]]-higado[[#This Row],[FECHA_TRASPLANTE]])</f>
        <v>833.75</v>
      </c>
      <c r="BV165" s="1">
        <f ca="1">IF(higado[[#This Row],[FALLECIDO_COD]]=0,TODAY()-higado[[#This Row],[FECHA_TRASPLANTE]],higado[[#This Row],[FECHA DE DEFUNCIÓN]]-higado[[#This Row],[FECHA_TRASPLANTE]])/30.4375</f>
        <v>27.392197125256672</v>
      </c>
      <c r="BW165" s="1">
        <f ca="1">IF(higado[[#This Row],[FALLECIDO_COD]]=0,TODAY()-higado[[#This Row],[FECHA_TRASPLANTE]],higado[[#This Row],[FECHA DE DEFUNCIÓN]]-higado[[#This Row],[FECHA_TRASPLANTE]])/365.25</f>
        <v>2.2826830937713893</v>
      </c>
    </row>
    <row r="166" spans="1:75" x14ac:dyDescent="0.35">
      <c r="A166" t="s">
        <v>376</v>
      </c>
      <c r="B166" t="s">
        <v>376</v>
      </c>
      <c r="D166" t="s">
        <v>380</v>
      </c>
      <c r="E166" t="s">
        <v>375</v>
      </c>
      <c r="G166" t="s">
        <v>200</v>
      </c>
      <c r="H166">
        <v>32095.25</v>
      </c>
      <c r="I166">
        <v>35.449691991786445</v>
      </c>
      <c r="J166" t="s">
        <v>746</v>
      </c>
      <c r="K166" t="s">
        <v>886</v>
      </c>
      <c r="L166" t="s">
        <v>103</v>
      </c>
      <c r="M166" t="s">
        <v>229</v>
      </c>
      <c r="N166">
        <v>123560686</v>
      </c>
      <c r="O166" s="18">
        <v>45043.25</v>
      </c>
      <c r="P166" t="s">
        <v>81</v>
      </c>
      <c r="Q166" s="2">
        <v>44033</v>
      </c>
      <c r="R166" s="1">
        <f>(higado[[#This Row],[FECHA_TRASPLANTE]]-higado[[#This Row],[FECHA_NAC]])/365.25</f>
        <v>2.7659137577002055</v>
      </c>
      <c r="S166" t="s">
        <v>200</v>
      </c>
      <c r="U166" t="s">
        <v>887</v>
      </c>
      <c r="V166">
        <v>-3</v>
      </c>
      <c r="W166" t="s">
        <v>82</v>
      </c>
      <c r="X166" t="s">
        <v>91</v>
      </c>
      <c r="Y166" t="s">
        <v>152</v>
      </c>
      <c r="Z166" t="s">
        <v>888</v>
      </c>
      <c r="AD166">
        <v>10</v>
      </c>
      <c r="AF166" t="s">
        <v>816</v>
      </c>
      <c r="AM166" t="s">
        <v>106</v>
      </c>
      <c r="AQ166" t="s">
        <v>358</v>
      </c>
      <c r="AY166" t="s">
        <v>106</v>
      </c>
      <c r="BO166">
        <v>113360604</v>
      </c>
      <c r="BP166" t="s">
        <v>81</v>
      </c>
      <c r="BQ166" t="s">
        <v>82</v>
      </c>
      <c r="BS166" s="17">
        <f>higado[[#This Row],[FECHA_TRASPLANTE]]</f>
        <v>45043.25</v>
      </c>
      <c r="BT166">
        <f>IF(higado[[#This Row],[FALLECIDO SI/NO]]="NO",0,1)</f>
        <v>0</v>
      </c>
      <c r="BU166" s="1">
        <f ca="1">IF(higado[[#This Row],[FALLECIDO_COD]]=0,TODAY()-higado[[#This Row],[FECHA_TRASPLANTE]],higado[[#This Row],[FECHA DE DEFUNCIÓN]]-higado[[#This Row],[FECHA_TRASPLANTE]])</f>
        <v>831.75</v>
      </c>
      <c r="BV166" s="1">
        <f ca="1">IF(higado[[#This Row],[FALLECIDO_COD]]=0,TODAY()-higado[[#This Row],[FECHA_TRASPLANTE]],higado[[#This Row],[FECHA DE DEFUNCIÓN]]-higado[[#This Row],[FECHA_TRASPLANTE]])/30.4375</f>
        <v>27.326488706365502</v>
      </c>
      <c r="BW166" s="1">
        <f ca="1">IF(higado[[#This Row],[FALLECIDO_COD]]=0,TODAY()-higado[[#This Row],[FECHA_TRASPLANTE]],higado[[#This Row],[FECHA DE DEFUNCIÓN]]-higado[[#This Row],[FECHA_TRASPLANTE]])/365.25</f>
        <v>2.2772073921971252</v>
      </c>
    </row>
    <row r="167" spans="1:75" x14ac:dyDescent="0.35">
      <c r="A167" t="s">
        <v>377</v>
      </c>
      <c r="C167" t="s">
        <v>889</v>
      </c>
      <c r="D167" t="s">
        <v>380</v>
      </c>
      <c r="E167" t="s">
        <v>77</v>
      </c>
      <c r="I167">
        <v>123.35728952772074</v>
      </c>
      <c r="J167" t="s">
        <v>77</v>
      </c>
      <c r="K167" t="s">
        <v>890</v>
      </c>
      <c r="L167" t="s">
        <v>891</v>
      </c>
      <c r="M167" t="s">
        <v>815</v>
      </c>
      <c r="N167">
        <v>504230919</v>
      </c>
      <c r="O167" s="18">
        <v>45056.25</v>
      </c>
      <c r="P167" t="s">
        <v>81</v>
      </c>
      <c r="Q167" s="2">
        <v>36058.25</v>
      </c>
      <c r="R167" s="1">
        <f>(higado[[#This Row],[FECHA_TRASPLANTE]]-higado[[#This Row],[FECHA_NAC]])/365.25</f>
        <v>24.635181382614647</v>
      </c>
      <c r="S167" t="s">
        <v>210</v>
      </c>
      <c r="U167" t="s">
        <v>892</v>
      </c>
      <c r="V167">
        <v>25</v>
      </c>
      <c r="X167" t="s">
        <v>125</v>
      </c>
      <c r="Y167" t="s">
        <v>297</v>
      </c>
      <c r="Z167" t="s">
        <v>893</v>
      </c>
      <c r="AF167" t="s">
        <v>850</v>
      </c>
      <c r="AM167" t="s">
        <v>106</v>
      </c>
      <c r="AQ167" t="s">
        <v>358</v>
      </c>
      <c r="BS167" s="17">
        <f>higado[[#This Row],[FECHA_TRASPLANTE]]</f>
        <v>45056.25</v>
      </c>
      <c r="BT167">
        <f>IF(higado[[#This Row],[FALLECIDO SI/NO]]="NO",0,1)</f>
        <v>0</v>
      </c>
      <c r="BU167" s="1">
        <f ca="1">IF(higado[[#This Row],[FALLECIDO_COD]]=0,TODAY()-higado[[#This Row],[FECHA_TRASPLANTE]],higado[[#This Row],[FECHA DE DEFUNCIÓN]]-higado[[#This Row],[FECHA_TRASPLANTE]])</f>
        <v>818.75</v>
      </c>
      <c r="BV167" s="1">
        <f ca="1">IF(higado[[#This Row],[FALLECIDO_COD]]=0,TODAY()-higado[[#This Row],[FECHA_TRASPLANTE]],higado[[#This Row],[FECHA DE DEFUNCIÓN]]-higado[[#This Row],[FECHA_TRASPLANTE]])/30.4375</f>
        <v>26.899383983572896</v>
      </c>
      <c r="BW167" s="1">
        <f ca="1">IF(higado[[#This Row],[FALLECIDO_COD]]=0,TODAY()-higado[[#This Row],[FECHA_TRASPLANTE]],higado[[#This Row],[FECHA DE DEFUNCIÓN]]-higado[[#This Row],[FECHA_TRASPLANTE]])/365.25</f>
        <v>2.2416153319644079</v>
      </c>
    </row>
    <row r="168" spans="1:75" x14ac:dyDescent="0.35">
      <c r="A168" t="s">
        <v>75</v>
      </c>
      <c r="B168" t="s">
        <v>75</v>
      </c>
      <c r="C168" t="s">
        <v>894</v>
      </c>
      <c r="D168" t="s">
        <v>380</v>
      </c>
      <c r="E168" t="s">
        <v>77</v>
      </c>
      <c r="I168">
        <v>123.46406570841889</v>
      </c>
      <c r="J168" t="s">
        <v>77</v>
      </c>
      <c r="K168" t="s">
        <v>895</v>
      </c>
      <c r="L168" t="s">
        <v>233</v>
      </c>
      <c r="M168" t="s">
        <v>403</v>
      </c>
      <c r="N168">
        <v>106570235</v>
      </c>
      <c r="O168" s="18">
        <v>45095.25</v>
      </c>
      <c r="P168" t="s">
        <v>81</v>
      </c>
      <c r="Q168" s="2">
        <v>24639.25</v>
      </c>
      <c r="R168" s="1">
        <f>(higado[[#This Row],[FECHA_TRASPLANTE]]-higado[[#This Row],[FECHA_NAC]])/365.25</f>
        <v>56.005475701574262</v>
      </c>
      <c r="S168" t="s">
        <v>896</v>
      </c>
      <c r="T168" s="2">
        <v>44978.817361111112</v>
      </c>
      <c r="U168" t="s">
        <v>871</v>
      </c>
      <c r="V168">
        <v>28</v>
      </c>
      <c r="W168" t="s">
        <v>82</v>
      </c>
      <c r="X168" t="s">
        <v>91</v>
      </c>
      <c r="Y168" t="s">
        <v>151</v>
      </c>
      <c r="Z168" t="s">
        <v>247</v>
      </c>
      <c r="AD168">
        <v>6</v>
      </c>
      <c r="AF168" t="s">
        <v>375</v>
      </c>
      <c r="AG168" t="s">
        <v>375</v>
      </c>
      <c r="AH168" t="s">
        <v>375</v>
      </c>
      <c r="AI168" t="s">
        <v>375</v>
      </c>
      <c r="AJ168" t="s">
        <v>762</v>
      </c>
      <c r="AK168" t="s">
        <v>761</v>
      </c>
      <c r="AM168" t="s">
        <v>106</v>
      </c>
      <c r="AQ168" t="s">
        <v>358</v>
      </c>
      <c r="AV168" t="s">
        <v>106</v>
      </c>
      <c r="AY168" t="s">
        <v>106</v>
      </c>
      <c r="BS168" s="17">
        <f>higado[[#This Row],[FECHA_TRASPLANTE]]</f>
        <v>45095.25</v>
      </c>
      <c r="BT168">
        <f>IF(higado[[#This Row],[FALLECIDO SI/NO]]="NO",0,1)</f>
        <v>0</v>
      </c>
      <c r="BU168" s="1">
        <f ca="1">IF(higado[[#This Row],[FALLECIDO_COD]]=0,TODAY()-higado[[#This Row],[FECHA_TRASPLANTE]],higado[[#This Row],[FECHA DE DEFUNCIÓN]]-higado[[#This Row],[FECHA_TRASPLANTE]])</f>
        <v>779.75</v>
      </c>
      <c r="BV168" s="1">
        <f ca="1">IF(higado[[#This Row],[FALLECIDO_COD]]=0,TODAY()-higado[[#This Row],[FECHA_TRASPLANTE]],higado[[#This Row],[FECHA DE DEFUNCIÓN]]-higado[[#This Row],[FECHA_TRASPLANTE]])/30.4375</f>
        <v>25.618069815195071</v>
      </c>
      <c r="BW168" s="1">
        <f ca="1">IF(higado[[#This Row],[FALLECIDO_COD]]=0,TODAY()-higado[[#This Row],[FECHA_TRASPLANTE]],higado[[#This Row],[FECHA DE DEFUNCIÓN]]-higado[[#This Row],[FECHA_TRASPLANTE]])/365.25</f>
        <v>2.1348391512662559</v>
      </c>
    </row>
    <row r="169" spans="1:75" x14ac:dyDescent="0.35">
      <c r="A169" t="s">
        <v>75</v>
      </c>
      <c r="B169" t="s">
        <v>75</v>
      </c>
      <c r="C169" t="s">
        <v>293</v>
      </c>
      <c r="D169" t="s">
        <v>380</v>
      </c>
      <c r="E169" t="s">
        <v>77</v>
      </c>
      <c r="I169">
        <v>123.53798767967146</v>
      </c>
      <c r="J169" t="s">
        <v>77</v>
      </c>
      <c r="K169" t="s">
        <v>861</v>
      </c>
      <c r="L169" t="s">
        <v>897</v>
      </c>
      <c r="M169" t="s">
        <v>474</v>
      </c>
      <c r="N169">
        <v>109570767</v>
      </c>
      <c r="O169" s="18">
        <v>45122.25</v>
      </c>
      <c r="P169" t="s">
        <v>81</v>
      </c>
      <c r="Q169" s="2">
        <v>28128.25</v>
      </c>
      <c r="R169" s="1">
        <f>(higado[[#This Row],[FECHA_TRASPLANTE]]-higado[[#This Row],[FECHA_NAC]])/365.25</f>
        <v>46.527036276522928</v>
      </c>
      <c r="S169" t="s">
        <v>200</v>
      </c>
      <c r="T169" s="2">
        <v>45106.645138888889</v>
      </c>
      <c r="U169" t="s">
        <v>898</v>
      </c>
      <c r="V169">
        <v>31</v>
      </c>
      <c r="W169" t="s">
        <v>82</v>
      </c>
      <c r="X169" t="s">
        <v>91</v>
      </c>
      <c r="Y169" t="s">
        <v>91</v>
      </c>
      <c r="Z169" t="s">
        <v>598</v>
      </c>
      <c r="AD169">
        <v>10</v>
      </c>
      <c r="AF169" t="s">
        <v>375</v>
      </c>
      <c r="AG169" t="s">
        <v>375</v>
      </c>
      <c r="AH169" t="s">
        <v>375</v>
      </c>
      <c r="AI169" t="s">
        <v>375</v>
      </c>
      <c r="AJ169" t="s">
        <v>762</v>
      </c>
      <c r="AK169" t="s">
        <v>761</v>
      </c>
      <c r="AM169" t="s">
        <v>106</v>
      </c>
      <c r="AQ169" t="s">
        <v>358</v>
      </c>
      <c r="AV169" t="s">
        <v>106</v>
      </c>
      <c r="AY169" t="s">
        <v>106</v>
      </c>
      <c r="BS169" s="17">
        <f>higado[[#This Row],[FECHA_TRASPLANTE]]</f>
        <v>45122.25</v>
      </c>
      <c r="BT169">
        <f>IF(higado[[#This Row],[FALLECIDO SI/NO]]="NO",0,1)</f>
        <v>0</v>
      </c>
      <c r="BU169" s="1">
        <f ca="1">IF(higado[[#This Row],[FALLECIDO_COD]]=0,TODAY()-higado[[#This Row],[FECHA_TRASPLANTE]],higado[[#This Row],[FECHA DE DEFUNCIÓN]]-higado[[#This Row],[FECHA_TRASPLANTE]])</f>
        <v>752.75</v>
      </c>
      <c r="BV169" s="1">
        <f ca="1">IF(higado[[#This Row],[FALLECIDO_COD]]=0,TODAY()-higado[[#This Row],[FECHA_TRASPLANTE]],higado[[#This Row],[FECHA DE DEFUNCIÓN]]-higado[[#This Row],[FECHA_TRASPLANTE]])/30.4375</f>
        <v>24.73100616016427</v>
      </c>
      <c r="BW169" s="1">
        <f ca="1">IF(higado[[#This Row],[FALLECIDO_COD]]=0,TODAY()-higado[[#This Row],[FECHA_TRASPLANTE]],higado[[#This Row],[FECHA DE DEFUNCIÓN]]-higado[[#This Row],[FECHA_TRASPLANTE]])/365.25</f>
        <v>2.0609171800136892</v>
      </c>
    </row>
    <row r="170" spans="1:75" x14ac:dyDescent="0.35">
      <c r="A170" t="s">
        <v>75</v>
      </c>
      <c r="B170" t="s">
        <v>75</v>
      </c>
      <c r="C170" t="s">
        <v>899</v>
      </c>
      <c r="D170" t="s">
        <v>380</v>
      </c>
      <c r="E170" t="s">
        <v>77</v>
      </c>
      <c r="H170" s="2"/>
      <c r="I170" s="3">
        <f>(higado[[#This Row],[FECHA_TRASPLANTE]]-higado[[#This Row],[FECHA_NAC_D]])/365.25</f>
        <v>123.64202600958248</v>
      </c>
      <c r="J170" t="s">
        <v>77</v>
      </c>
      <c r="K170" t="s">
        <v>900</v>
      </c>
      <c r="L170" t="s">
        <v>156</v>
      </c>
      <c r="M170" t="s">
        <v>901</v>
      </c>
      <c r="N170">
        <v>106980890</v>
      </c>
      <c r="O170" s="18">
        <v>45160.25</v>
      </c>
      <c r="P170" t="s">
        <v>90</v>
      </c>
      <c r="Q170" s="2">
        <v>24613.25</v>
      </c>
      <c r="R170" s="1">
        <f>(higado[[#This Row],[FECHA_TRASPLANTE]]-higado[[#This Row],[FECHA_NAC]])/365.25</f>
        <v>56.254620123203289</v>
      </c>
      <c r="S170" t="s">
        <v>902</v>
      </c>
      <c r="T170" s="2">
        <v>45159.806944444441</v>
      </c>
      <c r="U170" t="s">
        <v>903</v>
      </c>
      <c r="V170">
        <v>25</v>
      </c>
      <c r="W170" t="s">
        <v>82</v>
      </c>
      <c r="X170" t="s">
        <v>110</v>
      </c>
      <c r="Y170" t="s">
        <v>111</v>
      </c>
      <c r="Z170" t="s">
        <v>904</v>
      </c>
      <c r="AD170">
        <v>2</v>
      </c>
      <c r="AF170" t="s">
        <v>770</v>
      </c>
      <c r="AG170" t="s">
        <v>770</v>
      </c>
      <c r="AH170" t="s">
        <v>770</v>
      </c>
      <c r="AI170" t="s">
        <v>770</v>
      </c>
      <c r="AJ170" t="s">
        <v>762</v>
      </c>
      <c r="AK170" t="s">
        <v>761</v>
      </c>
      <c r="AM170" t="s">
        <v>86</v>
      </c>
      <c r="AN170" s="2">
        <v>45162.25</v>
      </c>
      <c r="AO170" t="s">
        <v>905</v>
      </c>
      <c r="AQ170" t="s">
        <v>358</v>
      </c>
      <c r="AV170" t="s">
        <v>106</v>
      </c>
      <c r="AY170" t="s">
        <v>106</v>
      </c>
      <c r="BS170" s="17">
        <f>higado[[#This Row],[FECHA_TRASPLANTE]]</f>
        <v>45160.25</v>
      </c>
      <c r="BT170">
        <f>IF(higado[[#This Row],[FALLECIDO SI/NO]]="NO",0,1)</f>
        <v>1</v>
      </c>
      <c r="BU170" s="1">
        <f ca="1">IF(higado[[#This Row],[FALLECIDO_COD]]=0,TODAY()-higado[[#This Row],[FECHA_TRASPLANTE]],higado[[#This Row],[FECHA DE DEFUNCIÓN]]-higado[[#This Row],[FECHA_TRASPLANTE]])</f>
        <v>2</v>
      </c>
      <c r="BV170" s="1">
        <f ca="1">IF(higado[[#This Row],[FALLECIDO_COD]]=0,TODAY()-higado[[#This Row],[FECHA_TRASPLANTE]],higado[[#This Row],[FECHA DE DEFUNCIÓN]]-higado[[#This Row],[FECHA_TRASPLANTE]])/30.4375</f>
        <v>6.5708418891170434E-2</v>
      </c>
      <c r="BW170" s="1">
        <f ca="1">IF(higado[[#This Row],[FALLECIDO_COD]]=0,TODAY()-higado[[#This Row],[FECHA_TRASPLANTE]],higado[[#This Row],[FECHA DE DEFUNCIÓN]]-higado[[#This Row],[FECHA_TRASPLANTE]])/365.25</f>
        <v>5.4757015742642025E-3</v>
      </c>
    </row>
    <row r="171" spans="1:75" x14ac:dyDescent="0.35">
      <c r="A171" t="s">
        <v>376</v>
      </c>
      <c r="B171" t="s">
        <v>376</v>
      </c>
      <c r="D171" t="s">
        <v>380</v>
      </c>
      <c r="E171" t="s">
        <v>375</v>
      </c>
      <c r="G171" t="s">
        <v>200</v>
      </c>
      <c r="H171">
        <v>36074.25</v>
      </c>
      <c r="I171">
        <v>24.881587953456538</v>
      </c>
      <c r="J171" t="s">
        <v>746</v>
      </c>
      <c r="K171" t="s">
        <v>906</v>
      </c>
      <c r="L171" t="s">
        <v>827</v>
      </c>
      <c r="M171" t="s">
        <v>79</v>
      </c>
      <c r="N171">
        <v>306550854</v>
      </c>
      <c r="O171" s="18">
        <v>45162.25</v>
      </c>
      <c r="P171" t="s">
        <v>90</v>
      </c>
      <c r="Q171" s="2">
        <v>43856</v>
      </c>
      <c r="R171" s="1">
        <f>(higado[[#This Row],[FECHA_TRASPLANTE]]-higado[[#This Row],[FECHA_NAC]])/365.25</f>
        <v>3.5763175906913074</v>
      </c>
      <c r="S171" t="s">
        <v>200</v>
      </c>
      <c r="U171" t="s">
        <v>907</v>
      </c>
      <c r="V171">
        <v>17</v>
      </c>
      <c r="W171" t="s">
        <v>82</v>
      </c>
      <c r="X171" t="s">
        <v>110</v>
      </c>
      <c r="Y171" t="s">
        <v>196</v>
      </c>
      <c r="Z171" t="s">
        <v>702</v>
      </c>
      <c r="AD171">
        <v>10</v>
      </c>
      <c r="AF171" t="s">
        <v>816</v>
      </c>
      <c r="AM171" t="s">
        <v>106</v>
      </c>
      <c r="AQ171" t="s">
        <v>358</v>
      </c>
      <c r="AY171" t="s">
        <v>106</v>
      </c>
      <c r="BO171">
        <v>117220706</v>
      </c>
      <c r="BP171" t="s">
        <v>81</v>
      </c>
      <c r="BQ171" t="s">
        <v>82</v>
      </c>
      <c r="BS171" s="17">
        <f>higado[[#This Row],[FECHA_TRASPLANTE]]</f>
        <v>45162.25</v>
      </c>
      <c r="BT171">
        <f>IF(higado[[#This Row],[FALLECIDO SI/NO]]="NO",0,1)</f>
        <v>0</v>
      </c>
      <c r="BU171" s="1">
        <f ca="1">IF(higado[[#This Row],[FALLECIDO_COD]]=0,TODAY()-higado[[#This Row],[FECHA_TRASPLANTE]],higado[[#This Row],[FECHA DE DEFUNCIÓN]]-higado[[#This Row],[FECHA_TRASPLANTE]])</f>
        <v>712.75</v>
      </c>
      <c r="BV171" s="1">
        <f ca="1">IF(higado[[#This Row],[FALLECIDO_COD]]=0,TODAY()-higado[[#This Row],[FECHA_TRASPLANTE]],higado[[#This Row],[FECHA DE DEFUNCIÓN]]-higado[[#This Row],[FECHA_TRASPLANTE]])/30.4375</f>
        <v>23.416837782340863</v>
      </c>
      <c r="BW171" s="1">
        <f ca="1">IF(higado[[#This Row],[FALLECIDO_COD]]=0,TODAY()-higado[[#This Row],[FECHA_TRASPLANTE]],higado[[#This Row],[FECHA DE DEFUNCIÓN]]-higado[[#This Row],[FECHA_TRASPLANTE]])/365.25</f>
        <v>1.9514031485284051</v>
      </c>
    </row>
    <row r="172" spans="1:75" x14ac:dyDescent="0.35">
      <c r="A172" t="s">
        <v>75</v>
      </c>
      <c r="B172" t="s">
        <v>75</v>
      </c>
      <c r="C172" t="s">
        <v>299</v>
      </c>
      <c r="D172" t="s">
        <v>380</v>
      </c>
      <c r="E172" t="s">
        <v>77</v>
      </c>
      <c r="I172">
        <v>123.75975359342915</v>
      </c>
      <c r="J172" t="s">
        <v>77</v>
      </c>
      <c r="K172" t="s">
        <v>908</v>
      </c>
      <c r="L172" t="s">
        <v>909</v>
      </c>
      <c r="M172" t="s">
        <v>330</v>
      </c>
      <c r="N172">
        <v>118730796</v>
      </c>
      <c r="O172" s="18">
        <v>45203.25</v>
      </c>
      <c r="P172" t="s">
        <v>90</v>
      </c>
      <c r="Q172" s="2">
        <v>37736.25</v>
      </c>
      <c r="R172" s="1">
        <f>(higado[[#This Row],[FECHA_TRASPLANTE]]-higado[[#This Row],[FECHA_NAC]])/365.25</f>
        <v>20.4435318275154</v>
      </c>
      <c r="S172" t="s">
        <v>910</v>
      </c>
      <c r="T172" s="2">
        <v>45174.349305555559</v>
      </c>
      <c r="U172" t="s">
        <v>845</v>
      </c>
      <c r="V172">
        <v>36</v>
      </c>
      <c r="W172" t="s">
        <v>82</v>
      </c>
      <c r="X172" t="s">
        <v>110</v>
      </c>
      <c r="Y172" t="s">
        <v>110</v>
      </c>
      <c r="Z172" t="s">
        <v>182</v>
      </c>
      <c r="AD172">
        <v>37</v>
      </c>
      <c r="AF172" t="s">
        <v>375</v>
      </c>
      <c r="AG172" t="s">
        <v>375</v>
      </c>
      <c r="AH172" t="s">
        <v>375</v>
      </c>
      <c r="AI172" t="s">
        <v>375</v>
      </c>
      <c r="AJ172" t="s">
        <v>762</v>
      </c>
      <c r="AK172" t="s">
        <v>761</v>
      </c>
      <c r="AM172" t="s">
        <v>106</v>
      </c>
      <c r="AQ172" t="s">
        <v>358</v>
      </c>
      <c r="AV172" t="s">
        <v>106</v>
      </c>
      <c r="AY172" t="s">
        <v>106</v>
      </c>
      <c r="BS172" s="17">
        <f>higado[[#This Row],[FECHA_TRASPLANTE]]</f>
        <v>45203.25</v>
      </c>
      <c r="BT172">
        <f>IF(higado[[#This Row],[FALLECIDO SI/NO]]="NO",0,1)</f>
        <v>0</v>
      </c>
      <c r="BU172" s="1">
        <f ca="1">IF(higado[[#This Row],[FALLECIDO_COD]]=0,TODAY()-higado[[#This Row],[FECHA_TRASPLANTE]],higado[[#This Row],[FECHA DE DEFUNCIÓN]]-higado[[#This Row],[FECHA_TRASPLANTE]])</f>
        <v>671.75</v>
      </c>
      <c r="BV172" s="1">
        <f ca="1">IF(higado[[#This Row],[FALLECIDO_COD]]=0,TODAY()-higado[[#This Row],[FECHA_TRASPLANTE]],higado[[#This Row],[FECHA DE DEFUNCIÓN]]-higado[[#This Row],[FECHA_TRASPLANTE]])/30.4375</f>
        <v>22.069815195071868</v>
      </c>
      <c r="BW172" s="1">
        <f ca="1">IF(higado[[#This Row],[FALLECIDO_COD]]=0,TODAY()-higado[[#This Row],[FECHA_TRASPLANTE]],higado[[#This Row],[FECHA DE DEFUNCIÓN]]-higado[[#This Row],[FECHA_TRASPLANTE]])/365.25</f>
        <v>1.839151266255989</v>
      </c>
    </row>
    <row r="173" spans="1:75" x14ac:dyDescent="0.35">
      <c r="A173" t="s">
        <v>376</v>
      </c>
      <c r="B173" t="s">
        <v>376</v>
      </c>
      <c r="D173" t="s">
        <v>380</v>
      </c>
      <c r="E173" t="s">
        <v>375</v>
      </c>
      <c r="G173" t="s">
        <v>200</v>
      </c>
      <c r="H173" s="2">
        <v>31755.25</v>
      </c>
      <c r="I173" s="3">
        <f>(higado[[#This Row],[FECHA_TRASPLANTE]]-higado[[#This Row],[FECHA_NAC_D]])/365.25</f>
        <v>36.917180013689254</v>
      </c>
      <c r="J173" t="s">
        <v>911</v>
      </c>
      <c r="K173" t="s">
        <v>912</v>
      </c>
      <c r="L173" t="s">
        <v>913</v>
      </c>
      <c r="M173" t="s">
        <v>652</v>
      </c>
      <c r="N173">
        <v>122860483</v>
      </c>
      <c r="O173" s="18">
        <v>45239.25</v>
      </c>
      <c r="P173" t="s">
        <v>81</v>
      </c>
      <c r="Q173" s="2">
        <v>42948</v>
      </c>
      <c r="R173" s="1">
        <f>(higado[[#This Row],[FECHA_TRASPLANTE]]-higado[[#This Row],[FECHA_NAC]])/365.25</f>
        <v>6.2731006160164275</v>
      </c>
      <c r="S173" t="s">
        <v>200</v>
      </c>
      <c r="U173" t="s">
        <v>914</v>
      </c>
      <c r="V173">
        <v>21</v>
      </c>
      <c r="W173" t="s">
        <v>82</v>
      </c>
      <c r="X173" t="s">
        <v>91</v>
      </c>
      <c r="Y173" t="s">
        <v>179</v>
      </c>
      <c r="Z173" t="s">
        <v>190</v>
      </c>
      <c r="AD173">
        <v>27</v>
      </c>
      <c r="AF173" t="s">
        <v>816</v>
      </c>
      <c r="AM173" t="s">
        <v>86</v>
      </c>
      <c r="AN173" s="2">
        <v>45265</v>
      </c>
      <c r="AO173" t="s">
        <v>915</v>
      </c>
      <c r="AQ173" t="s">
        <v>358</v>
      </c>
      <c r="AY173" t="s">
        <v>86</v>
      </c>
      <c r="BO173">
        <v>603600063</v>
      </c>
      <c r="BP173" t="s">
        <v>81</v>
      </c>
      <c r="BQ173" t="s">
        <v>82</v>
      </c>
      <c r="BS173" s="17">
        <f>higado[[#This Row],[FECHA_TRASPLANTE]]</f>
        <v>45239.25</v>
      </c>
      <c r="BT173">
        <f>IF(higado[[#This Row],[FALLECIDO SI/NO]]="NO",0,1)</f>
        <v>1</v>
      </c>
      <c r="BU173" s="1">
        <f ca="1">IF(higado[[#This Row],[FALLECIDO_COD]]=0,TODAY()-higado[[#This Row],[FECHA_TRASPLANTE]],higado[[#This Row],[FECHA DE DEFUNCIÓN]]-higado[[#This Row],[FECHA_TRASPLANTE]])</f>
        <v>25.75</v>
      </c>
      <c r="BV173" s="1">
        <f ca="1">IF(higado[[#This Row],[FALLECIDO_COD]]=0,TODAY()-higado[[#This Row],[FECHA_TRASPLANTE]],higado[[#This Row],[FECHA DE DEFUNCIÓN]]-higado[[#This Row],[FECHA_TRASPLANTE]])/30.4375</f>
        <v>0.8459958932238193</v>
      </c>
      <c r="BW173" s="1">
        <f ca="1">IF(higado[[#This Row],[FALLECIDO_COD]]=0,TODAY()-higado[[#This Row],[FECHA_TRASPLANTE]],higado[[#This Row],[FECHA DE DEFUNCIÓN]]-higado[[#This Row],[FECHA_TRASPLANTE]])/365.25</f>
        <v>7.0499657768651608E-2</v>
      </c>
    </row>
    <row r="174" spans="1:75" x14ac:dyDescent="0.35">
      <c r="A174" t="s">
        <v>75</v>
      </c>
      <c r="B174" t="s">
        <v>75</v>
      </c>
      <c r="C174" t="s">
        <v>916</v>
      </c>
      <c r="D174" t="s">
        <v>380</v>
      </c>
      <c r="E174" t="s">
        <v>77</v>
      </c>
      <c r="I174">
        <v>123.88569472963724</v>
      </c>
      <c r="J174" t="s">
        <v>77</v>
      </c>
      <c r="K174" t="s">
        <v>917</v>
      </c>
      <c r="L174" t="s">
        <v>141</v>
      </c>
      <c r="M174" t="s">
        <v>918</v>
      </c>
      <c r="N174">
        <v>401280705</v>
      </c>
      <c r="O174" s="18">
        <v>45249.25</v>
      </c>
      <c r="P174" t="s">
        <v>81</v>
      </c>
      <c r="Q174" s="2">
        <v>22680.25</v>
      </c>
      <c r="R174" s="1">
        <f>(higado[[#This Row],[FECHA_TRASPLANTE]]-higado[[#This Row],[FECHA_NAC]])/365.25</f>
        <v>61.790554414784395</v>
      </c>
      <c r="S174" t="s">
        <v>200</v>
      </c>
      <c r="T174" s="2">
        <v>44999.530555555553</v>
      </c>
      <c r="U174" t="s">
        <v>776</v>
      </c>
      <c r="V174">
        <v>31</v>
      </c>
      <c r="W174" t="s">
        <v>82</v>
      </c>
      <c r="X174" t="s">
        <v>261</v>
      </c>
      <c r="Y174" t="s">
        <v>261</v>
      </c>
      <c r="Z174" t="s">
        <v>212</v>
      </c>
      <c r="AD174">
        <v>8</v>
      </c>
      <c r="AF174" t="s">
        <v>375</v>
      </c>
      <c r="AG174" t="s">
        <v>375</v>
      </c>
      <c r="AH174" t="s">
        <v>375</v>
      </c>
      <c r="AI174" t="s">
        <v>375</v>
      </c>
      <c r="AJ174" t="s">
        <v>762</v>
      </c>
      <c r="AK174" t="s">
        <v>761</v>
      </c>
      <c r="AM174" t="s">
        <v>106</v>
      </c>
      <c r="AQ174" t="s">
        <v>358</v>
      </c>
      <c r="AV174" t="s">
        <v>106</v>
      </c>
      <c r="AY174" t="s">
        <v>106</v>
      </c>
      <c r="BS174" s="17">
        <f>higado[[#This Row],[FECHA_TRASPLANTE]]</f>
        <v>45249.25</v>
      </c>
      <c r="BT174">
        <f>IF(higado[[#This Row],[FALLECIDO SI/NO]]="NO",0,1)</f>
        <v>0</v>
      </c>
      <c r="BU174" s="1">
        <f ca="1">IF(higado[[#This Row],[FALLECIDO_COD]]=0,TODAY()-higado[[#This Row],[FECHA_TRASPLANTE]],higado[[#This Row],[FECHA DE DEFUNCIÓN]]-higado[[#This Row],[FECHA_TRASPLANTE]])</f>
        <v>625.75</v>
      </c>
      <c r="BV174" s="1">
        <f ca="1">IF(higado[[#This Row],[FALLECIDO_COD]]=0,TODAY()-higado[[#This Row],[FECHA_TRASPLANTE]],higado[[#This Row],[FECHA DE DEFUNCIÓN]]-higado[[#This Row],[FECHA_TRASPLANTE]])/30.4375</f>
        <v>20.558521560574949</v>
      </c>
      <c r="BW174" s="1">
        <f ca="1">IF(higado[[#This Row],[FALLECIDO_COD]]=0,TODAY()-higado[[#This Row],[FECHA_TRASPLANTE]],higado[[#This Row],[FECHA DE DEFUNCIÓN]]-higado[[#This Row],[FECHA_TRASPLANTE]])/365.25</f>
        <v>1.7132101300479123</v>
      </c>
    </row>
    <row r="175" spans="1:75" x14ac:dyDescent="0.35">
      <c r="A175" t="s">
        <v>75</v>
      </c>
      <c r="B175" t="s">
        <v>75</v>
      </c>
      <c r="C175" t="s">
        <v>919</v>
      </c>
      <c r="D175" t="s">
        <v>380</v>
      </c>
      <c r="E175" t="s">
        <v>77</v>
      </c>
      <c r="H175" s="2"/>
      <c r="I175" s="3">
        <f>(higado[[#This Row],[FECHA_TRASPLANTE]]-higado[[#This Row],[FECHA_NAC_D]])/365.25</f>
        <v>123.89938398357289</v>
      </c>
      <c r="J175" t="s">
        <v>77</v>
      </c>
      <c r="K175" t="s">
        <v>920</v>
      </c>
      <c r="L175" t="s">
        <v>642</v>
      </c>
      <c r="M175" t="s">
        <v>921</v>
      </c>
      <c r="N175">
        <v>601470977</v>
      </c>
      <c r="O175" s="18">
        <v>45254.25</v>
      </c>
      <c r="P175" t="s">
        <v>90</v>
      </c>
      <c r="Q175" s="2">
        <v>21859.25</v>
      </c>
      <c r="R175" s="1">
        <f>(higado[[#This Row],[FECHA_TRASPLANTE]]-higado[[#This Row],[FECHA_NAC]])/365.25</f>
        <v>64.05201916495551</v>
      </c>
      <c r="S175" t="s">
        <v>205</v>
      </c>
      <c r="T175" s="2">
        <v>44699.907638888886</v>
      </c>
      <c r="U175" t="s">
        <v>480</v>
      </c>
      <c r="V175">
        <v>16</v>
      </c>
      <c r="W175" t="s">
        <v>82</v>
      </c>
      <c r="X175" t="s">
        <v>115</v>
      </c>
      <c r="Y175" t="s">
        <v>197</v>
      </c>
      <c r="Z175" t="s">
        <v>621</v>
      </c>
      <c r="AD175">
        <v>10</v>
      </c>
      <c r="AF175" t="s">
        <v>375</v>
      </c>
      <c r="AG175" t="s">
        <v>375</v>
      </c>
      <c r="AH175" t="s">
        <v>375</v>
      </c>
      <c r="AI175" t="s">
        <v>375</v>
      </c>
      <c r="AJ175" t="s">
        <v>762</v>
      </c>
      <c r="AK175" t="s">
        <v>761</v>
      </c>
      <c r="AM175" t="s">
        <v>86</v>
      </c>
      <c r="AN175" s="2">
        <v>45653</v>
      </c>
      <c r="AO175" t="s">
        <v>762</v>
      </c>
      <c r="AQ175" t="s">
        <v>358</v>
      </c>
      <c r="AV175" t="s">
        <v>106</v>
      </c>
      <c r="AY175" t="s">
        <v>106</v>
      </c>
      <c r="BS175" s="17">
        <f>higado[[#This Row],[FECHA_TRASPLANTE]]</f>
        <v>45254.25</v>
      </c>
      <c r="BT175">
        <f>IF(higado[[#This Row],[FALLECIDO SI/NO]]="NO",0,1)</f>
        <v>1</v>
      </c>
      <c r="BU175" s="1">
        <f ca="1">IF(higado[[#This Row],[FALLECIDO_COD]]=0,TODAY()-higado[[#This Row],[FECHA_TRASPLANTE]],higado[[#This Row],[FECHA DE DEFUNCIÓN]]-higado[[#This Row],[FECHA_TRASPLANTE]])</f>
        <v>398.75</v>
      </c>
      <c r="BV175" s="1">
        <f ca="1">IF(higado[[#This Row],[FALLECIDO_COD]]=0,TODAY()-higado[[#This Row],[FECHA_TRASPLANTE]],higado[[#This Row],[FECHA DE DEFUNCIÓN]]-higado[[#This Row],[FECHA_TRASPLANTE]])/30.4375</f>
        <v>13.100616016427105</v>
      </c>
      <c r="BW175" s="1">
        <f ca="1">IF(higado[[#This Row],[FALLECIDO_COD]]=0,TODAY()-higado[[#This Row],[FECHA_TRASPLANTE]],higado[[#This Row],[FECHA DE DEFUNCIÓN]]-higado[[#This Row],[FECHA_TRASPLANTE]])/365.25</f>
        <v>1.0917180013689254</v>
      </c>
    </row>
    <row r="176" spans="1:75" x14ac:dyDescent="0.35">
      <c r="A176" t="s">
        <v>75</v>
      </c>
      <c r="B176" t="s">
        <v>75</v>
      </c>
      <c r="C176" t="s">
        <v>922</v>
      </c>
      <c r="D176" t="s">
        <v>380</v>
      </c>
      <c r="E176" t="s">
        <v>77</v>
      </c>
      <c r="I176">
        <v>123.93702943189597</v>
      </c>
      <c r="J176" t="s">
        <v>77</v>
      </c>
      <c r="K176" t="s">
        <v>923</v>
      </c>
      <c r="L176" t="s">
        <v>924</v>
      </c>
      <c r="M176" t="s">
        <v>260</v>
      </c>
      <c r="N176">
        <v>305710534</v>
      </c>
      <c r="O176" s="18">
        <v>45268</v>
      </c>
      <c r="P176" t="s">
        <v>90</v>
      </c>
      <c r="Q176" s="2">
        <v>39185</v>
      </c>
      <c r="R176" s="1">
        <f>(higado[[#This Row],[FECHA_TRASPLANTE]]-higado[[#This Row],[FECHA_NAC]])/365.25</f>
        <v>16.654346338124572</v>
      </c>
      <c r="S176" t="s">
        <v>210</v>
      </c>
      <c r="T176" s="2">
        <v>45262.854861111111</v>
      </c>
      <c r="U176" t="s">
        <v>925</v>
      </c>
      <c r="V176">
        <v>25</v>
      </c>
      <c r="W176" t="s">
        <v>82</v>
      </c>
      <c r="X176" t="s">
        <v>110</v>
      </c>
      <c r="Y176" t="s">
        <v>110</v>
      </c>
      <c r="Z176" t="s">
        <v>926</v>
      </c>
      <c r="AD176">
        <v>6</v>
      </c>
      <c r="AF176" t="s">
        <v>375</v>
      </c>
      <c r="AG176" t="s">
        <v>375</v>
      </c>
      <c r="AH176" t="s">
        <v>375</v>
      </c>
      <c r="AI176" t="s">
        <v>375</v>
      </c>
      <c r="AJ176" t="s">
        <v>762</v>
      </c>
      <c r="AK176" t="s">
        <v>761</v>
      </c>
      <c r="AM176" t="s">
        <v>106</v>
      </c>
      <c r="AQ176" t="s">
        <v>358</v>
      </c>
      <c r="AV176" t="s">
        <v>106</v>
      </c>
      <c r="AY176" t="s">
        <v>106</v>
      </c>
      <c r="BS176" s="17">
        <f>higado[[#This Row],[FECHA_TRASPLANTE]]</f>
        <v>45268</v>
      </c>
      <c r="BT176">
        <f>IF(higado[[#This Row],[FALLECIDO SI/NO]]="NO",0,1)</f>
        <v>0</v>
      </c>
      <c r="BU176" s="1">
        <f ca="1">IF(higado[[#This Row],[FALLECIDO_COD]]=0,TODAY()-higado[[#This Row],[FECHA_TRASPLANTE]],higado[[#This Row],[FECHA DE DEFUNCIÓN]]-higado[[#This Row],[FECHA_TRASPLANTE]])</f>
        <v>607</v>
      </c>
      <c r="BV176" s="1">
        <f ca="1">IF(higado[[#This Row],[FALLECIDO_COD]]=0,TODAY()-higado[[#This Row],[FECHA_TRASPLANTE]],higado[[#This Row],[FECHA DE DEFUNCIÓN]]-higado[[#This Row],[FECHA_TRASPLANTE]])/30.4375</f>
        <v>19.942505133470227</v>
      </c>
      <c r="BW176" s="1">
        <f ca="1">IF(higado[[#This Row],[FALLECIDO_COD]]=0,TODAY()-higado[[#This Row],[FECHA_TRASPLANTE]],higado[[#This Row],[FECHA DE DEFUNCIÓN]]-higado[[#This Row],[FECHA_TRASPLANTE]])/365.25</f>
        <v>1.6618754277891854</v>
      </c>
    </row>
    <row r="177" spans="1:75" x14ac:dyDescent="0.35">
      <c r="A177" t="s">
        <v>376</v>
      </c>
      <c r="B177" t="s">
        <v>376</v>
      </c>
      <c r="D177" t="s">
        <v>380</v>
      </c>
      <c r="E177" t="s">
        <v>375</v>
      </c>
      <c r="G177" t="s">
        <v>200</v>
      </c>
      <c r="H177" s="2">
        <v>34113.25</v>
      </c>
      <c r="I177" s="3">
        <f>(higado[[#This Row],[FECHA_TRASPLANTE]]-higado[[#This Row],[FECHA_NAC_D]])/365.25</f>
        <v>30.543463381245722</v>
      </c>
      <c r="J177" t="s">
        <v>746</v>
      </c>
      <c r="K177" t="s">
        <v>927</v>
      </c>
      <c r="L177" t="s">
        <v>243</v>
      </c>
      <c r="M177" t="s">
        <v>184</v>
      </c>
      <c r="N177">
        <v>209400260</v>
      </c>
      <c r="O177" s="18">
        <v>45269.25</v>
      </c>
      <c r="P177" t="s">
        <v>90</v>
      </c>
      <c r="Q177" s="2">
        <v>40530</v>
      </c>
      <c r="R177" s="1">
        <f>(higado[[#This Row],[FECHA_TRASPLANTE]]-higado[[#This Row],[FECHA_NAC]])/365.25</f>
        <v>12.975359342915811</v>
      </c>
      <c r="S177" t="s">
        <v>200</v>
      </c>
      <c r="U177" t="s">
        <v>849</v>
      </c>
      <c r="V177">
        <v>28</v>
      </c>
      <c r="W177" t="s">
        <v>82</v>
      </c>
      <c r="X177" t="s">
        <v>115</v>
      </c>
      <c r="Y177" t="s">
        <v>365</v>
      </c>
      <c r="Z177" t="s">
        <v>928</v>
      </c>
      <c r="AD177">
        <v>20</v>
      </c>
      <c r="AF177" t="s">
        <v>816</v>
      </c>
      <c r="AM177" t="s">
        <v>86</v>
      </c>
      <c r="AN177" s="2">
        <v>45308</v>
      </c>
      <c r="AQ177" t="s">
        <v>358</v>
      </c>
      <c r="AY177" t="s">
        <v>106</v>
      </c>
      <c r="BO177">
        <v>207140262</v>
      </c>
      <c r="BP177" t="s">
        <v>90</v>
      </c>
      <c r="BQ177" t="s">
        <v>82</v>
      </c>
      <c r="BS177" s="17">
        <f>higado[[#This Row],[FECHA_TRASPLANTE]]</f>
        <v>45269.25</v>
      </c>
      <c r="BT177">
        <f>IF(higado[[#This Row],[FALLECIDO SI/NO]]="NO",0,1)</f>
        <v>1</v>
      </c>
      <c r="BU177" s="1">
        <f ca="1">IF(higado[[#This Row],[FALLECIDO_COD]]=0,TODAY()-higado[[#This Row],[FECHA_TRASPLANTE]],higado[[#This Row],[FECHA DE DEFUNCIÓN]]-higado[[#This Row],[FECHA_TRASPLANTE]])</f>
        <v>38.75</v>
      </c>
      <c r="BV177" s="1">
        <f ca="1">IF(higado[[#This Row],[FALLECIDO_COD]]=0,TODAY()-higado[[#This Row],[FECHA_TRASPLANTE]],higado[[#This Row],[FECHA DE DEFUNCIÓN]]-higado[[#This Row],[FECHA_TRASPLANTE]])/30.4375</f>
        <v>1.2731006160164271</v>
      </c>
      <c r="BW177" s="1">
        <f ca="1">IF(higado[[#This Row],[FALLECIDO_COD]]=0,TODAY()-higado[[#This Row],[FECHA_TRASPLANTE]],higado[[#This Row],[FECHA DE DEFUNCIÓN]]-higado[[#This Row],[FECHA_TRASPLANTE]])/365.25</f>
        <v>0.10609171800136892</v>
      </c>
    </row>
    <row r="178" spans="1:75" x14ac:dyDescent="0.35">
      <c r="A178" t="s">
        <v>377</v>
      </c>
      <c r="C178" t="s">
        <v>929</v>
      </c>
      <c r="D178" t="s">
        <v>380</v>
      </c>
      <c r="E178" t="s">
        <v>77</v>
      </c>
      <c r="I178">
        <v>123.96988364134155</v>
      </c>
      <c r="J178" t="s">
        <v>77</v>
      </c>
      <c r="K178" t="s">
        <v>930</v>
      </c>
      <c r="L178" t="s">
        <v>449</v>
      </c>
      <c r="M178" t="s">
        <v>386</v>
      </c>
      <c r="N178">
        <v>204100347</v>
      </c>
      <c r="O178" s="18">
        <v>45280</v>
      </c>
      <c r="P178" t="s">
        <v>81</v>
      </c>
      <c r="Q178" s="2">
        <v>24009</v>
      </c>
      <c r="R178" s="1">
        <f>(higado[[#This Row],[FECHA_TRASPLANTE]]-higado[[#This Row],[FECHA_NAC]])/365.25</f>
        <v>58.236824093086923</v>
      </c>
      <c r="S178" t="s">
        <v>210</v>
      </c>
      <c r="U178" t="s">
        <v>931</v>
      </c>
      <c r="V178">
        <v>14</v>
      </c>
      <c r="W178" t="s">
        <v>82</v>
      </c>
      <c r="X178" t="s">
        <v>115</v>
      </c>
      <c r="Y178" t="s">
        <v>426</v>
      </c>
      <c r="Z178" t="s">
        <v>91</v>
      </c>
      <c r="AF178" t="s">
        <v>932</v>
      </c>
      <c r="AM178" t="s">
        <v>106</v>
      </c>
      <c r="AQ178" t="s">
        <v>358</v>
      </c>
      <c r="BS178" s="17">
        <f>higado[[#This Row],[FECHA_TRASPLANTE]]</f>
        <v>45280</v>
      </c>
      <c r="BT178">
        <f>IF(higado[[#This Row],[FALLECIDO SI/NO]]="NO",0,1)</f>
        <v>0</v>
      </c>
      <c r="BU178" s="1">
        <f ca="1">IF(higado[[#This Row],[FALLECIDO_COD]]=0,TODAY()-higado[[#This Row],[FECHA_TRASPLANTE]],higado[[#This Row],[FECHA DE DEFUNCIÓN]]-higado[[#This Row],[FECHA_TRASPLANTE]])</f>
        <v>595</v>
      </c>
      <c r="BV178" s="1">
        <f ca="1">IF(higado[[#This Row],[FALLECIDO_COD]]=0,TODAY()-higado[[#This Row],[FECHA_TRASPLANTE]],higado[[#This Row],[FECHA DE DEFUNCIÓN]]-higado[[#This Row],[FECHA_TRASPLANTE]])/30.4375</f>
        <v>19.548254620123203</v>
      </c>
      <c r="BW178" s="1">
        <f ca="1">IF(higado[[#This Row],[FALLECIDO_COD]]=0,TODAY()-higado[[#This Row],[FECHA_TRASPLANTE]],higado[[#This Row],[FECHA DE DEFUNCIÓN]]-higado[[#This Row],[FECHA_TRASPLANTE]])/365.25</f>
        <v>1.6290212183436004</v>
      </c>
    </row>
    <row r="179" spans="1:75" x14ac:dyDescent="0.35">
      <c r="A179" t="s">
        <v>75</v>
      </c>
      <c r="B179" t="s">
        <v>75</v>
      </c>
      <c r="C179" t="s">
        <v>312</v>
      </c>
      <c r="D179" t="s">
        <v>380</v>
      </c>
      <c r="E179" t="s">
        <v>77</v>
      </c>
      <c r="F179" t="s">
        <v>106</v>
      </c>
      <c r="G179" t="s">
        <v>200</v>
      </c>
      <c r="H179">
        <v>34389</v>
      </c>
      <c r="I179">
        <v>29.865160848733744</v>
      </c>
      <c r="J179" t="s">
        <v>77</v>
      </c>
      <c r="K179" t="s">
        <v>933</v>
      </c>
      <c r="L179" t="s">
        <v>652</v>
      </c>
      <c r="M179" t="s">
        <v>561</v>
      </c>
      <c r="N179">
        <v>502300607</v>
      </c>
      <c r="O179" s="18">
        <v>45297.25</v>
      </c>
      <c r="P179" t="s">
        <v>81</v>
      </c>
      <c r="Q179" s="2">
        <v>24184.25</v>
      </c>
      <c r="R179" s="1">
        <f>(higado[[#This Row],[FECHA_TRASPLANTE]]-higado[[#This Row],[FECHA_NAC]])/365.25</f>
        <v>57.804243668720055</v>
      </c>
      <c r="S179" t="s">
        <v>200</v>
      </c>
      <c r="T179" s="2">
        <v>45051.405555555553</v>
      </c>
      <c r="U179" t="s">
        <v>934</v>
      </c>
      <c r="V179">
        <v>28</v>
      </c>
      <c r="W179" t="s">
        <v>82</v>
      </c>
      <c r="X179" t="s">
        <v>91</v>
      </c>
      <c r="Y179" t="s">
        <v>179</v>
      </c>
      <c r="Z179" t="s">
        <v>537</v>
      </c>
      <c r="AD179">
        <v>6</v>
      </c>
      <c r="AF179" t="s">
        <v>375</v>
      </c>
      <c r="AG179" t="s">
        <v>375</v>
      </c>
      <c r="AH179" t="s">
        <v>375</v>
      </c>
      <c r="AI179" t="s">
        <v>375</v>
      </c>
      <c r="AJ179" t="s">
        <v>762</v>
      </c>
      <c r="AK179" t="s">
        <v>761</v>
      </c>
      <c r="AM179" t="s">
        <v>106</v>
      </c>
      <c r="AQ179" t="s">
        <v>358</v>
      </c>
      <c r="AV179" t="s">
        <v>106</v>
      </c>
      <c r="AY179" t="s">
        <v>106</v>
      </c>
      <c r="BO179">
        <v>1940107555</v>
      </c>
      <c r="BP179" t="s">
        <v>81</v>
      </c>
      <c r="BQ179" t="s">
        <v>146</v>
      </c>
      <c r="BS179" s="17">
        <f>higado[[#This Row],[FECHA_TRASPLANTE]]</f>
        <v>45297.25</v>
      </c>
      <c r="BT179">
        <f>IF(higado[[#This Row],[FALLECIDO SI/NO]]="NO",0,1)</f>
        <v>0</v>
      </c>
      <c r="BU179" s="1">
        <f ca="1">IF(higado[[#This Row],[FALLECIDO_COD]]=0,TODAY()-higado[[#This Row],[FECHA_TRASPLANTE]],higado[[#This Row],[FECHA DE DEFUNCIÓN]]-higado[[#This Row],[FECHA_TRASPLANTE]])</f>
        <v>577.75</v>
      </c>
      <c r="BV179" s="1">
        <f ca="1">IF(higado[[#This Row],[FALLECIDO_COD]]=0,TODAY()-higado[[#This Row],[FECHA_TRASPLANTE]],higado[[#This Row],[FECHA DE DEFUNCIÓN]]-higado[[#This Row],[FECHA_TRASPLANTE]])/30.4375</f>
        <v>18.981519507186857</v>
      </c>
      <c r="BW179" s="1">
        <f ca="1">IF(higado[[#This Row],[FALLECIDO_COD]]=0,TODAY()-higado[[#This Row],[FECHA_TRASPLANTE]],higado[[#This Row],[FECHA DE DEFUNCIÓN]]-higado[[#This Row],[FECHA_TRASPLANTE]])/365.25</f>
        <v>1.5817932922655715</v>
      </c>
    </row>
    <row r="180" spans="1:75" x14ac:dyDescent="0.35">
      <c r="A180" t="s">
        <v>75</v>
      </c>
      <c r="B180" t="s">
        <v>75</v>
      </c>
      <c r="D180" t="s">
        <v>380</v>
      </c>
      <c r="E180" t="s">
        <v>375</v>
      </c>
      <c r="F180" t="s">
        <v>106</v>
      </c>
      <c r="G180" t="s">
        <v>200</v>
      </c>
      <c r="H180">
        <v>37324.25</v>
      </c>
      <c r="I180">
        <v>21.856262833675565</v>
      </c>
      <c r="J180" t="s">
        <v>746</v>
      </c>
      <c r="K180" t="s">
        <v>359</v>
      </c>
      <c r="L180" t="s">
        <v>348</v>
      </c>
      <c r="M180" t="s">
        <v>99</v>
      </c>
      <c r="N180">
        <v>601460756</v>
      </c>
      <c r="O180" s="18">
        <v>45307.25</v>
      </c>
      <c r="P180" t="s">
        <v>90</v>
      </c>
      <c r="Q180" s="2">
        <v>21748.25</v>
      </c>
      <c r="R180" s="1">
        <f>(higado[[#This Row],[FECHA_TRASPLANTE]]-higado[[#This Row],[FECHA_NAC]])/365.25</f>
        <v>64.50102669404518</v>
      </c>
      <c r="S180" t="s">
        <v>200</v>
      </c>
      <c r="T180" s="2">
        <v>45253.683333333334</v>
      </c>
      <c r="U180" t="s">
        <v>935</v>
      </c>
      <c r="V180">
        <v>9</v>
      </c>
      <c r="W180" t="s">
        <v>82</v>
      </c>
      <c r="X180" t="s">
        <v>91</v>
      </c>
      <c r="Y180" t="s">
        <v>161</v>
      </c>
      <c r="Z180" t="s">
        <v>244</v>
      </c>
      <c r="AD180">
        <v>13</v>
      </c>
      <c r="AF180" t="s">
        <v>375</v>
      </c>
      <c r="AG180" t="s">
        <v>375</v>
      </c>
      <c r="AH180" t="s">
        <v>375</v>
      </c>
      <c r="AI180" t="s">
        <v>375</v>
      </c>
      <c r="AJ180" t="s">
        <v>762</v>
      </c>
      <c r="AK180" t="s">
        <v>761</v>
      </c>
      <c r="AM180" t="s">
        <v>106</v>
      </c>
      <c r="AQ180" t="s">
        <v>358</v>
      </c>
      <c r="AV180" t="s">
        <v>106</v>
      </c>
      <c r="AY180" t="s">
        <v>106</v>
      </c>
      <c r="BO180">
        <v>118440408</v>
      </c>
      <c r="BP180" t="s">
        <v>81</v>
      </c>
      <c r="BQ180" t="s">
        <v>82</v>
      </c>
      <c r="BR180" t="s">
        <v>936</v>
      </c>
      <c r="BS180" s="17">
        <f>higado[[#This Row],[FECHA_TRASPLANTE]]</f>
        <v>45307.25</v>
      </c>
      <c r="BT180">
        <f>IF(higado[[#This Row],[FALLECIDO SI/NO]]="NO",0,1)</f>
        <v>0</v>
      </c>
      <c r="BU180" s="1">
        <f ca="1">IF(higado[[#This Row],[FALLECIDO_COD]]=0,TODAY()-higado[[#This Row],[FECHA_TRASPLANTE]],higado[[#This Row],[FECHA DE DEFUNCIÓN]]-higado[[#This Row],[FECHA_TRASPLANTE]])</f>
        <v>567.75</v>
      </c>
      <c r="BV180" s="1">
        <f ca="1">IF(higado[[#This Row],[FALLECIDO_COD]]=0,TODAY()-higado[[#This Row],[FECHA_TRASPLANTE]],higado[[#This Row],[FECHA DE DEFUNCIÓN]]-higado[[#This Row],[FECHA_TRASPLANTE]])/30.4375</f>
        <v>18.652977412731005</v>
      </c>
      <c r="BW180" s="1">
        <f ca="1">IF(higado[[#This Row],[FALLECIDO_COD]]=0,TODAY()-higado[[#This Row],[FECHA_TRASPLANTE]],higado[[#This Row],[FECHA DE DEFUNCIÓN]]-higado[[#This Row],[FECHA_TRASPLANTE]])/365.25</f>
        <v>1.5544147843942504</v>
      </c>
    </row>
    <row r="181" spans="1:75" x14ac:dyDescent="0.35">
      <c r="A181" t="s">
        <v>75</v>
      </c>
      <c r="B181" t="s">
        <v>75</v>
      </c>
      <c r="C181" t="s">
        <v>937</v>
      </c>
      <c r="D181" t="s">
        <v>380</v>
      </c>
      <c r="E181" t="s">
        <v>77</v>
      </c>
      <c r="F181" t="s">
        <v>106</v>
      </c>
      <c r="G181" t="s">
        <v>200</v>
      </c>
      <c r="H181" s="2">
        <v>30966</v>
      </c>
      <c r="I181" s="3">
        <f>(higado[[#This Row],[FECHA_TRASPLANTE]]-higado[[#This Row],[FECHA_NAC_D]])/365.25</f>
        <v>39.291581108829568</v>
      </c>
      <c r="J181" t="s">
        <v>77</v>
      </c>
      <c r="K181" t="s">
        <v>481</v>
      </c>
      <c r="L181" t="s">
        <v>305</v>
      </c>
      <c r="M181" t="s">
        <v>195</v>
      </c>
      <c r="N181">
        <v>302920146</v>
      </c>
      <c r="O181" s="18">
        <v>45317.25</v>
      </c>
      <c r="P181" t="s">
        <v>81</v>
      </c>
      <c r="Q181" s="2">
        <v>24718.25</v>
      </c>
      <c r="R181" s="1">
        <f>(higado[[#This Row],[FECHA_TRASPLANTE]]-higado[[#This Row],[FECHA_NAC]])/365.25</f>
        <v>56.396988364134153</v>
      </c>
      <c r="S181" t="s">
        <v>200</v>
      </c>
      <c r="T181" s="2">
        <v>45183.447222222225</v>
      </c>
      <c r="U181" t="s">
        <v>776</v>
      </c>
      <c r="V181">
        <v>28</v>
      </c>
      <c r="W181" t="s">
        <v>82</v>
      </c>
      <c r="X181" t="s">
        <v>83</v>
      </c>
      <c r="Y181" t="s">
        <v>100</v>
      </c>
      <c r="Z181" t="s">
        <v>101</v>
      </c>
      <c r="AD181">
        <v>7</v>
      </c>
      <c r="AF181" t="s">
        <v>375</v>
      </c>
      <c r="AG181" t="s">
        <v>770</v>
      </c>
      <c r="AH181" t="s">
        <v>770</v>
      </c>
      <c r="AI181" t="s">
        <v>770</v>
      </c>
      <c r="AJ181" t="s">
        <v>762</v>
      </c>
      <c r="AK181" t="s">
        <v>761</v>
      </c>
      <c r="AM181" t="s">
        <v>86</v>
      </c>
      <c r="AN181" s="2">
        <v>45329.25</v>
      </c>
      <c r="AO181" t="s">
        <v>938</v>
      </c>
      <c r="AQ181" t="s">
        <v>358</v>
      </c>
      <c r="AV181" t="s">
        <v>106</v>
      </c>
      <c r="AY181" t="s">
        <v>106</v>
      </c>
      <c r="BO181">
        <v>112310677</v>
      </c>
      <c r="BP181" t="s">
        <v>90</v>
      </c>
      <c r="BQ181" t="s">
        <v>82</v>
      </c>
      <c r="BS181" s="17">
        <f>higado[[#This Row],[FECHA_TRASPLANTE]]</f>
        <v>45317.25</v>
      </c>
      <c r="BT181">
        <f>IF(higado[[#This Row],[FALLECIDO SI/NO]]="NO",0,1)</f>
        <v>1</v>
      </c>
      <c r="BU181" s="1">
        <f ca="1">IF(higado[[#This Row],[FALLECIDO_COD]]=0,TODAY()-higado[[#This Row],[FECHA_TRASPLANTE]],higado[[#This Row],[FECHA DE DEFUNCIÓN]]-higado[[#This Row],[FECHA_TRASPLANTE]])</f>
        <v>12</v>
      </c>
      <c r="BV181" s="1">
        <f ca="1">IF(higado[[#This Row],[FALLECIDO_COD]]=0,TODAY()-higado[[#This Row],[FECHA_TRASPLANTE]],higado[[#This Row],[FECHA DE DEFUNCIÓN]]-higado[[#This Row],[FECHA_TRASPLANTE]])/30.4375</f>
        <v>0.3942505133470226</v>
      </c>
      <c r="BW181" s="1">
        <f ca="1">IF(higado[[#This Row],[FALLECIDO_COD]]=0,TODAY()-higado[[#This Row],[FECHA_TRASPLANTE]],higado[[#This Row],[FECHA DE DEFUNCIÓN]]-higado[[#This Row],[FECHA_TRASPLANTE]])/365.25</f>
        <v>3.2854209445585217E-2</v>
      </c>
    </row>
    <row r="182" spans="1:75" x14ac:dyDescent="0.35">
      <c r="A182" t="s">
        <v>75</v>
      </c>
      <c r="B182" t="s">
        <v>75</v>
      </c>
      <c r="C182" t="s">
        <v>939</v>
      </c>
      <c r="D182" t="s">
        <v>380</v>
      </c>
      <c r="E182" t="s">
        <v>77</v>
      </c>
      <c r="F182" t="s">
        <v>106</v>
      </c>
      <c r="G182" t="s">
        <v>200</v>
      </c>
      <c r="H182">
        <v>35542</v>
      </c>
      <c r="I182">
        <v>26.768651608487339</v>
      </c>
      <c r="J182" t="s">
        <v>77</v>
      </c>
      <c r="K182" t="s">
        <v>940</v>
      </c>
      <c r="L182" t="s">
        <v>185</v>
      </c>
      <c r="M182" t="s">
        <v>432</v>
      </c>
      <c r="N182">
        <v>106070811</v>
      </c>
      <c r="O182" s="18">
        <v>45319.25</v>
      </c>
      <c r="P182" t="s">
        <v>81</v>
      </c>
      <c r="Q182" s="2">
        <v>23201.25</v>
      </c>
      <c r="R182" s="1">
        <f>(higado[[#This Row],[FECHA_TRASPLANTE]]-higado[[#This Row],[FECHA_NAC]])/365.25</f>
        <v>60.555783709787818</v>
      </c>
      <c r="S182" t="s">
        <v>200</v>
      </c>
      <c r="T182" s="2">
        <v>45279.322916666664</v>
      </c>
      <c r="U182" t="s">
        <v>871</v>
      </c>
      <c r="V182">
        <v>24</v>
      </c>
      <c r="W182" t="s">
        <v>82</v>
      </c>
      <c r="X182" t="s">
        <v>91</v>
      </c>
      <c r="Y182" t="s">
        <v>215</v>
      </c>
      <c r="Z182" t="s">
        <v>215</v>
      </c>
      <c r="AD182">
        <v>9</v>
      </c>
      <c r="AF182" t="s">
        <v>375</v>
      </c>
      <c r="AG182" t="s">
        <v>375</v>
      </c>
      <c r="AH182" t="s">
        <v>375</v>
      </c>
      <c r="AI182" t="s">
        <v>375</v>
      </c>
      <c r="AJ182" t="s">
        <v>762</v>
      </c>
      <c r="AK182" t="s">
        <v>761</v>
      </c>
      <c r="AM182" t="s">
        <v>106</v>
      </c>
      <c r="AQ182" t="s">
        <v>358</v>
      </c>
      <c r="AR182" t="s">
        <v>358</v>
      </c>
      <c r="AY182" t="s">
        <v>106</v>
      </c>
      <c r="BO182">
        <v>116740380</v>
      </c>
      <c r="BP182" t="s">
        <v>81</v>
      </c>
      <c r="BQ182" t="s">
        <v>82</v>
      </c>
      <c r="BS182" s="17">
        <f>higado[[#This Row],[FECHA_TRASPLANTE]]</f>
        <v>45319.25</v>
      </c>
      <c r="BT182">
        <f>IF(higado[[#This Row],[FALLECIDO SI/NO]]="NO",0,1)</f>
        <v>0</v>
      </c>
      <c r="BU182" s="1">
        <f ca="1">IF(higado[[#This Row],[FALLECIDO_COD]]=0,TODAY()-higado[[#This Row],[FECHA_TRASPLANTE]],higado[[#This Row],[FECHA DE DEFUNCIÓN]]-higado[[#This Row],[FECHA_TRASPLANTE]])</f>
        <v>555.75</v>
      </c>
      <c r="BV182" s="1">
        <f ca="1">IF(higado[[#This Row],[FALLECIDO_COD]]=0,TODAY()-higado[[#This Row],[FECHA_TRASPLANTE]],higado[[#This Row],[FECHA DE DEFUNCIÓN]]-higado[[#This Row],[FECHA_TRASPLANTE]])/30.4375</f>
        <v>18.258726899383984</v>
      </c>
      <c r="BW182" s="1">
        <f ca="1">IF(higado[[#This Row],[FALLECIDO_COD]]=0,TODAY()-higado[[#This Row],[FECHA_TRASPLANTE]],higado[[#This Row],[FECHA DE DEFUNCIÓN]]-higado[[#This Row],[FECHA_TRASPLANTE]])/365.25</f>
        <v>1.5215605749486654</v>
      </c>
    </row>
    <row r="183" spans="1:75" x14ac:dyDescent="0.35">
      <c r="A183" t="s">
        <v>75</v>
      </c>
      <c r="B183" t="s">
        <v>75</v>
      </c>
      <c r="C183" t="s">
        <v>941</v>
      </c>
      <c r="D183" t="s">
        <v>380</v>
      </c>
      <c r="E183" t="s">
        <v>77</v>
      </c>
      <c r="F183" t="s">
        <v>86</v>
      </c>
      <c r="G183" t="s">
        <v>210</v>
      </c>
      <c r="H183">
        <v>28825</v>
      </c>
      <c r="I183">
        <v>45.164271047227928</v>
      </c>
      <c r="J183" t="s">
        <v>77</v>
      </c>
      <c r="K183" t="s">
        <v>942</v>
      </c>
      <c r="L183" t="s">
        <v>921</v>
      </c>
      <c r="M183" t="s">
        <v>167</v>
      </c>
      <c r="N183">
        <v>303040275</v>
      </c>
      <c r="O183" s="18">
        <v>45321.25</v>
      </c>
      <c r="P183" t="s">
        <v>81</v>
      </c>
      <c r="Q183" s="2">
        <v>25407.25</v>
      </c>
      <c r="R183" s="1">
        <f>(higado[[#This Row],[FECHA_TRASPLANTE]]-higado[[#This Row],[FECHA_NAC]])/365.25</f>
        <v>54.521560574948666</v>
      </c>
      <c r="S183" t="s">
        <v>210</v>
      </c>
      <c r="T183" s="2">
        <v>45280.756944444445</v>
      </c>
      <c r="U183" t="s">
        <v>943</v>
      </c>
      <c r="V183">
        <v>22</v>
      </c>
      <c r="W183" t="s">
        <v>82</v>
      </c>
      <c r="X183" t="s">
        <v>110</v>
      </c>
      <c r="Y183" t="s">
        <v>340</v>
      </c>
      <c r="Z183" t="s">
        <v>340</v>
      </c>
      <c r="AD183">
        <v>22</v>
      </c>
      <c r="AF183" t="s">
        <v>375</v>
      </c>
      <c r="AG183" t="s">
        <v>375</v>
      </c>
      <c r="AH183" t="s">
        <v>375</v>
      </c>
      <c r="AI183" t="s">
        <v>375</v>
      </c>
      <c r="AJ183" t="s">
        <v>762</v>
      </c>
      <c r="AK183" t="s">
        <v>761</v>
      </c>
      <c r="AM183" t="s">
        <v>106</v>
      </c>
      <c r="AQ183" t="s">
        <v>358</v>
      </c>
      <c r="AR183" t="s">
        <v>358</v>
      </c>
      <c r="AY183" t="s">
        <v>106</v>
      </c>
      <c r="BO183">
        <v>2780103503</v>
      </c>
      <c r="BP183" t="s">
        <v>90</v>
      </c>
      <c r="BQ183" t="s">
        <v>944</v>
      </c>
      <c r="BS183" s="17">
        <f>higado[[#This Row],[FECHA_TRASPLANTE]]</f>
        <v>45321.25</v>
      </c>
      <c r="BT183">
        <f>IF(higado[[#This Row],[FALLECIDO SI/NO]]="NO",0,1)</f>
        <v>0</v>
      </c>
      <c r="BU183" s="1">
        <f ca="1">IF(higado[[#This Row],[FALLECIDO_COD]]=0,TODAY()-higado[[#This Row],[FECHA_TRASPLANTE]],higado[[#This Row],[FECHA DE DEFUNCIÓN]]-higado[[#This Row],[FECHA_TRASPLANTE]])</f>
        <v>553.75</v>
      </c>
      <c r="BV183" s="1">
        <f ca="1">IF(higado[[#This Row],[FALLECIDO_COD]]=0,TODAY()-higado[[#This Row],[FECHA_TRASPLANTE]],higado[[#This Row],[FECHA DE DEFUNCIÓN]]-higado[[#This Row],[FECHA_TRASPLANTE]])/30.4375</f>
        <v>18.193018480492814</v>
      </c>
      <c r="BW183" s="1">
        <f ca="1">IF(higado[[#This Row],[FALLECIDO_COD]]=0,TODAY()-higado[[#This Row],[FECHA_TRASPLANTE]],higado[[#This Row],[FECHA DE DEFUNCIÓN]]-higado[[#This Row],[FECHA_TRASPLANTE]])/365.25</f>
        <v>1.516084873374401</v>
      </c>
    </row>
    <row r="184" spans="1:75" x14ac:dyDescent="0.35">
      <c r="A184" t="s">
        <v>75</v>
      </c>
      <c r="B184" t="s">
        <v>75</v>
      </c>
      <c r="C184" t="s">
        <v>322</v>
      </c>
      <c r="D184" t="s">
        <v>380</v>
      </c>
      <c r="E184" t="s">
        <v>77</v>
      </c>
      <c r="F184" t="s">
        <v>106</v>
      </c>
      <c r="G184" t="s">
        <v>200</v>
      </c>
      <c r="H184">
        <v>29811</v>
      </c>
      <c r="I184">
        <v>42.486652977412732</v>
      </c>
      <c r="J184" t="s">
        <v>77</v>
      </c>
      <c r="K184" t="s">
        <v>945</v>
      </c>
      <c r="L184" t="s">
        <v>79</v>
      </c>
      <c r="M184" t="s">
        <v>946</v>
      </c>
      <c r="N184">
        <v>800670136</v>
      </c>
      <c r="O184" s="18">
        <v>45329.25</v>
      </c>
      <c r="P184" t="s">
        <v>90</v>
      </c>
      <c r="Q184" s="2">
        <v>21510.25</v>
      </c>
      <c r="R184" s="1">
        <f>(higado[[#This Row],[FECHA_TRASPLANTE]]-higado[[#This Row],[FECHA_NAC]])/365.25</f>
        <v>65.212867898699514</v>
      </c>
      <c r="S184" t="s">
        <v>200</v>
      </c>
      <c r="T184" s="2">
        <v>44918.628472222219</v>
      </c>
      <c r="U184" t="s">
        <v>776</v>
      </c>
      <c r="V184">
        <v>24</v>
      </c>
      <c r="W184" t="s">
        <v>947</v>
      </c>
      <c r="X184" t="s">
        <v>91</v>
      </c>
      <c r="Y184" t="s">
        <v>91</v>
      </c>
      <c r="Z184" t="s">
        <v>494</v>
      </c>
      <c r="AD184">
        <v>8</v>
      </c>
      <c r="AF184" t="s">
        <v>375</v>
      </c>
      <c r="AG184" t="s">
        <v>375</v>
      </c>
      <c r="AH184" t="s">
        <v>375</v>
      </c>
      <c r="AI184" t="s">
        <v>375</v>
      </c>
      <c r="AJ184" t="s">
        <v>762</v>
      </c>
      <c r="AK184" t="s">
        <v>761</v>
      </c>
      <c r="AM184" t="s">
        <v>106</v>
      </c>
      <c r="AQ184" t="s">
        <v>358</v>
      </c>
      <c r="AR184" t="s">
        <v>358</v>
      </c>
      <c r="AY184" t="s">
        <v>106</v>
      </c>
      <c r="BO184">
        <v>111110631</v>
      </c>
      <c r="BP184" t="s">
        <v>81</v>
      </c>
      <c r="BQ184" t="s">
        <v>82</v>
      </c>
      <c r="BS184" s="17">
        <f>higado[[#This Row],[FECHA_TRASPLANTE]]</f>
        <v>45329.25</v>
      </c>
      <c r="BT184">
        <f>IF(higado[[#This Row],[FALLECIDO SI/NO]]="NO",0,1)</f>
        <v>0</v>
      </c>
      <c r="BU184" s="1">
        <f ca="1">IF(higado[[#This Row],[FALLECIDO_COD]]=0,TODAY()-higado[[#This Row],[FECHA_TRASPLANTE]],higado[[#This Row],[FECHA DE DEFUNCIÓN]]-higado[[#This Row],[FECHA_TRASPLANTE]])</f>
        <v>545.75</v>
      </c>
      <c r="BV184" s="1">
        <f ca="1">IF(higado[[#This Row],[FALLECIDO_COD]]=0,TODAY()-higado[[#This Row],[FECHA_TRASPLANTE]],higado[[#This Row],[FECHA DE DEFUNCIÓN]]-higado[[#This Row],[FECHA_TRASPLANTE]])/30.4375</f>
        <v>17.930184804928132</v>
      </c>
      <c r="BW184" s="1">
        <f ca="1">IF(higado[[#This Row],[FALLECIDO_COD]]=0,TODAY()-higado[[#This Row],[FECHA_TRASPLANTE]],higado[[#This Row],[FECHA DE DEFUNCIÓN]]-higado[[#This Row],[FECHA_TRASPLANTE]])/365.25</f>
        <v>1.4941820670773442</v>
      </c>
    </row>
    <row r="185" spans="1:75" x14ac:dyDescent="0.35">
      <c r="A185" t="s">
        <v>75</v>
      </c>
      <c r="B185" t="s">
        <v>75</v>
      </c>
      <c r="C185" t="s">
        <v>948</v>
      </c>
      <c r="D185" t="s">
        <v>380</v>
      </c>
      <c r="E185" t="s">
        <v>77</v>
      </c>
      <c r="F185" t="s">
        <v>106</v>
      </c>
      <c r="G185" t="s">
        <v>200</v>
      </c>
      <c r="H185">
        <v>30520</v>
      </c>
      <c r="I185">
        <v>40.663244353182755</v>
      </c>
      <c r="J185" t="s">
        <v>77</v>
      </c>
      <c r="K185" t="s">
        <v>949</v>
      </c>
      <c r="L185" t="s">
        <v>950</v>
      </c>
      <c r="M185" t="s">
        <v>741</v>
      </c>
      <c r="N185">
        <v>302430957</v>
      </c>
      <c r="O185" s="18">
        <v>45372.25</v>
      </c>
      <c r="P185" t="s">
        <v>90</v>
      </c>
      <c r="Q185" s="2">
        <v>22229.25</v>
      </c>
      <c r="R185" s="1">
        <f>(higado[[#This Row],[FECHA_TRASPLANTE]]-higado[[#This Row],[FECHA_NAC]])/365.25</f>
        <v>63.362080766598218</v>
      </c>
      <c r="S185" t="s">
        <v>200</v>
      </c>
      <c r="T185" s="2">
        <v>45337.470138888886</v>
      </c>
      <c r="U185" t="s">
        <v>766</v>
      </c>
      <c r="V185">
        <v>22</v>
      </c>
      <c r="W185" t="s">
        <v>82</v>
      </c>
      <c r="X185" t="s">
        <v>110</v>
      </c>
      <c r="Y185" t="s">
        <v>111</v>
      </c>
      <c r="Z185" t="s">
        <v>951</v>
      </c>
      <c r="AD185">
        <v>5</v>
      </c>
      <c r="AF185" t="s">
        <v>375</v>
      </c>
      <c r="AG185" t="s">
        <v>375</v>
      </c>
      <c r="AH185" t="s">
        <v>375</v>
      </c>
      <c r="AI185" t="s">
        <v>375</v>
      </c>
      <c r="AJ185" t="s">
        <v>762</v>
      </c>
      <c r="AK185" t="s">
        <v>761</v>
      </c>
      <c r="AM185" t="s">
        <v>106</v>
      </c>
      <c r="AQ185" t="s">
        <v>358</v>
      </c>
      <c r="AR185" t="s">
        <v>358</v>
      </c>
      <c r="AY185" t="s">
        <v>106</v>
      </c>
      <c r="BO185">
        <v>111790146</v>
      </c>
      <c r="BP185" t="s">
        <v>90</v>
      </c>
      <c r="BQ185" t="s">
        <v>82</v>
      </c>
      <c r="BS185" s="17">
        <f>higado[[#This Row],[FECHA_TRASPLANTE]]</f>
        <v>45372.25</v>
      </c>
      <c r="BT185">
        <f>IF(higado[[#This Row],[FALLECIDO SI/NO]]="NO",0,1)</f>
        <v>0</v>
      </c>
      <c r="BU185" s="1">
        <f ca="1">IF(higado[[#This Row],[FALLECIDO_COD]]=0,TODAY()-higado[[#This Row],[FECHA_TRASPLANTE]],higado[[#This Row],[FECHA DE DEFUNCIÓN]]-higado[[#This Row],[FECHA_TRASPLANTE]])</f>
        <v>502.75</v>
      </c>
      <c r="BV185" s="1">
        <f ca="1">IF(higado[[#This Row],[FALLECIDO_COD]]=0,TODAY()-higado[[#This Row],[FECHA_TRASPLANTE]],higado[[#This Row],[FECHA DE DEFUNCIÓN]]-higado[[#This Row],[FECHA_TRASPLANTE]])/30.4375</f>
        <v>16.517453798767967</v>
      </c>
      <c r="BW185" s="1">
        <f ca="1">IF(higado[[#This Row],[FALLECIDO_COD]]=0,TODAY()-higado[[#This Row],[FECHA_TRASPLANTE]],higado[[#This Row],[FECHA DE DEFUNCIÓN]]-higado[[#This Row],[FECHA_TRASPLANTE]])/365.25</f>
        <v>1.376454483230664</v>
      </c>
    </row>
    <row r="186" spans="1:75" x14ac:dyDescent="0.35">
      <c r="A186" t="s">
        <v>75</v>
      </c>
      <c r="B186" t="s">
        <v>75</v>
      </c>
      <c r="C186" t="s">
        <v>952</v>
      </c>
      <c r="D186" t="s">
        <v>380</v>
      </c>
      <c r="E186" t="s">
        <v>77</v>
      </c>
      <c r="F186" t="s">
        <v>106</v>
      </c>
      <c r="G186" t="s">
        <v>200</v>
      </c>
      <c r="H186">
        <v>26142</v>
      </c>
      <c r="I186">
        <v>52.66050650239562</v>
      </c>
      <c r="J186" t="s">
        <v>77</v>
      </c>
      <c r="K186" t="s">
        <v>953</v>
      </c>
      <c r="L186" t="s">
        <v>954</v>
      </c>
      <c r="M186" t="s">
        <v>265</v>
      </c>
      <c r="N186">
        <v>303050609</v>
      </c>
      <c r="O186" s="18">
        <v>45376.25</v>
      </c>
      <c r="P186" t="s">
        <v>81</v>
      </c>
      <c r="Q186" s="2">
        <v>25522.25</v>
      </c>
      <c r="R186" s="1">
        <f>(higado[[#This Row],[FECHA_TRASPLANTE]]-higado[[#This Row],[FECHA_NAC]])/365.25</f>
        <v>54.357289527720738</v>
      </c>
      <c r="S186" t="s">
        <v>200</v>
      </c>
      <c r="T186" s="2">
        <v>44754.998611111114</v>
      </c>
      <c r="U186" t="s">
        <v>955</v>
      </c>
      <c r="V186">
        <v>23</v>
      </c>
      <c r="W186" t="s">
        <v>82</v>
      </c>
      <c r="X186" t="s">
        <v>91</v>
      </c>
      <c r="Y186" t="s">
        <v>553</v>
      </c>
      <c r="Z186" t="s">
        <v>634</v>
      </c>
      <c r="AD186">
        <v>7</v>
      </c>
      <c r="AF186" t="s">
        <v>375</v>
      </c>
      <c r="AG186" t="s">
        <v>375</v>
      </c>
      <c r="AH186" t="s">
        <v>375</v>
      </c>
      <c r="AI186" t="s">
        <v>375</v>
      </c>
      <c r="AJ186" t="s">
        <v>762</v>
      </c>
      <c r="AK186" t="s">
        <v>761</v>
      </c>
      <c r="AM186" t="s">
        <v>106</v>
      </c>
      <c r="AQ186" t="s">
        <v>358</v>
      </c>
      <c r="AR186" t="s">
        <v>358</v>
      </c>
      <c r="AY186" t="s">
        <v>106</v>
      </c>
      <c r="BO186">
        <v>17125091</v>
      </c>
      <c r="BP186" t="s">
        <v>81</v>
      </c>
      <c r="BQ186" t="s">
        <v>146</v>
      </c>
      <c r="BS186" s="17">
        <f>higado[[#This Row],[FECHA_TRASPLANTE]]</f>
        <v>45376.25</v>
      </c>
      <c r="BT186">
        <f>IF(higado[[#This Row],[FALLECIDO SI/NO]]="NO",0,1)</f>
        <v>0</v>
      </c>
      <c r="BU186" s="1">
        <f ca="1">IF(higado[[#This Row],[FALLECIDO_COD]]=0,TODAY()-higado[[#This Row],[FECHA_TRASPLANTE]],higado[[#This Row],[FECHA DE DEFUNCIÓN]]-higado[[#This Row],[FECHA_TRASPLANTE]])</f>
        <v>498.75</v>
      </c>
      <c r="BV186" s="1">
        <f ca="1">IF(higado[[#This Row],[FALLECIDO_COD]]=0,TODAY()-higado[[#This Row],[FECHA_TRASPLANTE]],higado[[#This Row],[FECHA DE DEFUNCIÓN]]-higado[[#This Row],[FECHA_TRASPLANTE]])/30.4375</f>
        <v>16.386036960985628</v>
      </c>
      <c r="BW186" s="1">
        <f ca="1">IF(higado[[#This Row],[FALLECIDO_COD]]=0,TODAY()-higado[[#This Row],[FECHA_TRASPLANTE]],higado[[#This Row],[FECHA DE DEFUNCIÓN]]-higado[[#This Row],[FECHA_TRASPLANTE]])/365.25</f>
        <v>1.3655030800821355</v>
      </c>
    </row>
    <row r="187" spans="1:75" x14ac:dyDescent="0.35">
      <c r="A187" t="s">
        <v>377</v>
      </c>
      <c r="B187" t="s">
        <v>377</v>
      </c>
      <c r="C187" t="s">
        <v>956</v>
      </c>
      <c r="D187" t="s">
        <v>380</v>
      </c>
      <c r="E187" t="s">
        <v>77</v>
      </c>
      <c r="F187" t="s">
        <v>106</v>
      </c>
      <c r="G187" t="s">
        <v>210</v>
      </c>
      <c r="H187">
        <v>39706</v>
      </c>
      <c r="I187">
        <v>15.526351813826146</v>
      </c>
      <c r="J187" t="s">
        <v>77</v>
      </c>
      <c r="K187" t="s">
        <v>957</v>
      </c>
      <c r="L187" t="s">
        <v>913</v>
      </c>
      <c r="M187" t="s">
        <v>913</v>
      </c>
      <c r="N187">
        <v>203810539</v>
      </c>
      <c r="O187" s="18">
        <v>45377</v>
      </c>
      <c r="P187" t="s">
        <v>81</v>
      </c>
      <c r="Q187" s="2">
        <v>22654</v>
      </c>
      <c r="R187" s="1">
        <f>(higado[[#This Row],[FECHA_TRASPLANTE]]-higado[[#This Row],[FECHA_NAC]])/365.25</f>
        <v>62.212183436002739</v>
      </c>
      <c r="S187" t="s">
        <v>210</v>
      </c>
      <c r="U187" t="s">
        <v>958</v>
      </c>
      <c r="V187">
        <v>9</v>
      </c>
      <c r="W187" t="s">
        <v>82</v>
      </c>
      <c r="X187" t="s">
        <v>115</v>
      </c>
      <c r="Y187" t="s">
        <v>84</v>
      </c>
      <c r="Z187" t="s">
        <v>91</v>
      </c>
      <c r="AF187" t="s">
        <v>850</v>
      </c>
      <c r="AG187" t="s">
        <v>375</v>
      </c>
      <c r="AH187" t="s">
        <v>375</v>
      </c>
      <c r="AI187" t="s">
        <v>375</v>
      </c>
      <c r="AM187" t="s">
        <v>106</v>
      </c>
      <c r="AQ187" t="s">
        <v>358</v>
      </c>
      <c r="AR187" t="s">
        <v>358</v>
      </c>
      <c r="BO187">
        <v>120340940</v>
      </c>
      <c r="BP187" t="s">
        <v>81</v>
      </c>
      <c r="BQ187" t="s">
        <v>82</v>
      </c>
      <c r="BS187" s="17">
        <f>higado[[#This Row],[FECHA_TRASPLANTE]]</f>
        <v>45377</v>
      </c>
      <c r="BT187">
        <f>IF(higado[[#This Row],[FALLECIDO SI/NO]]="NO",0,1)</f>
        <v>0</v>
      </c>
      <c r="BU187" s="1">
        <f ca="1">IF(higado[[#This Row],[FALLECIDO_COD]]=0,TODAY()-higado[[#This Row],[FECHA_TRASPLANTE]],higado[[#This Row],[FECHA DE DEFUNCIÓN]]-higado[[#This Row],[FECHA_TRASPLANTE]])</f>
        <v>498</v>
      </c>
      <c r="BV187" s="1">
        <f ca="1">IF(higado[[#This Row],[FALLECIDO_COD]]=0,TODAY()-higado[[#This Row],[FECHA_TRASPLANTE]],higado[[#This Row],[FECHA DE DEFUNCIÓN]]-higado[[#This Row],[FECHA_TRASPLANTE]])/30.4375</f>
        <v>16.361396303901437</v>
      </c>
      <c r="BW187" s="1">
        <f ca="1">IF(higado[[#This Row],[FALLECIDO_COD]]=0,TODAY()-higado[[#This Row],[FECHA_TRASPLANTE]],higado[[#This Row],[FECHA DE DEFUNCIÓN]]-higado[[#This Row],[FECHA_TRASPLANTE]])/365.25</f>
        <v>1.3634496919917864</v>
      </c>
    </row>
    <row r="188" spans="1:75" x14ac:dyDescent="0.35">
      <c r="A188" t="s">
        <v>75</v>
      </c>
      <c r="B188" t="s">
        <v>75</v>
      </c>
      <c r="C188" t="s">
        <v>959</v>
      </c>
      <c r="D188" t="s">
        <v>380</v>
      </c>
      <c r="E188" t="s">
        <v>77</v>
      </c>
      <c r="F188" t="s">
        <v>106</v>
      </c>
      <c r="G188" t="s">
        <v>210</v>
      </c>
      <c r="H188">
        <v>34459</v>
      </c>
      <c r="I188">
        <v>30.056125941136209</v>
      </c>
      <c r="J188" t="s">
        <v>77</v>
      </c>
      <c r="K188" t="s">
        <v>960</v>
      </c>
      <c r="L188" t="s">
        <v>961</v>
      </c>
      <c r="M188" t="s">
        <v>962</v>
      </c>
      <c r="N188">
        <v>106260267</v>
      </c>
      <c r="O188" s="18">
        <v>45437</v>
      </c>
      <c r="P188" t="s">
        <v>81</v>
      </c>
      <c r="Q188" s="2">
        <v>23484</v>
      </c>
      <c r="R188" s="1">
        <f>(higado[[#This Row],[FECHA_TRASPLANTE]]-higado[[#This Row],[FECHA_NAC]])/365.25</f>
        <v>60.10403832991102</v>
      </c>
      <c r="S188" t="s">
        <v>210</v>
      </c>
      <c r="T188" s="2">
        <v>45268.083333333336</v>
      </c>
      <c r="U188" t="s">
        <v>776</v>
      </c>
      <c r="V188">
        <v>28</v>
      </c>
      <c r="W188" t="s">
        <v>82</v>
      </c>
      <c r="X188" t="s">
        <v>91</v>
      </c>
      <c r="Y188" t="s">
        <v>553</v>
      </c>
      <c r="Z188" t="s">
        <v>553</v>
      </c>
      <c r="AD188">
        <v>6</v>
      </c>
      <c r="AF188" t="s">
        <v>375</v>
      </c>
      <c r="AG188" t="s">
        <v>375</v>
      </c>
      <c r="AH188" t="s">
        <v>375</v>
      </c>
      <c r="AI188" t="s">
        <v>375</v>
      </c>
      <c r="AJ188" t="s">
        <v>762</v>
      </c>
      <c r="AK188" t="s">
        <v>761</v>
      </c>
      <c r="AM188" t="s">
        <v>106</v>
      </c>
      <c r="AQ188" t="s">
        <v>358</v>
      </c>
      <c r="AR188" t="s">
        <v>358</v>
      </c>
      <c r="AY188" t="s">
        <v>106</v>
      </c>
      <c r="BO188">
        <v>115690348</v>
      </c>
      <c r="BP188" t="s">
        <v>81</v>
      </c>
      <c r="BQ188" t="s">
        <v>82</v>
      </c>
      <c r="BS188" s="17">
        <f>higado[[#This Row],[FECHA_TRASPLANTE]]</f>
        <v>45437</v>
      </c>
      <c r="BT188">
        <f>IF(higado[[#This Row],[FALLECIDO SI/NO]]="NO",0,1)</f>
        <v>0</v>
      </c>
      <c r="BU188" s="1">
        <f ca="1">IF(higado[[#This Row],[FALLECIDO_COD]]=0,TODAY()-higado[[#This Row],[FECHA_TRASPLANTE]],higado[[#This Row],[FECHA DE DEFUNCIÓN]]-higado[[#This Row],[FECHA_TRASPLANTE]])</f>
        <v>438</v>
      </c>
      <c r="BV188" s="1">
        <f ca="1">IF(higado[[#This Row],[FALLECIDO_COD]]=0,TODAY()-higado[[#This Row],[FECHA_TRASPLANTE]],higado[[#This Row],[FECHA DE DEFUNCIÓN]]-higado[[#This Row],[FECHA_TRASPLANTE]])/30.4375</f>
        <v>14.390143737166325</v>
      </c>
      <c r="BW188" s="1">
        <f ca="1">IF(higado[[#This Row],[FALLECIDO_COD]]=0,TODAY()-higado[[#This Row],[FECHA_TRASPLANTE]],higado[[#This Row],[FECHA DE DEFUNCIÓN]]-higado[[#This Row],[FECHA_TRASPLANTE]])/365.25</f>
        <v>1.1991786447638604</v>
      </c>
    </row>
    <row r="189" spans="1:75" x14ac:dyDescent="0.35">
      <c r="A189" t="s">
        <v>75</v>
      </c>
      <c r="B189" t="s">
        <v>75</v>
      </c>
      <c r="C189" t="s">
        <v>963</v>
      </c>
      <c r="D189" t="s">
        <v>380</v>
      </c>
      <c r="E189" t="s">
        <v>77</v>
      </c>
      <c r="F189" t="s">
        <v>106</v>
      </c>
      <c r="G189" t="s">
        <v>200</v>
      </c>
      <c r="H189">
        <v>31328</v>
      </c>
      <c r="I189">
        <v>38.670088980150581</v>
      </c>
      <c r="J189" t="s">
        <v>77</v>
      </c>
      <c r="K189" t="s">
        <v>964</v>
      </c>
      <c r="L189" t="s">
        <v>99</v>
      </c>
      <c r="M189" t="s">
        <v>518</v>
      </c>
      <c r="N189">
        <v>108980167</v>
      </c>
      <c r="O189" s="18">
        <v>45452.25</v>
      </c>
      <c r="P189" t="s">
        <v>90</v>
      </c>
      <c r="Q189" s="2">
        <v>27356.25</v>
      </c>
      <c r="R189" s="1">
        <f>(higado[[#This Row],[FECHA_TRASPLANTE]]-higado[[#This Row],[FECHA_NAC]])/365.25</f>
        <v>49.544147843942504</v>
      </c>
      <c r="S189" t="s">
        <v>200</v>
      </c>
      <c r="T189" s="2">
        <v>42005</v>
      </c>
      <c r="U189" t="s">
        <v>965</v>
      </c>
      <c r="V189">
        <v>28</v>
      </c>
      <c r="W189" t="s">
        <v>82</v>
      </c>
      <c r="X189" t="s">
        <v>115</v>
      </c>
      <c r="Y189" t="s">
        <v>966</v>
      </c>
      <c r="Z189" t="s">
        <v>967</v>
      </c>
      <c r="AD189">
        <v>6</v>
      </c>
      <c r="AF189" t="s">
        <v>375</v>
      </c>
      <c r="AG189" t="s">
        <v>375</v>
      </c>
      <c r="AH189" t="s">
        <v>375</v>
      </c>
      <c r="AI189" t="s">
        <v>375</v>
      </c>
      <c r="AJ189" t="s">
        <v>762</v>
      </c>
      <c r="AK189" t="s">
        <v>761</v>
      </c>
      <c r="AM189" t="s">
        <v>106</v>
      </c>
      <c r="AQ189" t="s">
        <v>358</v>
      </c>
      <c r="AR189" t="s">
        <v>358</v>
      </c>
      <c r="AY189" t="s">
        <v>106</v>
      </c>
      <c r="BO189">
        <v>112560769</v>
      </c>
      <c r="BP189" t="s">
        <v>90</v>
      </c>
      <c r="BQ189" t="s">
        <v>82</v>
      </c>
      <c r="BS189" s="17">
        <f>higado[[#This Row],[FECHA_TRASPLANTE]]</f>
        <v>45452.25</v>
      </c>
      <c r="BT189">
        <f>IF(higado[[#This Row],[FALLECIDO SI/NO]]="NO",0,1)</f>
        <v>0</v>
      </c>
      <c r="BU189" s="1">
        <f ca="1">IF(higado[[#This Row],[FALLECIDO_COD]]=0,TODAY()-higado[[#This Row],[FECHA_TRASPLANTE]],higado[[#This Row],[FECHA DE DEFUNCIÓN]]-higado[[#This Row],[FECHA_TRASPLANTE]])</f>
        <v>422.75</v>
      </c>
      <c r="BV189" s="1">
        <f ca="1">IF(higado[[#This Row],[FALLECIDO_COD]]=0,TODAY()-higado[[#This Row],[FECHA_TRASPLANTE]],higado[[#This Row],[FECHA DE DEFUNCIÓN]]-higado[[#This Row],[FECHA_TRASPLANTE]])/30.4375</f>
        <v>13.88911704312115</v>
      </c>
      <c r="BW189" s="1">
        <f ca="1">IF(higado[[#This Row],[FALLECIDO_COD]]=0,TODAY()-higado[[#This Row],[FECHA_TRASPLANTE]],higado[[#This Row],[FECHA DE DEFUNCIÓN]]-higado[[#This Row],[FECHA_TRASPLANTE]])/365.25</f>
        <v>1.1574264202600959</v>
      </c>
    </row>
    <row r="190" spans="1:75" x14ac:dyDescent="0.35">
      <c r="A190" t="s">
        <v>75</v>
      </c>
      <c r="B190" t="s">
        <v>75</v>
      </c>
      <c r="C190" t="s">
        <v>968</v>
      </c>
      <c r="D190" t="s">
        <v>380</v>
      </c>
      <c r="E190" t="s">
        <v>77</v>
      </c>
      <c r="F190" t="s">
        <v>106</v>
      </c>
      <c r="G190" t="s">
        <v>200</v>
      </c>
      <c r="H190">
        <v>32320</v>
      </c>
      <c r="I190">
        <v>35.959616700889804</v>
      </c>
      <c r="J190" t="s">
        <v>77</v>
      </c>
      <c r="K190" t="s">
        <v>969</v>
      </c>
      <c r="L190" t="s">
        <v>474</v>
      </c>
      <c r="M190" t="s">
        <v>526</v>
      </c>
      <c r="N190">
        <v>601720936</v>
      </c>
      <c r="O190" s="18">
        <v>45454.25</v>
      </c>
      <c r="P190" t="s">
        <v>81</v>
      </c>
      <c r="Q190" s="2">
        <v>23090.25</v>
      </c>
      <c r="R190" s="1">
        <f>(higado[[#This Row],[FECHA_TRASPLANTE]]-higado[[#This Row],[FECHA_NAC]])/365.25</f>
        <v>61.229295003422315</v>
      </c>
      <c r="S190" t="s">
        <v>344</v>
      </c>
      <c r="T190" s="2">
        <v>45302.529861111114</v>
      </c>
      <c r="U190" t="s">
        <v>970</v>
      </c>
      <c r="V190">
        <v>28</v>
      </c>
      <c r="W190" t="s">
        <v>82</v>
      </c>
      <c r="X190" t="s">
        <v>83</v>
      </c>
      <c r="Y190" t="s">
        <v>100</v>
      </c>
      <c r="Z190" t="s">
        <v>101</v>
      </c>
      <c r="AD190">
        <v>6</v>
      </c>
      <c r="AF190" t="s">
        <v>375</v>
      </c>
      <c r="AG190" t="s">
        <v>375</v>
      </c>
      <c r="AH190" t="s">
        <v>375</v>
      </c>
      <c r="AI190" t="s">
        <v>375</v>
      </c>
      <c r="AJ190" t="s">
        <v>762</v>
      </c>
      <c r="AK190" t="s">
        <v>761</v>
      </c>
      <c r="AM190" t="s">
        <v>106</v>
      </c>
      <c r="AQ190" t="s">
        <v>358</v>
      </c>
      <c r="AR190" t="s">
        <v>358</v>
      </c>
      <c r="AY190" t="s">
        <v>106</v>
      </c>
      <c r="BO190">
        <v>603720543</v>
      </c>
      <c r="BP190" t="s">
        <v>81</v>
      </c>
      <c r="BQ190" t="s">
        <v>82</v>
      </c>
      <c r="BS190" s="17">
        <f>higado[[#This Row],[FECHA_TRASPLANTE]]</f>
        <v>45454.25</v>
      </c>
      <c r="BT190">
        <f>IF(higado[[#This Row],[FALLECIDO SI/NO]]="NO",0,1)</f>
        <v>0</v>
      </c>
      <c r="BU190" s="1">
        <f ca="1">IF(higado[[#This Row],[FALLECIDO_COD]]=0,TODAY()-higado[[#This Row],[FECHA_TRASPLANTE]],higado[[#This Row],[FECHA DE DEFUNCIÓN]]-higado[[#This Row],[FECHA_TRASPLANTE]])</f>
        <v>420.75</v>
      </c>
      <c r="BV190" s="1">
        <f ca="1">IF(higado[[#This Row],[FALLECIDO_COD]]=0,TODAY()-higado[[#This Row],[FECHA_TRASPLANTE]],higado[[#This Row],[FECHA DE DEFUNCIÓN]]-higado[[#This Row],[FECHA_TRASPLANTE]])/30.4375</f>
        <v>13.82340862422998</v>
      </c>
      <c r="BW190" s="1">
        <f ca="1">IF(higado[[#This Row],[FALLECIDO_COD]]=0,TODAY()-higado[[#This Row],[FECHA_TRASPLANTE]],higado[[#This Row],[FECHA DE DEFUNCIÓN]]-higado[[#This Row],[FECHA_TRASPLANTE]])/365.25</f>
        <v>1.1519507186858315</v>
      </c>
    </row>
    <row r="191" spans="1:75" x14ac:dyDescent="0.35">
      <c r="A191" t="s">
        <v>75</v>
      </c>
      <c r="B191" t="s">
        <v>75</v>
      </c>
      <c r="C191" t="s">
        <v>971</v>
      </c>
      <c r="D191" t="s">
        <v>380</v>
      </c>
      <c r="E191" t="s">
        <v>77</v>
      </c>
      <c r="F191" t="s">
        <v>106</v>
      </c>
      <c r="G191" t="s">
        <v>205</v>
      </c>
      <c r="H191">
        <v>31693</v>
      </c>
      <c r="I191">
        <v>37.713894592744694</v>
      </c>
      <c r="J191" t="s">
        <v>77</v>
      </c>
      <c r="K191" t="s">
        <v>972</v>
      </c>
      <c r="L191" t="s">
        <v>155</v>
      </c>
      <c r="M191" t="s">
        <v>800</v>
      </c>
      <c r="N191">
        <v>303060935</v>
      </c>
      <c r="O191" s="18">
        <v>45468</v>
      </c>
      <c r="P191" t="s">
        <v>81</v>
      </c>
      <c r="Q191" s="2">
        <v>25605</v>
      </c>
      <c r="R191" s="1">
        <f>(higado[[#This Row],[FECHA_TRASPLANTE]]-higado[[#This Row],[FECHA_NAC]])/365.25</f>
        <v>54.381930184804929</v>
      </c>
      <c r="S191" t="s">
        <v>205</v>
      </c>
      <c r="T191" s="2">
        <v>45063.53402777778</v>
      </c>
      <c r="U191" t="s">
        <v>973</v>
      </c>
      <c r="V191">
        <v>28</v>
      </c>
      <c r="W191" t="s">
        <v>82</v>
      </c>
      <c r="X191" t="s">
        <v>110</v>
      </c>
      <c r="Y191" t="s">
        <v>110</v>
      </c>
      <c r="Z191" t="s">
        <v>974</v>
      </c>
      <c r="AD191">
        <v>10</v>
      </c>
      <c r="AF191" t="s">
        <v>375</v>
      </c>
      <c r="AG191" t="s">
        <v>375</v>
      </c>
      <c r="AH191" t="s">
        <v>375</v>
      </c>
      <c r="AI191" t="s">
        <v>375</v>
      </c>
      <c r="AJ191" t="s">
        <v>762</v>
      </c>
      <c r="AK191" t="s">
        <v>761</v>
      </c>
      <c r="AM191" t="s">
        <v>106</v>
      </c>
      <c r="AQ191" t="s">
        <v>358</v>
      </c>
      <c r="AR191" t="s">
        <v>358</v>
      </c>
      <c r="AY191" t="s">
        <v>106</v>
      </c>
      <c r="BO191">
        <v>701750374</v>
      </c>
      <c r="BP191" t="s">
        <v>90</v>
      </c>
      <c r="BQ191" t="s">
        <v>82</v>
      </c>
      <c r="BS191" s="17">
        <f>higado[[#This Row],[FECHA_TRASPLANTE]]</f>
        <v>45468</v>
      </c>
      <c r="BT191">
        <f>IF(higado[[#This Row],[FALLECIDO SI/NO]]="NO",0,1)</f>
        <v>0</v>
      </c>
      <c r="BU191" s="1">
        <f ca="1">IF(higado[[#This Row],[FALLECIDO_COD]]=0,TODAY()-higado[[#This Row],[FECHA_TRASPLANTE]],higado[[#This Row],[FECHA DE DEFUNCIÓN]]-higado[[#This Row],[FECHA_TRASPLANTE]])</f>
        <v>407</v>
      </c>
      <c r="BV191" s="1">
        <f ca="1">IF(higado[[#This Row],[FALLECIDO_COD]]=0,TODAY()-higado[[#This Row],[FECHA_TRASPLANTE]],higado[[#This Row],[FECHA DE DEFUNCIÓN]]-higado[[#This Row],[FECHA_TRASPLANTE]])/30.4375</f>
        <v>13.371663244353183</v>
      </c>
      <c r="BW191" s="1">
        <f ca="1">IF(higado[[#This Row],[FALLECIDO_COD]]=0,TODAY()-higado[[#This Row],[FECHA_TRASPLANTE]],higado[[#This Row],[FECHA DE DEFUNCIÓN]]-higado[[#This Row],[FECHA_TRASPLANTE]])/365.25</f>
        <v>1.1143052703627652</v>
      </c>
    </row>
    <row r="192" spans="1:75" x14ac:dyDescent="0.35">
      <c r="A192" t="s">
        <v>75</v>
      </c>
      <c r="B192" t="s">
        <v>75</v>
      </c>
      <c r="C192" t="s">
        <v>975</v>
      </c>
      <c r="D192" t="s">
        <v>380</v>
      </c>
      <c r="E192" t="s">
        <v>77</v>
      </c>
      <c r="F192" t="s">
        <v>106</v>
      </c>
      <c r="G192" t="s">
        <v>200</v>
      </c>
      <c r="H192">
        <v>32976</v>
      </c>
      <c r="I192">
        <v>34.214921286789867</v>
      </c>
      <c r="J192" t="s">
        <v>77</v>
      </c>
      <c r="K192" t="s">
        <v>976</v>
      </c>
      <c r="L192" t="s">
        <v>977</v>
      </c>
      <c r="M192" t="s">
        <v>240</v>
      </c>
      <c r="N192">
        <v>105100828</v>
      </c>
      <c r="O192" s="18">
        <v>45473</v>
      </c>
      <c r="P192" t="s">
        <v>90</v>
      </c>
      <c r="Q192" s="2">
        <v>21708</v>
      </c>
      <c r="R192" s="1">
        <f>(higado[[#This Row],[FECHA_TRASPLANTE]]-higado[[#This Row],[FECHA_NAC]])/365.25</f>
        <v>65.065023956194381</v>
      </c>
      <c r="S192" t="s">
        <v>210</v>
      </c>
      <c r="T192" s="2">
        <v>45377</v>
      </c>
      <c r="U192" t="s">
        <v>445</v>
      </c>
      <c r="V192">
        <v>20</v>
      </c>
      <c r="W192" t="s">
        <v>82</v>
      </c>
      <c r="X192" t="s">
        <v>91</v>
      </c>
      <c r="Y192" t="s">
        <v>91</v>
      </c>
      <c r="Z192" t="s">
        <v>457</v>
      </c>
      <c r="AF192" t="s">
        <v>978</v>
      </c>
      <c r="AG192" t="s">
        <v>375</v>
      </c>
      <c r="AH192" t="s">
        <v>375</v>
      </c>
      <c r="AI192" t="s">
        <v>375</v>
      </c>
      <c r="AM192" t="s">
        <v>106</v>
      </c>
      <c r="AQ192" t="s">
        <v>358</v>
      </c>
      <c r="AR192" t="s">
        <v>358</v>
      </c>
      <c r="BO192">
        <v>22120023796165</v>
      </c>
      <c r="BP192" t="s">
        <v>90</v>
      </c>
      <c r="BQ192" t="s">
        <v>146</v>
      </c>
      <c r="BS192" s="17">
        <f>higado[[#This Row],[FECHA_TRASPLANTE]]</f>
        <v>45473</v>
      </c>
      <c r="BT192">
        <f>IF(higado[[#This Row],[FALLECIDO SI/NO]]="NO",0,1)</f>
        <v>0</v>
      </c>
      <c r="BU192" s="1">
        <f ca="1">IF(higado[[#This Row],[FALLECIDO_COD]]=0,TODAY()-higado[[#This Row],[FECHA_TRASPLANTE]],higado[[#This Row],[FECHA DE DEFUNCIÓN]]-higado[[#This Row],[FECHA_TRASPLANTE]])</f>
        <v>402</v>
      </c>
      <c r="BV192" s="1">
        <f ca="1">IF(higado[[#This Row],[FALLECIDO_COD]]=0,TODAY()-higado[[#This Row],[FECHA_TRASPLANTE]],higado[[#This Row],[FECHA DE DEFUNCIÓN]]-higado[[#This Row],[FECHA_TRASPLANTE]])/30.4375</f>
        <v>13.207392197125257</v>
      </c>
      <c r="BW192" s="1">
        <f ca="1">IF(higado[[#This Row],[FALLECIDO_COD]]=0,TODAY()-higado[[#This Row],[FECHA_TRASPLANTE]],higado[[#This Row],[FECHA DE DEFUNCIÓN]]-higado[[#This Row],[FECHA_TRASPLANTE]])/365.25</f>
        <v>1.1006160164271048</v>
      </c>
    </row>
    <row r="193" spans="1:75" x14ac:dyDescent="0.35">
      <c r="A193" t="s">
        <v>75</v>
      </c>
      <c r="B193" t="s">
        <v>75</v>
      </c>
      <c r="C193" t="s">
        <v>979</v>
      </c>
      <c r="D193" t="s">
        <v>380</v>
      </c>
      <c r="E193" t="s">
        <v>77</v>
      </c>
      <c r="F193" t="s">
        <v>86</v>
      </c>
      <c r="G193" t="s">
        <v>200</v>
      </c>
      <c r="H193">
        <v>32853</v>
      </c>
      <c r="I193">
        <v>34.568104038329913</v>
      </c>
      <c r="J193" t="s">
        <v>77</v>
      </c>
      <c r="K193" t="s">
        <v>980</v>
      </c>
      <c r="L193" t="s">
        <v>981</v>
      </c>
      <c r="M193" t="s">
        <v>588</v>
      </c>
      <c r="N193">
        <v>204220355</v>
      </c>
      <c r="O193" s="18">
        <v>45479</v>
      </c>
      <c r="P193" t="s">
        <v>81</v>
      </c>
      <c r="Q193" s="2">
        <v>24419</v>
      </c>
      <c r="R193" s="1">
        <f>(higado[[#This Row],[FECHA_TRASPLANTE]]-higado[[#This Row],[FECHA_NAC]])/365.25</f>
        <v>57.659137577002056</v>
      </c>
      <c r="S193" t="s">
        <v>200</v>
      </c>
      <c r="T193" s="2">
        <v>45453</v>
      </c>
      <c r="U193" t="s">
        <v>982</v>
      </c>
      <c r="V193">
        <v>23</v>
      </c>
      <c r="W193" t="s">
        <v>82</v>
      </c>
      <c r="X193" t="s">
        <v>115</v>
      </c>
      <c r="Y193" t="s">
        <v>115</v>
      </c>
      <c r="Z193" t="s">
        <v>116</v>
      </c>
      <c r="AF193" t="s">
        <v>983</v>
      </c>
      <c r="AG193" t="s">
        <v>375</v>
      </c>
      <c r="AH193" t="s">
        <v>375</v>
      </c>
      <c r="AI193" t="s">
        <v>375</v>
      </c>
      <c r="AM193" t="s">
        <v>106</v>
      </c>
      <c r="AQ193" t="s">
        <v>358</v>
      </c>
      <c r="AR193" t="s">
        <v>358</v>
      </c>
      <c r="BO193">
        <v>114140049</v>
      </c>
      <c r="BP193" t="s">
        <v>81</v>
      </c>
      <c r="BQ193" t="s">
        <v>82</v>
      </c>
      <c r="BS193" s="17">
        <f>higado[[#This Row],[FECHA_TRASPLANTE]]</f>
        <v>45479</v>
      </c>
      <c r="BT193">
        <f>IF(higado[[#This Row],[FALLECIDO SI/NO]]="NO",0,1)</f>
        <v>0</v>
      </c>
      <c r="BU193" s="1">
        <f ca="1">IF(higado[[#This Row],[FALLECIDO_COD]]=0,TODAY()-higado[[#This Row],[FECHA_TRASPLANTE]],higado[[#This Row],[FECHA DE DEFUNCIÓN]]-higado[[#This Row],[FECHA_TRASPLANTE]])</f>
        <v>396</v>
      </c>
      <c r="BV193" s="1">
        <f ca="1">IF(higado[[#This Row],[FALLECIDO_COD]]=0,TODAY()-higado[[#This Row],[FECHA_TRASPLANTE]],higado[[#This Row],[FECHA DE DEFUNCIÓN]]-higado[[#This Row],[FECHA_TRASPLANTE]])/30.4375</f>
        <v>13.010266940451745</v>
      </c>
      <c r="BW193" s="1">
        <f ca="1">IF(higado[[#This Row],[FALLECIDO_COD]]=0,TODAY()-higado[[#This Row],[FECHA_TRASPLANTE]],higado[[#This Row],[FECHA DE DEFUNCIÓN]]-higado[[#This Row],[FECHA_TRASPLANTE]])/365.25</f>
        <v>1.0841889117043122</v>
      </c>
    </row>
    <row r="194" spans="1:75" x14ac:dyDescent="0.35">
      <c r="A194" t="s">
        <v>75</v>
      </c>
      <c r="B194" t="s">
        <v>75</v>
      </c>
      <c r="C194" t="s">
        <v>984</v>
      </c>
      <c r="D194" t="s">
        <v>380</v>
      </c>
      <c r="E194" t="s">
        <v>77</v>
      </c>
      <c r="F194" t="s">
        <v>106</v>
      </c>
      <c r="G194" t="s">
        <v>210</v>
      </c>
      <c r="H194">
        <v>26988</v>
      </c>
      <c r="I194">
        <v>50.633812457221083</v>
      </c>
      <c r="J194" t="s">
        <v>77</v>
      </c>
      <c r="K194" t="s">
        <v>985</v>
      </c>
      <c r="L194" t="s">
        <v>94</v>
      </c>
      <c r="M194" t="s">
        <v>243</v>
      </c>
      <c r="N194">
        <v>106970341</v>
      </c>
      <c r="O194" s="18">
        <v>45482</v>
      </c>
      <c r="P194" t="s">
        <v>81</v>
      </c>
      <c r="Q194" s="2">
        <v>24583</v>
      </c>
      <c r="R194" s="1">
        <f>(higado[[#This Row],[FECHA_TRASPLANTE]]-higado[[#This Row],[FECHA_NAC]])/365.25</f>
        <v>57.218343600273784</v>
      </c>
      <c r="S194" t="s">
        <v>210</v>
      </c>
      <c r="T194" s="2">
        <v>45429</v>
      </c>
      <c r="U194" t="s">
        <v>849</v>
      </c>
      <c r="V194">
        <v>18</v>
      </c>
      <c r="W194" t="s">
        <v>82</v>
      </c>
      <c r="X194" t="s">
        <v>91</v>
      </c>
      <c r="Y194" t="s">
        <v>91</v>
      </c>
      <c r="Z194" t="s">
        <v>457</v>
      </c>
      <c r="AF194" t="s">
        <v>986</v>
      </c>
      <c r="AG194" t="s">
        <v>375</v>
      </c>
      <c r="AH194" t="s">
        <v>375</v>
      </c>
      <c r="AI194" t="s">
        <v>375</v>
      </c>
      <c r="AM194" t="s">
        <v>106</v>
      </c>
      <c r="AQ194" t="s">
        <v>358</v>
      </c>
      <c r="AR194" t="s">
        <v>358</v>
      </c>
      <c r="BO194">
        <v>401590240</v>
      </c>
      <c r="BP194" t="s">
        <v>90</v>
      </c>
      <c r="BQ194" t="s">
        <v>82</v>
      </c>
      <c r="BS194" s="17">
        <f>higado[[#This Row],[FECHA_TRASPLANTE]]</f>
        <v>45482</v>
      </c>
      <c r="BT194">
        <f>IF(higado[[#This Row],[FALLECIDO SI/NO]]="NO",0,1)</f>
        <v>0</v>
      </c>
      <c r="BU194" s="1">
        <f ca="1">IF(higado[[#This Row],[FALLECIDO_COD]]=0,TODAY()-higado[[#This Row],[FECHA_TRASPLANTE]],higado[[#This Row],[FECHA DE DEFUNCIÓN]]-higado[[#This Row],[FECHA_TRASPLANTE]])</f>
        <v>393</v>
      </c>
      <c r="BV194" s="1">
        <f ca="1">IF(higado[[#This Row],[FALLECIDO_COD]]=0,TODAY()-higado[[#This Row],[FECHA_TRASPLANTE]],higado[[#This Row],[FECHA DE DEFUNCIÓN]]-higado[[#This Row],[FECHA_TRASPLANTE]])/30.4375</f>
        <v>12.91170431211499</v>
      </c>
      <c r="BW194" s="1">
        <f ca="1">IF(higado[[#This Row],[FALLECIDO_COD]]=0,TODAY()-higado[[#This Row],[FECHA_TRASPLANTE]],higado[[#This Row],[FECHA DE DEFUNCIÓN]]-higado[[#This Row],[FECHA_TRASPLANTE]])/365.25</f>
        <v>1.0759753593429158</v>
      </c>
    </row>
    <row r="195" spans="1:75" x14ac:dyDescent="0.35">
      <c r="A195" t="s">
        <v>377</v>
      </c>
      <c r="B195" t="s">
        <v>377</v>
      </c>
      <c r="C195" t="s">
        <v>987</v>
      </c>
      <c r="D195" t="s">
        <v>380</v>
      </c>
      <c r="E195" t="s">
        <v>77</v>
      </c>
      <c r="F195" t="s">
        <v>106</v>
      </c>
      <c r="G195" t="s">
        <v>200</v>
      </c>
      <c r="H195">
        <v>36179</v>
      </c>
      <c r="I195">
        <v>25.494866529774129</v>
      </c>
      <c r="J195" t="s">
        <v>77</v>
      </c>
      <c r="K195" t="s">
        <v>988</v>
      </c>
      <c r="L195" t="s">
        <v>145</v>
      </c>
      <c r="M195" t="s">
        <v>167</v>
      </c>
      <c r="N195">
        <v>204720261</v>
      </c>
      <c r="O195" s="18">
        <v>45491</v>
      </c>
      <c r="P195" t="s">
        <v>90</v>
      </c>
      <c r="Q195" s="2">
        <v>26209</v>
      </c>
      <c r="R195" s="1">
        <f>(higado[[#This Row],[FECHA_TRASPLANTE]]-higado[[#This Row],[FECHA_NAC]])/365.25</f>
        <v>52.791238877481177</v>
      </c>
      <c r="S195" t="s">
        <v>200</v>
      </c>
      <c r="T195" s="2">
        <v>45282</v>
      </c>
      <c r="U195" t="s">
        <v>989</v>
      </c>
      <c r="V195">
        <v>33</v>
      </c>
      <c r="W195" t="s">
        <v>82</v>
      </c>
      <c r="X195" t="s">
        <v>115</v>
      </c>
      <c r="Y195" t="s">
        <v>990</v>
      </c>
      <c r="Z195" t="s">
        <v>91</v>
      </c>
      <c r="AF195" t="s">
        <v>850</v>
      </c>
      <c r="AG195" t="s">
        <v>375</v>
      </c>
      <c r="AH195" t="s">
        <v>375</v>
      </c>
      <c r="AI195" t="s">
        <v>375</v>
      </c>
      <c r="AM195" t="s">
        <v>106</v>
      </c>
      <c r="AQ195" t="s">
        <v>358</v>
      </c>
      <c r="AR195" t="s">
        <v>358</v>
      </c>
      <c r="BO195">
        <v>117320791</v>
      </c>
      <c r="BP195" t="s">
        <v>81</v>
      </c>
      <c r="BQ195" t="s">
        <v>82</v>
      </c>
      <c r="BS195" s="17">
        <f>higado[[#This Row],[FECHA_TRASPLANTE]]</f>
        <v>45491</v>
      </c>
      <c r="BT195">
        <f>IF(higado[[#This Row],[FALLECIDO SI/NO]]="NO",0,1)</f>
        <v>0</v>
      </c>
      <c r="BU195" s="1">
        <f ca="1">IF(higado[[#This Row],[FALLECIDO_COD]]=0,TODAY()-higado[[#This Row],[FECHA_TRASPLANTE]],higado[[#This Row],[FECHA DE DEFUNCIÓN]]-higado[[#This Row],[FECHA_TRASPLANTE]])</f>
        <v>384</v>
      </c>
      <c r="BV195" s="1">
        <f ca="1">IF(higado[[#This Row],[FALLECIDO_COD]]=0,TODAY()-higado[[#This Row],[FECHA_TRASPLANTE]],higado[[#This Row],[FECHA DE DEFUNCIÓN]]-higado[[#This Row],[FECHA_TRASPLANTE]])/30.4375</f>
        <v>12.616016427104723</v>
      </c>
      <c r="BW195" s="1">
        <f ca="1">IF(higado[[#This Row],[FALLECIDO_COD]]=0,TODAY()-higado[[#This Row],[FECHA_TRASPLANTE]],higado[[#This Row],[FECHA DE DEFUNCIÓN]]-higado[[#This Row],[FECHA_TRASPLANTE]])/365.25</f>
        <v>1.0513347022587269</v>
      </c>
    </row>
    <row r="196" spans="1:75" x14ac:dyDescent="0.35">
      <c r="A196" t="s">
        <v>377</v>
      </c>
      <c r="B196" t="s">
        <v>377</v>
      </c>
      <c r="C196" t="s">
        <v>991</v>
      </c>
      <c r="D196" t="s">
        <v>380</v>
      </c>
      <c r="E196" t="s">
        <v>77</v>
      </c>
      <c r="F196" t="s">
        <v>86</v>
      </c>
      <c r="G196" t="s">
        <v>200</v>
      </c>
      <c r="H196">
        <v>33827</v>
      </c>
      <c r="I196">
        <v>31.942505133470227</v>
      </c>
      <c r="J196" t="s">
        <v>77</v>
      </c>
      <c r="K196" t="s">
        <v>992</v>
      </c>
      <c r="L196" t="s">
        <v>188</v>
      </c>
      <c r="M196" t="s">
        <v>432</v>
      </c>
      <c r="N196">
        <v>205240195</v>
      </c>
      <c r="O196" s="18">
        <v>45494</v>
      </c>
      <c r="P196" t="s">
        <v>81</v>
      </c>
      <c r="Q196" s="2">
        <v>28433</v>
      </c>
      <c r="R196" s="1">
        <f>(higado[[#This Row],[FECHA_TRASPLANTE]]-higado[[#This Row],[FECHA_NAC]])/365.25</f>
        <v>46.710472279260777</v>
      </c>
      <c r="S196" t="s">
        <v>200</v>
      </c>
      <c r="T196" s="2">
        <v>45313</v>
      </c>
      <c r="U196" t="s">
        <v>993</v>
      </c>
      <c r="V196">
        <v>19</v>
      </c>
      <c r="W196" t="s">
        <v>82</v>
      </c>
      <c r="X196" t="s">
        <v>115</v>
      </c>
      <c r="Y196" t="s">
        <v>426</v>
      </c>
      <c r="Z196" t="s">
        <v>994</v>
      </c>
      <c r="AF196" t="s">
        <v>850</v>
      </c>
      <c r="AG196" t="s">
        <v>375</v>
      </c>
      <c r="AH196" t="s">
        <v>375</v>
      </c>
      <c r="AI196" t="s">
        <v>375</v>
      </c>
      <c r="AM196" t="s">
        <v>106</v>
      </c>
      <c r="AQ196" t="s">
        <v>358</v>
      </c>
      <c r="AR196" t="s">
        <v>358</v>
      </c>
      <c r="BO196">
        <v>115270580</v>
      </c>
      <c r="BP196" t="s">
        <v>90</v>
      </c>
      <c r="BQ196" t="s">
        <v>82</v>
      </c>
      <c r="BS196" s="17">
        <f>higado[[#This Row],[FECHA_TRASPLANTE]]</f>
        <v>45494</v>
      </c>
      <c r="BT196">
        <f>IF(higado[[#This Row],[FALLECIDO SI/NO]]="NO",0,1)</f>
        <v>0</v>
      </c>
      <c r="BU196" s="1">
        <f ca="1">IF(higado[[#This Row],[FALLECIDO_COD]]=0,TODAY()-higado[[#This Row],[FECHA_TRASPLANTE]],higado[[#This Row],[FECHA DE DEFUNCIÓN]]-higado[[#This Row],[FECHA_TRASPLANTE]])</f>
        <v>381</v>
      </c>
      <c r="BV196" s="1">
        <f ca="1">IF(higado[[#This Row],[FALLECIDO_COD]]=0,TODAY()-higado[[#This Row],[FECHA_TRASPLANTE]],higado[[#This Row],[FECHA DE DEFUNCIÓN]]-higado[[#This Row],[FECHA_TRASPLANTE]])/30.4375</f>
        <v>12.517453798767967</v>
      </c>
      <c r="BW196" s="1">
        <f ca="1">IF(higado[[#This Row],[FALLECIDO_COD]]=0,TODAY()-higado[[#This Row],[FECHA_TRASPLANTE]],higado[[#This Row],[FECHA DE DEFUNCIÓN]]-higado[[#This Row],[FECHA_TRASPLANTE]])/365.25</f>
        <v>1.0431211498973305</v>
      </c>
    </row>
    <row r="197" spans="1:75" x14ac:dyDescent="0.35">
      <c r="A197" t="s">
        <v>75</v>
      </c>
      <c r="B197" t="s">
        <v>75</v>
      </c>
      <c r="C197" t="s">
        <v>995</v>
      </c>
      <c r="D197" t="s">
        <v>380</v>
      </c>
      <c r="E197" t="s">
        <v>77</v>
      </c>
      <c r="F197" t="s">
        <v>86</v>
      </c>
      <c r="G197" t="s">
        <v>200</v>
      </c>
      <c r="H197" s="2">
        <v>20577</v>
      </c>
      <c r="I197" s="3">
        <f>(higado[[#This Row],[FECHA_TRASPLANTE]]-higado[[#This Row],[FECHA_NAC_D]])/365.25</f>
        <v>68.219028062970565</v>
      </c>
      <c r="J197" t="s">
        <v>77</v>
      </c>
      <c r="K197" t="s">
        <v>996</v>
      </c>
      <c r="L197" t="s">
        <v>474</v>
      </c>
      <c r="M197" t="s">
        <v>99</v>
      </c>
      <c r="N197">
        <v>602030335</v>
      </c>
      <c r="O197" s="18">
        <v>45494</v>
      </c>
      <c r="P197" t="s">
        <v>81</v>
      </c>
      <c r="Q197" s="2">
        <v>24402</v>
      </c>
      <c r="R197" s="1">
        <f>(higado[[#This Row],[FECHA_TRASPLANTE]]-higado[[#This Row],[FECHA_NAC]])/365.25</f>
        <v>57.746748802190282</v>
      </c>
      <c r="S197" t="s">
        <v>200</v>
      </c>
      <c r="T197" s="2">
        <v>45485</v>
      </c>
      <c r="U197" t="s">
        <v>997</v>
      </c>
      <c r="V197">
        <v>22</v>
      </c>
      <c r="W197" t="s">
        <v>82</v>
      </c>
      <c r="X197" t="s">
        <v>83</v>
      </c>
      <c r="Y197" t="s">
        <v>100</v>
      </c>
      <c r="Z197" t="s">
        <v>998</v>
      </c>
      <c r="AF197" t="s">
        <v>978</v>
      </c>
      <c r="AM197" t="s">
        <v>86</v>
      </c>
      <c r="AN197" s="2">
        <v>45676</v>
      </c>
      <c r="AO197" t="s">
        <v>999</v>
      </c>
      <c r="AQ197" t="s">
        <v>358</v>
      </c>
      <c r="BO197">
        <v>104720138</v>
      </c>
      <c r="BP197" t="s">
        <v>90</v>
      </c>
      <c r="BQ197" t="s">
        <v>82</v>
      </c>
      <c r="BS197" s="17">
        <f>higado[[#This Row],[FECHA_TRASPLANTE]]</f>
        <v>45494</v>
      </c>
      <c r="BT197">
        <f>IF(higado[[#This Row],[FALLECIDO SI/NO]]="NO",0,1)</f>
        <v>1</v>
      </c>
      <c r="BU197" s="1">
        <f ca="1">IF(higado[[#This Row],[FALLECIDO_COD]]=0,TODAY()-higado[[#This Row],[FECHA_TRASPLANTE]],higado[[#This Row],[FECHA DE DEFUNCIÓN]]-higado[[#This Row],[FECHA_TRASPLANTE]])</f>
        <v>182</v>
      </c>
      <c r="BV197" s="1">
        <f ca="1">IF(higado[[#This Row],[FALLECIDO_COD]]=0,TODAY()-higado[[#This Row],[FECHA_TRASPLANTE]],higado[[#This Row],[FECHA DE DEFUNCIÓN]]-higado[[#This Row],[FECHA_TRASPLANTE]])/30.4375</f>
        <v>5.979466119096509</v>
      </c>
      <c r="BW197" s="1">
        <f ca="1">IF(higado[[#This Row],[FALLECIDO_COD]]=0,TODAY()-higado[[#This Row],[FECHA_TRASPLANTE]],higado[[#This Row],[FECHA DE DEFUNCIÓN]]-higado[[#This Row],[FECHA_TRASPLANTE]])/365.25</f>
        <v>0.49828884325804246</v>
      </c>
    </row>
    <row r="198" spans="1:75" x14ac:dyDescent="0.35">
      <c r="A198" t="s">
        <v>75</v>
      </c>
      <c r="B198" t="s">
        <v>75</v>
      </c>
      <c r="C198" t="s">
        <v>1000</v>
      </c>
      <c r="D198" t="s">
        <v>380</v>
      </c>
      <c r="E198" t="s">
        <v>77</v>
      </c>
      <c r="F198" t="s">
        <v>106</v>
      </c>
      <c r="G198" t="s">
        <v>200</v>
      </c>
      <c r="H198">
        <v>36525</v>
      </c>
      <c r="I198">
        <v>24.569472963723477</v>
      </c>
      <c r="J198" t="s">
        <v>77</v>
      </c>
      <c r="K198" t="s">
        <v>1001</v>
      </c>
      <c r="L198" t="s">
        <v>185</v>
      </c>
      <c r="M198" t="s">
        <v>1002</v>
      </c>
      <c r="N198">
        <v>111360049</v>
      </c>
      <c r="O198" s="18">
        <v>45499</v>
      </c>
      <c r="P198" t="s">
        <v>90</v>
      </c>
      <c r="Q198" s="2">
        <v>30048</v>
      </c>
      <c r="R198" s="1">
        <f>(higado[[#This Row],[FECHA_TRASPLANTE]]-higado[[#This Row],[FECHA_NAC]])/365.25</f>
        <v>42.3025325119781</v>
      </c>
      <c r="S198" t="s">
        <v>210</v>
      </c>
      <c r="T198" s="2">
        <v>45481</v>
      </c>
      <c r="U198" t="s">
        <v>1003</v>
      </c>
      <c r="V198">
        <v>23</v>
      </c>
      <c r="W198" t="s">
        <v>82</v>
      </c>
      <c r="X198" t="s">
        <v>91</v>
      </c>
      <c r="Y198" t="s">
        <v>116</v>
      </c>
      <c r="Z198" t="s">
        <v>616</v>
      </c>
      <c r="AF198" t="s">
        <v>978</v>
      </c>
      <c r="AG198" t="s">
        <v>375</v>
      </c>
      <c r="AH198" t="s">
        <v>375</v>
      </c>
      <c r="AI198" t="s">
        <v>375</v>
      </c>
      <c r="AM198" t="s">
        <v>106</v>
      </c>
      <c r="AQ198" t="s">
        <v>358</v>
      </c>
      <c r="AR198" t="s">
        <v>772</v>
      </c>
      <c r="AY198" t="s">
        <v>86</v>
      </c>
      <c r="AZ198" s="19">
        <v>45505</v>
      </c>
      <c r="BO198">
        <v>117650754</v>
      </c>
      <c r="BP198" t="s">
        <v>90</v>
      </c>
      <c r="BQ198" t="s">
        <v>82</v>
      </c>
      <c r="BS198" s="17">
        <f>higado[[#This Row],[FECHA_TRASPLANTE]]</f>
        <v>45499</v>
      </c>
      <c r="BT198">
        <f>IF(higado[[#This Row],[FALLECIDO SI/NO]]="NO",0,1)</f>
        <v>0</v>
      </c>
      <c r="BU198" s="1">
        <f ca="1">IF(higado[[#This Row],[FALLECIDO_COD]]=0,TODAY()-higado[[#This Row],[FECHA_TRASPLANTE]],higado[[#This Row],[FECHA DE DEFUNCIÓN]]-higado[[#This Row],[FECHA_TRASPLANTE]])</f>
        <v>376</v>
      </c>
      <c r="BV198" s="1">
        <f ca="1">IF(higado[[#This Row],[FALLECIDO_COD]]=0,TODAY()-higado[[#This Row],[FECHA_TRASPLANTE]],higado[[#This Row],[FECHA DE DEFUNCIÓN]]-higado[[#This Row],[FECHA_TRASPLANTE]])/30.4375</f>
        <v>12.353182751540041</v>
      </c>
      <c r="BW198" s="1">
        <f ca="1">IF(higado[[#This Row],[FALLECIDO_COD]]=0,TODAY()-higado[[#This Row],[FECHA_TRASPLANTE]],higado[[#This Row],[FECHA DE DEFUNCIÓN]]-higado[[#This Row],[FECHA_TRASPLANTE]])/365.25</f>
        <v>1.0294318959616702</v>
      </c>
    </row>
    <row r="199" spans="1:75" x14ac:dyDescent="0.35">
      <c r="A199" t="s">
        <v>75</v>
      </c>
      <c r="B199" t="s">
        <v>75</v>
      </c>
      <c r="C199" t="s">
        <v>1004</v>
      </c>
      <c r="D199" t="s">
        <v>380</v>
      </c>
      <c r="E199" t="s">
        <v>77</v>
      </c>
      <c r="F199" t="s">
        <v>106</v>
      </c>
      <c r="G199" t="s">
        <v>205</v>
      </c>
      <c r="H199">
        <v>30552</v>
      </c>
      <c r="I199">
        <v>40.936344969199176</v>
      </c>
      <c r="J199" t="s">
        <v>77</v>
      </c>
      <c r="K199" t="s">
        <v>1005</v>
      </c>
      <c r="L199" t="s">
        <v>1006</v>
      </c>
      <c r="M199" t="s">
        <v>921</v>
      </c>
      <c r="N199">
        <v>601860911</v>
      </c>
      <c r="O199" s="18">
        <v>45504</v>
      </c>
      <c r="P199" t="s">
        <v>81</v>
      </c>
      <c r="Q199" s="2">
        <v>23398</v>
      </c>
      <c r="R199" s="1">
        <f>(higado[[#This Row],[FECHA_TRASPLANTE]]-higado[[#This Row],[FECHA_NAC]])/365.25</f>
        <v>60.522929500342229</v>
      </c>
      <c r="S199" t="s">
        <v>205</v>
      </c>
      <c r="T199" s="2">
        <v>45406</v>
      </c>
      <c r="U199" t="s">
        <v>1003</v>
      </c>
      <c r="V199">
        <v>28</v>
      </c>
      <c r="W199" t="s">
        <v>82</v>
      </c>
      <c r="X199" t="s">
        <v>91</v>
      </c>
      <c r="Y199" t="s">
        <v>193</v>
      </c>
      <c r="Z199" t="s">
        <v>193</v>
      </c>
      <c r="AF199" t="s">
        <v>978</v>
      </c>
      <c r="AG199" t="s">
        <v>375</v>
      </c>
      <c r="AH199" t="s">
        <v>375</v>
      </c>
      <c r="AI199" t="s">
        <v>375</v>
      </c>
      <c r="AM199" t="s">
        <v>106</v>
      </c>
      <c r="AQ199" t="s">
        <v>358</v>
      </c>
      <c r="AR199" t="s">
        <v>358</v>
      </c>
      <c r="BO199">
        <v>603330944</v>
      </c>
      <c r="BP199" t="s">
        <v>90</v>
      </c>
      <c r="BQ199" t="s">
        <v>82</v>
      </c>
      <c r="BS199" s="17">
        <f>higado[[#This Row],[FECHA_TRASPLANTE]]</f>
        <v>45504</v>
      </c>
      <c r="BT199">
        <f>IF(higado[[#This Row],[FALLECIDO SI/NO]]="NO",0,1)</f>
        <v>0</v>
      </c>
      <c r="BU199" s="1">
        <f ca="1">IF(higado[[#This Row],[FALLECIDO_COD]]=0,TODAY()-higado[[#This Row],[FECHA_TRASPLANTE]],higado[[#This Row],[FECHA DE DEFUNCIÓN]]-higado[[#This Row],[FECHA_TRASPLANTE]])</f>
        <v>371</v>
      </c>
      <c r="BV199" s="1">
        <f ca="1">IF(higado[[#This Row],[FALLECIDO_COD]]=0,TODAY()-higado[[#This Row],[FECHA_TRASPLANTE]],higado[[#This Row],[FECHA DE DEFUNCIÓN]]-higado[[#This Row],[FECHA_TRASPLANTE]])/30.4375</f>
        <v>12.188911704312115</v>
      </c>
      <c r="BW199" s="1">
        <f ca="1">IF(higado[[#This Row],[FALLECIDO_COD]]=0,TODAY()-higado[[#This Row],[FECHA_TRASPLANTE]],higado[[#This Row],[FECHA DE DEFUNCIÓN]]-higado[[#This Row],[FECHA_TRASPLANTE]])/365.25</f>
        <v>1.0157426420260096</v>
      </c>
    </row>
    <row r="200" spans="1:75" x14ac:dyDescent="0.35">
      <c r="A200" t="s">
        <v>75</v>
      </c>
      <c r="B200" t="s">
        <v>75</v>
      </c>
      <c r="C200" t="s">
        <v>1007</v>
      </c>
      <c r="D200" t="s">
        <v>380</v>
      </c>
      <c r="E200" t="s">
        <v>77</v>
      </c>
      <c r="F200" t="s">
        <v>106</v>
      </c>
      <c r="G200" t="s">
        <v>200</v>
      </c>
      <c r="H200">
        <v>30723</v>
      </c>
      <c r="I200">
        <v>40.470910335386719</v>
      </c>
      <c r="J200" t="s">
        <v>77</v>
      </c>
      <c r="K200" t="s">
        <v>1008</v>
      </c>
      <c r="L200" t="s">
        <v>109</v>
      </c>
      <c r="M200" t="s">
        <v>140</v>
      </c>
      <c r="N200">
        <v>501820217</v>
      </c>
      <c r="O200" s="18">
        <v>45505</v>
      </c>
      <c r="P200" t="s">
        <v>81</v>
      </c>
      <c r="Q200" s="2">
        <v>21812</v>
      </c>
      <c r="R200" s="1">
        <f>(higado[[#This Row],[FECHA_TRASPLANTE]]-higado[[#This Row],[FECHA_NAC]])/365.25</f>
        <v>64.867898699520879</v>
      </c>
      <c r="S200" t="s">
        <v>210</v>
      </c>
      <c r="T200" s="2">
        <v>45407</v>
      </c>
      <c r="U200" t="s">
        <v>1009</v>
      </c>
      <c r="V200">
        <v>28</v>
      </c>
      <c r="W200" t="s">
        <v>82</v>
      </c>
      <c r="X200" t="s">
        <v>110</v>
      </c>
      <c r="Y200" t="s">
        <v>340</v>
      </c>
      <c r="Z200" t="s">
        <v>676</v>
      </c>
      <c r="AF200" t="s">
        <v>978</v>
      </c>
      <c r="AM200" t="s">
        <v>106</v>
      </c>
      <c r="AQ200" t="s">
        <v>358</v>
      </c>
      <c r="BO200">
        <v>23870023870822</v>
      </c>
      <c r="BP200" t="s">
        <v>90</v>
      </c>
      <c r="BQ200" t="s">
        <v>146</v>
      </c>
      <c r="BS200" s="17">
        <f>higado[[#This Row],[FECHA_TRASPLANTE]]</f>
        <v>45505</v>
      </c>
      <c r="BT200">
        <f>IF(higado[[#This Row],[FALLECIDO SI/NO]]="NO",0,1)</f>
        <v>0</v>
      </c>
      <c r="BU200" s="1">
        <f ca="1">IF(higado[[#This Row],[FALLECIDO_COD]]=0,TODAY()-higado[[#This Row],[FECHA_TRASPLANTE]],higado[[#This Row],[FECHA DE DEFUNCIÓN]]-higado[[#This Row],[FECHA_TRASPLANTE]])</f>
        <v>370</v>
      </c>
      <c r="BV200" s="1">
        <f ca="1">IF(higado[[#This Row],[FALLECIDO_COD]]=0,TODAY()-higado[[#This Row],[FECHA_TRASPLANTE]],higado[[#This Row],[FECHA DE DEFUNCIÓN]]-higado[[#This Row],[FECHA_TRASPLANTE]])/30.4375</f>
        <v>12.156057494866531</v>
      </c>
      <c r="BW200" s="1">
        <f ca="1">IF(higado[[#This Row],[FALLECIDO_COD]]=0,TODAY()-higado[[#This Row],[FECHA_TRASPLANTE]],higado[[#This Row],[FECHA DE DEFUNCIÓN]]-higado[[#This Row],[FECHA_TRASPLANTE]])/365.25</f>
        <v>1.0130047912388775</v>
      </c>
    </row>
    <row r="201" spans="1:75" x14ac:dyDescent="0.35">
      <c r="A201" t="s">
        <v>75</v>
      </c>
      <c r="B201" t="s">
        <v>75</v>
      </c>
      <c r="C201" t="s">
        <v>336</v>
      </c>
      <c r="D201" t="s">
        <v>380</v>
      </c>
      <c r="E201" t="s">
        <v>77</v>
      </c>
      <c r="F201" t="s">
        <v>106</v>
      </c>
      <c r="G201" t="s">
        <v>200</v>
      </c>
      <c r="H201">
        <v>38605</v>
      </c>
      <c r="I201">
        <v>19.030800821355236</v>
      </c>
      <c r="J201" t="s">
        <v>77</v>
      </c>
      <c r="K201" t="s">
        <v>1010</v>
      </c>
      <c r="L201" t="s">
        <v>475</v>
      </c>
      <c r="M201" t="s">
        <v>385</v>
      </c>
      <c r="N201">
        <v>107210252</v>
      </c>
      <c r="O201" s="18">
        <v>45556</v>
      </c>
      <c r="P201" t="s">
        <v>81</v>
      </c>
      <c r="Q201" s="2">
        <v>24933</v>
      </c>
      <c r="R201" s="1">
        <f>(higado[[#This Row],[FECHA_TRASPLANTE]]-higado[[#This Row],[FECHA_NAC]])/365.25</f>
        <v>56.462696783025322</v>
      </c>
      <c r="S201" t="s">
        <v>344</v>
      </c>
      <c r="T201" s="2">
        <v>45384</v>
      </c>
      <c r="U201" t="s">
        <v>982</v>
      </c>
      <c r="V201">
        <v>28</v>
      </c>
      <c r="W201" t="s">
        <v>82</v>
      </c>
      <c r="X201" t="s">
        <v>91</v>
      </c>
      <c r="Y201" t="s">
        <v>161</v>
      </c>
      <c r="Z201" t="s">
        <v>244</v>
      </c>
      <c r="AF201" t="s">
        <v>978</v>
      </c>
      <c r="AM201" t="s">
        <v>106</v>
      </c>
      <c r="AQ201" t="s">
        <v>358</v>
      </c>
      <c r="BO201">
        <v>119450385</v>
      </c>
      <c r="BP201" t="s">
        <v>81</v>
      </c>
      <c r="BQ201" t="s">
        <v>82</v>
      </c>
      <c r="BS201" s="17">
        <f>higado[[#This Row],[FECHA_TRASPLANTE]]</f>
        <v>45556</v>
      </c>
      <c r="BT201">
        <f>IF(higado[[#This Row],[FALLECIDO SI/NO]]="NO",0,1)</f>
        <v>0</v>
      </c>
      <c r="BU201" s="1">
        <f ca="1">IF(higado[[#This Row],[FALLECIDO_COD]]=0,TODAY()-higado[[#This Row],[FECHA_TRASPLANTE]],higado[[#This Row],[FECHA DE DEFUNCIÓN]]-higado[[#This Row],[FECHA_TRASPLANTE]])</f>
        <v>319</v>
      </c>
      <c r="BV201" s="1">
        <f ca="1">IF(higado[[#This Row],[FALLECIDO_COD]]=0,TODAY()-higado[[#This Row],[FECHA_TRASPLANTE]],higado[[#This Row],[FECHA DE DEFUNCIÓN]]-higado[[#This Row],[FECHA_TRASPLANTE]])/30.4375</f>
        <v>10.480492813141684</v>
      </c>
      <c r="BW201" s="1">
        <f ca="1">IF(higado[[#This Row],[FALLECIDO_COD]]=0,TODAY()-higado[[#This Row],[FECHA_TRASPLANTE]],higado[[#This Row],[FECHA DE DEFUNCIÓN]]-higado[[#This Row],[FECHA_TRASPLANTE]])/365.25</f>
        <v>0.87337440109514031</v>
      </c>
    </row>
    <row r="202" spans="1:75" x14ac:dyDescent="0.35">
      <c r="A202" t="s">
        <v>75</v>
      </c>
      <c r="B202" t="s">
        <v>75</v>
      </c>
      <c r="C202" t="s">
        <v>1011</v>
      </c>
      <c r="D202" t="s">
        <v>380</v>
      </c>
      <c r="E202" t="s">
        <v>77</v>
      </c>
      <c r="F202" t="s">
        <v>86</v>
      </c>
      <c r="G202" t="s">
        <v>200</v>
      </c>
      <c r="H202" s="2">
        <v>24004</v>
      </c>
      <c r="I202" s="3">
        <f>(higado[[#This Row],[FECHA_TRASPLANTE]]-higado[[#This Row],[FECHA_NAC_D]])/365.25</f>
        <v>59.039014373716633</v>
      </c>
      <c r="J202" t="s">
        <v>77</v>
      </c>
      <c r="K202" t="s">
        <v>1012</v>
      </c>
      <c r="L202" t="s">
        <v>94</v>
      </c>
      <c r="M202" t="s">
        <v>682</v>
      </c>
      <c r="N202">
        <v>105100746</v>
      </c>
      <c r="O202" s="18">
        <v>45568</v>
      </c>
      <c r="P202" t="s">
        <v>81</v>
      </c>
      <c r="Q202" s="2">
        <v>21712</v>
      </c>
      <c r="R202" s="1">
        <f>(higado[[#This Row],[FECHA_TRASPLANTE]]-higado[[#This Row],[FECHA_NAC]])/365.25</f>
        <v>65.314168377823407</v>
      </c>
      <c r="S202" t="s">
        <v>200</v>
      </c>
      <c r="T202" s="2">
        <v>45087</v>
      </c>
      <c r="U202" t="s">
        <v>1013</v>
      </c>
      <c r="V202">
        <v>28</v>
      </c>
      <c r="W202" t="s">
        <v>82</v>
      </c>
      <c r="X202" t="s">
        <v>91</v>
      </c>
      <c r="Y202" t="s">
        <v>161</v>
      </c>
      <c r="Z202" t="s">
        <v>244</v>
      </c>
      <c r="AF202" t="s">
        <v>1014</v>
      </c>
      <c r="AG202" t="s">
        <v>1015</v>
      </c>
      <c r="AM202" t="s">
        <v>86</v>
      </c>
      <c r="AN202" s="2">
        <v>45625</v>
      </c>
      <c r="AO202" t="s">
        <v>1016</v>
      </c>
      <c r="AP202" t="s">
        <v>106</v>
      </c>
      <c r="AQ202" t="s">
        <v>1017</v>
      </c>
      <c r="AV202" s="2">
        <v>45625</v>
      </c>
      <c r="AW202" t="s">
        <v>1018</v>
      </c>
      <c r="BO202">
        <v>401390934</v>
      </c>
      <c r="BP202" t="s">
        <v>90</v>
      </c>
      <c r="BQ202" t="s">
        <v>82</v>
      </c>
      <c r="BS202" s="17">
        <f>higado[[#This Row],[FECHA_TRASPLANTE]]</f>
        <v>45568</v>
      </c>
      <c r="BT202">
        <f>IF(higado[[#This Row],[FALLECIDO SI/NO]]="NO",0,1)</f>
        <v>1</v>
      </c>
      <c r="BU202" s="1">
        <f ca="1">IF(higado[[#This Row],[FALLECIDO_COD]]=0,TODAY()-higado[[#This Row],[FECHA_TRASPLANTE]],higado[[#This Row],[FECHA DE DEFUNCIÓN]]-higado[[#This Row],[FECHA_TRASPLANTE]])</f>
        <v>57</v>
      </c>
      <c r="BV202" s="1">
        <f ca="1">IF(higado[[#This Row],[FALLECIDO_COD]]=0,TODAY()-higado[[#This Row],[FECHA_TRASPLANTE]],higado[[#This Row],[FECHA DE DEFUNCIÓN]]-higado[[#This Row],[FECHA_TRASPLANTE]])/30.4375</f>
        <v>1.8726899383983573</v>
      </c>
      <c r="BW202" s="1">
        <f ca="1">IF(higado[[#This Row],[FALLECIDO_COD]]=0,TODAY()-higado[[#This Row],[FECHA_TRASPLANTE]],higado[[#This Row],[FECHA DE DEFUNCIÓN]]-higado[[#This Row],[FECHA_TRASPLANTE]])/365.25</f>
        <v>0.15605749486652978</v>
      </c>
    </row>
    <row r="203" spans="1:75" x14ac:dyDescent="0.35">
      <c r="A203" t="s">
        <v>75</v>
      </c>
      <c r="B203" t="s">
        <v>75</v>
      </c>
      <c r="C203" t="s">
        <v>1019</v>
      </c>
      <c r="D203" t="s">
        <v>380</v>
      </c>
      <c r="E203" t="s">
        <v>77</v>
      </c>
      <c r="F203" t="s">
        <v>86</v>
      </c>
      <c r="G203" t="s">
        <v>200</v>
      </c>
      <c r="H203">
        <v>33012</v>
      </c>
      <c r="I203">
        <v>34.447638603696099</v>
      </c>
      <c r="J203" t="s">
        <v>77</v>
      </c>
      <c r="K203" t="s">
        <v>1020</v>
      </c>
      <c r="L203" t="s">
        <v>1021</v>
      </c>
      <c r="M203" t="s">
        <v>474</v>
      </c>
      <c r="N203">
        <v>105260679</v>
      </c>
      <c r="O203" s="18">
        <v>45594</v>
      </c>
      <c r="P203" t="s">
        <v>81</v>
      </c>
      <c r="Q203" s="2">
        <v>21937</v>
      </c>
      <c r="R203" s="1">
        <f>(higado[[#This Row],[FECHA_TRASPLANTE]]-higado[[#This Row],[FECHA_NAC]])/365.25</f>
        <v>64.769336071184114</v>
      </c>
      <c r="S203" t="s">
        <v>210</v>
      </c>
      <c r="T203" s="2">
        <v>45583</v>
      </c>
      <c r="U203" t="s">
        <v>1022</v>
      </c>
      <c r="W203" t="s">
        <v>82</v>
      </c>
      <c r="X203" t="s">
        <v>91</v>
      </c>
      <c r="Y203" t="s">
        <v>434</v>
      </c>
      <c r="Z203" t="s">
        <v>130</v>
      </c>
      <c r="AF203" t="s">
        <v>978</v>
      </c>
      <c r="AM203" t="s">
        <v>106</v>
      </c>
      <c r="AQ203" t="s">
        <v>358</v>
      </c>
      <c r="BO203">
        <v>114370288</v>
      </c>
      <c r="BP203" t="s">
        <v>81</v>
      </c>
      <c r="BQ203" t="s">
        <v>82</v>
      </c>
      <c r="BS203" s="17">
        <f>higado[[#This Row],[FECHA_TRASPLANTE]]</f>
        <v>45594</v>
      </c>
      <c r="BT203">
        <f>IF(higado[[#This Row],[FALLECIDO SI/NO]]="NO",0,1)</f>
        <v>0</v>
      </c>
      <c r="BU203" s="1">
        <f ca="1">IF(higado[[#This Row],[FALLECIDO_COD]]=0,TODAY()-higado[[#This Row],[FECHA_TRASPLANTE]],higado[[#This Row],[FECHA DE DEFUNCIÓN]]-higado[[#This Row],[FECHA_TRASPLANTE]])</f>
        <v>281</v>
      </c>
      <c r="BV203" s="1">
        <f ca="1">IF(higado[[#This Row],[FALLECIDO_COD]]=0,TODAY()-higado[[#This Row],[FECHA_TRASPLANTE]],higado[[#This Row],[FECHA DE DEFUNCIÓN]]-higado[[#This Row],[FECHA_TRASPLANTE]])/30.4375</f>
        <v>9.2320328542094447</v>
      </c>
      <c r="BW203" s="1">
        <f ca="1">IF(higado[[#This Row],[FALLECIDO_COD]]=0,TODAY()-higado[[#This Row],[FECHA_TRASPLANTE]],higado[[#This Row],[FECHA DE DEFUNCIÓN]]-higado[[#This Row],[FECHA_TRASPLANTE]])/365.25</f>
        <v>0.76933607118412051</v>
      </c>
    </row>
    <row r="204" spans="1:75" x14ac:dyDescent="0.35">
      <c r="A204" t="s">
        <v>75</v>
      </c>
      <c r="B204" t="s">
        <v>75</v>
      </c>
      <c r="C204" t="s">
        <v>341</v>
      </c>
      <c r="D204" t="s">
        <v>380</v>
      </c>
      <c r="E204" t="s">
        <v>77</v>
      </c>
      <c r="F204" t="s">
        <v>86</v>
      </c>
      <c r="G204" t="s">
        <v>210</v>
      </c>
      <c r="H204">
        <v>25254</v>
      </c>
      <c r="I204">
        <v>55.832991101984945</v>
      </c>
      <c r="J204" t="s">
        <v>77</v>
      </c>
      <c r="K204" t="s">
        <v>1023</v>
      </c>
      <c r="L204" t="s">
        <v>233</v>
      </c>
      <c r="M204" t="s">
        <v>338</v>
      </c>
      <c r="N204">
        <v>107150601</v>
      </c>
      <c r="O204" s="18">
        <v>45647</v>
      </c>
      <c r="P204" t="s">
        <v>81</v>
      </c>
      <c r="Q204" s="2">
        <v>24882</v>
      </c>
      <c r="R204" s="1">
        <f>(higado[[#This Row],[FECHA_TRASPLANTE]]-higado[[#This Row],[FECHA_NAC]])/365.25</f>
        <v>56.851471594798085</v>
      </c>
      <c r="S204" t="s">
        <v>210</v>
      </c>
      <c r="T204" s="2">
        <v>45638</v>
      </c>
      <c r="U204" t="s">
        <v>1024</v>
      </c>
      <c r="W204" t="s">
        <v>82</v>
      </c>
      <c r="X204" t="s">
        <v>110</v>
      </c>
      <c r="Y204" t="s">
        <v>110</v>
      </c>
      <c r="Z204" t="s">
        <v>307</v>
      </c>
      <c r="AF204" t="s">
        <v>1025</v>
      </c>
      <c r="AM204" t="s">
        <v>106</v>
      </c>
      <c r="AQ204" t="s">
        <v>358</v>
      </c>
      <c r="BO204">
        <v>204460170</v>
      </c>
      <c r="BP204" t="s">
        <v>81</v>
      </c>
      <c r="BQ204" t="s">
        <v>82</v>
      </c>
      <c r="BS204" s="17">
        <f>higado[[#This Row],[FECHA_TRASPLANTE]]</f>
        <v>45647</v>
      </c>
      <c r="BT204">
        <f>IF(higado[[#This Row],[FALLECIDO SI/NO]]="NO",0,1)</f>
        <v>0</v>
      </c>
      <c r="BU204" s="1">
        <f ca="1">IF(higado[[#This Row],[FALLECIDO_COD]]=0,TODAY()-higado[[#This Row],[FECHA_TRASPLANTE]],higado[[#This Row],[FECHA DE DEFUNCIÓN]]-higado[[#This Row],[FECHA_TRASPLANTE]])</f>
        <v>228</v>
      </c>
      <c r="BV204" s="1">
        <f ca="1">IF(higado[[#This Row],[FALLECIDO_COD]]=0,TODAY()-higado[[#This Row],[FECHA_TRASPLANTE]],higado[[#This Row],[FECHA DE DEFUNCIÓN]]-higado[[#This Row],[FECHA_TRASPLANTE]])/30.4375</f>
        <v>7.4907597535934292</v>
      </c>
      <c r="BW204" s="1">
        <f ca="1">IF(higado[[#This Row],[FALLECIDO_COD]]=0,TODAY()-higado[[#This Row],[FECHA_TRASPLANTE]],higado[[#This Row],[FECHA DE DEFUNCIÓN]]-higado[[#This Row],[FECHA_TRASPLANTE]])/365.25</f>
        <v>0.62422997946611913</v>
      </c>
    </row>
    <row r="205" spans="1:75" x14ac:dyDescent="0.35">
      <c r="A205" t="s">
        <v>376</v>
      </c>
      <c r="B205" t="s">
        <v>376</v>
      </c>
      <c r="C205" t="s">
        <v>1026</v>
      </c>
      <c r="D205" t="s">
        <v>380</v>
      </c>
      <c r="E205" t="s">
        <v>77</v>
      </c>
      <c r="F205" t="s">
        <v>106</v>
      </c>
      <c r="G205" t="s">
        <v>205</v>
      </c>
      <c r="H205" s="2">
        <v>32344</v>
      </c>
      <c r="I205" s="3">
        <f>(higado[[#This Row],[FECHA_TRASPLANTE]]-higado[[#This Row],[FECHA_NAC_D]])/365.25</f>
        <v>36.440793976728266</v>
      </c>
      <c r="J205" t="s">
        <v>77</v>
      </c>
      <c r="K205" t="s">
        <v>1027</v>
      </c>
      <c r="L205" t="s">
        <v>1028</v>
      </c>
      <c r="M205" t="s">
        <v>1029</v>
      </c>
      <c r="N205">
        <v>305820648</v>
      </c>
      <c r="O205" s="18">
        <v>45654</v>
      </c>
      <c r="P205" t="s">
        <v>90</v>
      </c>
      <c r="Q205" s="2">
        <v>39771</v>
      </c>
      <c r="R205" s="1">
        <f>(higado[[#This Row],[FECHA_TRASPLANTE]]-higado[[#This Row],[FECHA_NAC]])/365.25</f>
        <v>16.106776180698152</v>
      </c>
      <c r="S205" t="s">
        <v>205</v>
      </c>
      <c r="T205" s="2">
        <v>45363</v>
      </c>
      <c r="U205" t="s">
        <v>1030</v>
      </c>
      <c r="W205" t="s">
        <v>82</v>
      </c>
      <c r="X205" t="s">
        <v>115</v>
      </c>
      <c r="Y205" t="s">
        <v>365</v>
      </c>
      <c r="Z205" t="s">
        <v>1031</v>
      </c>
      <c r="AF205" t="s">
        <v>1032</v>
      </c>
      <c r="AG205" t="s">
        <v>770</v>
      </c>
      <c r="AM205" t="s">
        <v>86</v>
      </c>
      <c r="AN205" s="2">
        <v>45657</v>
      </c>
      <c r="AO205" t="s">
        <v>1033</v>
      </c>
      <c r="AP205" t="s">
        <v>106</v>
      </c>
      <c r="AQ205" t="s">
        <v>770</v>
      </c>
      <c r="BO205">
        <v>113580559</v>
      </c>
      <c r="BP205" t="s">
        <v>81</v>
      </c>
      <c r="BQ205" t="s">
        <v>82</v>
      </c>
      <c r="BS205" s="17">
        <f>higado[[#This Row],[FECHA_TRASPLANTE]]</f>
        <v>45654</v>
      </c>
      <c r="BT205">
        <f>IF(higado[[#This Row],[FALLECIDO SI/NO]]="NO",0,1)</f>
        <v>1</v>
      </c>
      <c r="BU205" s="1">
        <f ca="1">IF(higado[[#This Row],[FALLECIDO_COD]]=0,TODAY()-higado[[#This Row],[FECHA_TRASPLANTE]],higado[[#This Row],[FECHA DE DEFUNCIÓN]]-higado[[#This Row],[FECHA_TRASPLANTE]])</f>
        <v>3</v>
      </c>
      <c r="BV205" s="1">
        <f ca="1">IF(higado[[#This Row],[FALLECIDO_COD]]=0,TODAY()-higado[[#This Row],[FECHA_TRASPLANTE]],higado[[#This Row],[FECHA DE DEFUNCIÓN]]-higado[[#This Row],[FECHA_TRASPLANTE]])/30.4375</f>
        <v>9.856262833675565E-2</v>
      </c>
      <c r="BW205" s="1">
        <f ca="1">IF(higado[[#This Row],[FALLECIDO_COD]]=0,TODAY()-higado[[#This Row],[FECHA_TRASPLANTE]],higado[[#This Row],[FECHA DE DEFUNCIÓN]]-higado[[#This Row],[FECHA_TRASPLANTE]])/365.25</f>
        <v>8.2135523613963042E-3</v>
      </c>
    </row>
    <row r="206" spans="1:75" x14ac:dyDescent="0.35">
      <c r="A206" t="s">
        <v>377</v>
      </c>
      <c r="B206" t="s">
        <v>377</v>
      </c>
      <c r="C206" t="s">
        <v>1034</v>
      </c>
      <c r="D206" t="s">
        <v>380</v>
      </c>
      <c r="E206" t="s">
        <v>77</v>
      </c>
      <c r="F206" t="s">
        <v>106</v>
      </c>
      <c r="G206" t="s">
        <v>210</v>
      </c>
      <c r="H206">
        <v>38398</v>
      </c>
      <c r="I206">
        <v>19.909650924024639</v>
      </c>
      <c r="J206" t="s">
        <v>77</v>
      </c>
      <c r="K206" t="s">
        <v>1035</v>
      </c>
      <c r="L206" t="s">
        <v>704</v>
      </c>
      <c r="M206" t="s">
        <v>99</v>
      </c>
      <c r="N206">
        <v>401510411</v>
      </c>
      <c r="O206" s="18">
        <v>45670</v>
      </c>
      <c r="P206" t="s">
        <v>81</v>
      </c>
      <c r="Q206" s="2">
        <v>25612</v>
      </c>
      <c r="R206" s="1">
        <f>(higado[[#This Row],[FECHA_TRASPLANTE]]-higado[[#This Row],[FECHA_NAC]])/365.25</f>
        <v>54.91581108829569</v>
      </c>
      <c r="S206" t="s">
        <v>210</v>
      </c>
      <c r="T206" s="2">
        <v>45604</v>
      </c>
      <c r="U206" t="s">
        <v>993</v>
      </c>
      <c r="W206" t="s">
        <v>82</v>
      </c>
      <c r="X206" t="s">
        <v>261</v>
      </c>
      <c r="Y206" t="s">
        <v>1036</v>
      </c>
      <c r="Z206" t="s">
        <v>1036</v>
      </c>
      <c r="AM206" t="s">
        <v>106</v>
      </c>
      <c r="AQ206" t="s">
        <v>358</v>
      </c>
      <c r="BO206">
        <v>119270999</v>
      </c>
      <c r="BP206" t="s">
        <v>90</v>
      </c>
      <c r="BQ206" t="s">
        <v>82</v>
      </c>
      <c r="BS206" s="17">
        <f>higado[[#This Row],[FECHA_TRASPLANTE]]</f>
        <v>45670</v>
      </c>
      <c r="BT206">
        <f>IF(higado[[#This Row],[FALLECIDO SI/NO]]="NO",0,1)</f>
        <v>0</v>
      </c>
      <c r="BU206" s="1">
        <f ca="1">IF(higado[[#This Row],[FALLECIDO_COD]]=0,TODAY()-higado[[#This Row],[FECHA_TRASPLANTE]],higado[[#This Row],[FECHA DE DEFUNCIÓN]]-higado[[#This Row],[FECHA_TRASPLANTE]])</f>
        <v>205</v>
      </c>
      <c r="BV206" s="1">
        <f ca="1">IF(higado[[#This Row],[FALLECIDO_COD]]=0,TODAY()-higado[[#This Row],[FECHA_TRASPLANTE]],higado[[#This Row],[FECHA DE DEFUNCIÓN]]-higado[[#This Row],[FECHA_TRASPLANTE]])/30.4375</f>
        <v>6.7351129363449695</v>
      </c>
      <c r="BW206" s="1">
        <f ca="1">IF(higado[[#This Row],[FALLECIDO_COD]]=0,TODAY()-higado[[#This Row],[FECHA_TRASPLANTE]],higado[[#This Row],[FECHA DE DEFUNCIÓN]]-higado[[#This Row],[FECHA_TRASPLANTE]])/365.25</f>
        <v>0.5612594113620808</v>
      </c>
    </row>
    <row r="207" spans="1:75" x14ac:dyDescent="0.35">
      <c r="A207" t="s">
        <v>75</v>
      </c>
      <c r="B207" t="s">
        <v>75</v>
      </c>
      <c r="C207" t="s">
        <v>1037</v>
      </c>
      <c r="D207" t="s">
        <v>380</v>
      </c>
      <c r="E207" t="s">
        <v>77</v>
      </c>
      <c r="F207" t="s">
        <v>86</v>
      </c>
      <c r="G207" t="s">
        <v>200</v>
      </c>
      <c r="H207">
        <v>21000</v>
      </c>
      <c r="I207">
        <v>67.575633127994521</v>
      </c>
      <c r="J207" t="s">
        <v>77</v>
      </c>
      <c r="K207" t="s">
        <v>1038</v>
      </c>
      <c r="L207" t="s">
        <v>1039</v>
      </c>
      <c r="M207" t="s">
        <v>167</v>
      </c>
      <c r="N207">
        <v>112130992</v>
      </c>
      <c r="O207" s="18">
        <v>45682</v>
      </c>
      <c r="P207" t="s">
        <v>81</v>
      </c>
      <c r="Q207" s="2">
        <v>30904</v>
      </c>
      <c r="R207" s="1">
        <f>(higado[[#This Row],[FECHA_TRASPLANTE]]-higado[[#This Row],[FECHA_NAC]])/365.25</f>
        <v>40.459958932238195</v>
      </c>
      <c r="S207" t="s">
        <v>200</v>
      </c>
      <c r="T207" s="2">
        <v>45525</v>
      </c>
      <c r="U207" t="s">
        <v>445</v>
      </c>
      <c r="V207">
        <v>28</v>
      </c>
      <c r="W207" t="s">
        <v>82</v>
      </c>
      <c r="X207" t="s">
        <v>91</v>
      </c>
      <c r="Y207" t="s">
        <v>157</v>
      </c>
      <c r="Z207" t="s">
        <v>158</v>
      </c>
      <c r="AM207" t="s">
        <v>106</v>
      </c>
      <c r="AQ207" t="s">
        <v>358</v>
      </c>
      <c r="BO207">
        <v>601330675</v>
      </c>
      <c r="BP207" t="s">
        <v>90</v>
      </c>
      <c r="BQ207" t="s">
        <v>82</v>
      </c>
      <c r="BS207" s="17">
        <f>higado[[#This Row],[FECHA_TRASPLANTE]]</f>
        <v>45682</v>
      </c>
      <c r="BT207">
        <f>IF(higado[[#This Row],[FALLECIDO SI/NO]]="NO",0,1)</f>
        <v>0</v>
      </c>
      <c r="BU207" s="1">
        <f ca="1">IF(higado[[#This Row],[FALLECIDO_COD]]=0,TODAY()-higado[[#This Row],[FECHA_TRASPLANTE]],higado[[#This Row],[FECHA DE DEFUNCIÓN]]-higado[[#This Row],[FECHA_TRASPLANTE]])</f>
        <v>193</v>
      </c>
      <c r="BV207" s="1">
        <f ca="1">IF(higado[[#This Row],[FALLECIDO_COD]]=0,TODAY()-higado[[#This Row],[FECHA_TRASPLANTE]],higado[[#This Row],[FECHA DE DEFUNCIÓN]]-higado[[#This Row],[FECHA_TRASPLANTE]])/30.4375</f>
        <v>6.3408624229979464</v>
      </c>
      <c r="BW207" s="1">
        <f ca="1">IF(higado[[#This Row],[FALLECIDO_COD]]=0,TODAY()-higado[[#This Row],[FECHA_TRASPLANTE]],higado[[#This Row],[FECHA DE DEFUNCIÓN]]-higado[[#This Row],[FECHA_TRASPLANTE]])/365.25</f>
        <v>0.52840520191649554</v>
      </c>
    </row>
    <row r="208" spans="1:75" x14ac:dyDescent="0.35">
      <c r="A208" t="s">
        <v>75</v>
      </c>
      <c r="B208" t="s">
        <v>75</v>
      </c>
      <c r="C208" t="s">
        <v>1040</v>
      </c>
      <c r="D208" t="s">
        <v>380</v>
      </c>
      <c r="E208" t="s">
        <v>77</v>
      </c>
      <c r="F208" t="s">
        <v>106</v>
      </c>
      <c r="G208" t="s">
        <v>344</v>
      </c>
      <c r="H208">
        <v>35609</v>
      </c>
      <c r="I208">
        <v>27.613963039014372</v>
      </c>
      <c r="J208" t="s">
        <v>77</v>
      </c>
      <c r="K208" t="s">
        <v>516</v>
      </c>
      <c r="L208" t="s">
        <v>243</v>
      </c>
      <c r="M208" t="s">
        <v>1041</v>
      </c>
      <c r="N208">
        <v>105900844</v>
      </c>
      <c r="O208" s="18">
        <v>45695</v>
      </c>
      <c r="P208" t="s">
        <v>81</v>
      </c>
      <c r="Q208" s="2">
        <v>22950</v>
      </c>
      <c r="R208" s="1">
        <f>(higado[[#This Row],[FECHA_TRASPLANTE]]-higado[[#This Row],[FECHA_NAC]])/365.25</f>
        <v>62.272416153319647</v>
      </c>
      <c r="S208" t="s">
        <v>344</v>
      </c>
      <c r="T208" s="2">
        <v>45463</v>
      </c>
      <c r="U208" t="s">
        <v>1042</v>
      </c>
      <c r="V208">
        <v>9</v>
      </c>
      <c r="W208" t="s">
        <v>82</v>
      </c>
      <c r="X208" t="s">
        <v>261</v>
      </c>
      <c r="Y208" t="s">
        <v>261</v>
      </c>
      <c r="Z208" t="s">
        <v>261</v>
      </c>
      <c r="AF208" t="s">
        <v>978</v>
      </c>
      <c r="AM208" t="s">
        <v>106</v>
      </c>
      <c r="AQ208" t="s">
        <v>358</v>
      </c>
      <c r="BO208">
        <v>116790988</v>
      </c>
      <c r="BP208" t="s">
        <v>81</v>
      </c>
      <c r="BQ208" t="s">
        <v>82</v>
      </c>
      <c r="BS208" s="17">
        <f>higado[[#This Row],[FECHA_TRASPLANTE]]</f>
        <v>45695</v>
      </c>
      <c r="BT208">
        <f>IF(higado[[#This Row],[FALLECIDO SI/NO]]="NO",0,1)</f>
        <v>0</v>
      </c>
      <c r="BU208" s="1">
        <f ca="1">IF(higado[[#This Row],[FALLECIDO_COD]]=0,TODAY()-higado[[#This Row],[FECHA_TRASPLANTE]],higado[[#This Row],[FECHA DE DEFUNCIÓN]]-higado[[#This Row],[FECHA_TRASPLANTE]])</f>
        <v>180</v>
      </c>
      <c r="BV208" s="1">
        <f ca="1">IF(higado[[#This Row],[FALLECIDO_COD]]=0,TODAY()-higado[[#This Row],[FECHA_TRASPLANTE]],higado[[#This Row],[FECHA DE DEFUNCIÓN]]-higado[[#This Row],[FECHA_TRASPLANTE]])/30.4375</f>
        <v>5.9137577002053385</v>
      </c>
      <c r="BW208" s="1">
        <f ca="1">IF(higado[[#This Row],[FALLECIDO_COD]]=0,TODAY()-higado[[#This Row],[FECHA_TRASPLANTE]],higado[[#This Row],[FECHA DE DEFUNCIÓN]]-higado[[#This Row],[FECHA_TRASPLANTE]])/365.25</f>
        <v>0.49281314168377821</v>
      </c>
    </row>
    <row r="209" spans="1:75" x14ac:dyDescent="0.35">
      <c r="A209" t="s">
        <v>75</v>
      </c>
      <c r="B209" t="s">
        <v>75</v>
      </c>
      <c r="C209" t="s">
        <v>1043</v>
      </c>
      <c r="D209" t="s">
        <v>380</v>
      </c>
      <c r="E209" t="s">
        <v>77</v>
      </c>
      <c r="F209" t="s">
        <v>86</v>
      </c>
      <c r="G209" t="s">
        <v>210</v>
      </c>
      <c r="H209">
        <v>21343</v>
      </c>
      <c r="I209">
        <v>66.683093771389466</v>
      </c>
      <c r="J209" t="s">
        <v>77</v>
      </c>
      <c r="K209" t="s">
        <v>1038</v>
      </c>
      <c r="L209" t="s">
        <v>141</v>
      </c>
      <c r="M209" t="s">
        <v>167</v>
      </c>
      <c r="N209">
        <v>117530124</v>
      </c>
      <c r="O209" s="18">
        <v>45699</v>
      </c>
      <c r="P209" t="s">
        <v>81</v>
      </c>
      <c r="Q209" s="2">
        <v>36399</v>
      </c>
      <c r="R209" s="1">
        <f>(higado[[#This Row],[FECHA_TRASPLANTE]]-higado[[#This Row],[FECHA_NAC]])/365.25</f>
        <v>25.462012320328544</v>
      </c>
      <c r="S209" t="s">
        <v>210</v>
      </c>
      <c r="T209" s="2">
        <v>45546</v>
      </c>
      <c r="U209" t="s">
        <v>404</v>
      </c>
      <c r="V209">
        <v>15</v>
      </c>
      <c r="W209" t="s">
        <v>82</v>
      </c>
      <c r="X209" t="s">
        <v>91</v>
      </c>
      <c r="Y209" t="s">
        <v>580</v>
      </c>
      <c r="Z209" t="s">
        <v>510</v>
      </c>
      <c r="AM209" t="s">
        <v>106</v>
      </c>
      <c r="AQ209" t="s">
        <v>358</v>
      </c>
      <c r="BO209">
        <v>105080101</v>
      </c>
      <c r="BP209" t="s">
        <v>81</v>
      </c>
      <c r="BQ209" t="s">
        <v>82</v>
      </c>
      <c r="BS209" s="17">
        <f>higado[[#This Row],[FECHA_TRASPLANTE]]</f>
        <v>45699</v>
      </c>
      <c r="BT209">
        <f>IF(higado[[#This Row],[FALLECIDO SI/NO]]="NO",0,1)</f>
        <v>0</v>
      </c>
      <c r="BU209" s="1">
        <f ca="1">IF(higado[[#This Row],[FALLECIDO_COD]]=0,TODAY()-higado[[#This Row],[FECHA_TRASPLANTE]],higado[[#This Row],[FECHA DE DEFUNCIÓN]]-higado[[#This Row],[FECHA_TRASPLANTE]])</f>
        <v>176</v>
      </c>
      <c r="BV209" s="1">
        <f ca="1">IF(higado[[#This Row],[FALLECIDO_COD]]=0,TODAY()-higado[[#This Row],[FECHA_TRASPLANTE]],higado[[#This Row],[FECHA DE DEFUNCIÓN]]-higado[[#This Row],[FECHA_TRASPLANTE]])/30.4375</f>
        <v>5.7823408624229984</v>
      </c>
      <c r="BW209" s="1">
        <f ca="1">IF(higado[[#This Row],[FALLECIDO_COD]]=0,TODAY()-higado[[#This Row],[FECHA_TRASPLANTE]],higado[[#This Row],[FECHA DE DEFUNCIÓN]]-higado[[#This Row],[FECHA_TRASPLANTE]])/365.25</f>
        <v>0.48186173853524983</v>
      </c>
    </row>
    <row r="210" spans="1:75" x14ac:dyDescent="0.35">
      <c r="A210" t="s">
        <v>75</v>
      </c>
      <c r="B210" t="s">
        <v>75</v>
      </c>
      <c r="C210" t="s">
        <v>1044</v>
      </c>
      <c r="D210" t="s">
        <v>380</v>
      </c>
      <c r="E210" t="s">
        <v>77</v>
      </c>
      <c r="F210" t="s">
        <v>86</v>
      </c>
      <c r="G210" t="s">
        <v>200</v>
      </c>
      <c r="H210">
        <v>21440</v>
      </c>
      <c r="I210">
        <v>66.445699292721869</v>
      </c>
      <c r="J210" t="s">
        <v>77</v>
      </c>
      <c r="K210" t="s">
        <v>1045</v>
      </c>
      <c r="L210" t="s">
        <v>184</v>
      </c>
      <c r="M210" t="s">
        <v>1046</v>
      </c>
      <c r="N210">
        <v>110370962</v>
      </c>
      <c r="O210" s="18">
        <v>45709.291666666701</v>
      </c>
      <c r="P210" t="s">
        <v>90</v>
      </c>
      <c r="Q210" s="2">
        <v>29024</v>
      </c>
      <c r="R210" s="1">
        <f>(higado[[#This Row],[FECHA_TRASPLANTE]]-higado[[#This Row],[FECHA_NAC]])/365.25</f>
        <v>45.681838923112117</v>
      </c>
      <c r="S210" t="s">
        <v>902</v>
      </c>
      <c r="T210" s="2">
        <v>45573</v>
      </c>
      <c r="U210" t="s">
        <v>849</v>
      </c>
      <c r="V210">
        <v>28</v>
      </c>
      <c r="W210" t="s">
        <v>82</v>
      </c>
      <c r="X210" t="s">
        <v>91</v>
      </c>
      <c r="Y210" t="s">
        <v>161</v>
      </c>
      <c r="Z210" t="s">
        <v>244</v>
      </c>
      <c r="AM210" t="s">
        <v>106</v>
      </c>
      <c r="BO210">
        <v>203330580</v>
      </c>
      <c r="BP210" t="s">
        <v>90</v>
      </c>
      <c r="BQ210" t="s">
        <v>82</v>
      </c>
      <c r="BS210" s="17">
        <f>higado[[#This Row],[FECHA_TRASPLANTE]]</f>
        <v>45709.291666666701</v>
      </c>
      <c r="BT210">
        <f>IF(higado[[#This Row],[FALLECIDO SI/NO]]="NO",0,1)</f>
        <v>0</v>
      </c>
      <c r="BU210" s="1">
        <f ca="1">IF(higado[[#This Row],[FALLECIDO_COD]]=0,TODAY()-higado[[#This Row],[FECHA_TRASPLANTE]],higado[[#This Row],[FECHA DE DEFUNCIÓN]]-higado[[#This Row],[FECHA_TRASPLANTE]])</f>
        <v>165.70833333329938</v>
      </c>
      <c r="BV210" s="1">
        <f ca="1">IF(higado[[#This Row],[FALLECIDO_COD]]=0,TODAY()-higado[[#This Row],[FECHA_TRASPLANTE]],higado[[#This Row],[FECHA DE DEFUNCIÓN]]-higado[[#This Row],[FECHA_TRASPLANTE]])/30.4375</f>
        <v>5.4442162902110676</v>
      </c>
      <c r="BW210" s="1">
        <f ca="1">IF(higado[[#This Row],[FALLECIDO_COD]]=0,TODAY()-higado[[#This Row],[FECHA_TRASPLANTE]],higado[[#This Row],[FECHA DE DEFUNCIÓN]]-higado[[#This Row],[FECHA_TRASPLANTE]])/365.25</f>
        <v>0.45368469085092233</v>
      </c>
    </row>
    <row r="211" spans="1:75" x14ac:dyDescent="0.35">
      <c r="A211" t="s">
        <v>75</v>
      </c>
      <c r="B211" t="s">
        <v>75</v>
      </c>
      <c r="C211" t="s">
        <v>1047</v>
      </c>
      <c r="D211" t="s">
        <v>380</v>
      </c>
      <c r="E211" t="s">
        <v>77</v>
      </c>
      <c r="F211" t="s">
        <v>86</v>
      </c>
      <c r="G211" t="s">
        <v>210</v>
      </c>
      <c r="H211">
        <v>29349</v>
      </c>
      <c r="I211">
        <v>44.819358886607354</v>
      </c>
      <c r="J211" t="s">
        <v>77</v>
      </c>
      <c r="K211" t="s">
        <v>1048</v>
      </c>
      <c r="L211" t="s">
        <v>474</v>
      </c>
      <c r="M211" t="s">
        <v>109</v>
      </c>
      <c r="N211">
        <v>303310815</v>
      </c>
      <c r="O211" s="18">
        <v>45719.270833333299</v>
      </c>
      <c r="P211" t="s">
        <v>81</v>
      </c>
      <c r="Q211" s="2">
        <v>27275</v>
      </c>
      <c r="R211" s="1">
        <f>(higado[[#This Row],[FECHA_TRASPLANTE]]-higado[[#This Row],[FECHA_NAC]])/365.25</f>
        <v>50.497661419119233</v>
      </c>
      <c r="S211" t="s">
        <v>210</v>
      </c>
      <c r="T211" s="2">
        <v>45197</v>
      </c>
      <c r="U211" t="s">
        <v>1049</v>
      </c>
      <c r="V211">
        <v>23</v>
      </c>
      <c r="W211" t="s">
        <v>82</v>
      </c>
      <c r="X211" t="s">
        <v>91</v>
      </c>
      <c r="Y211" t="s">
        <v>157</v>
      </c>
      <c r="Z211" t="s">
        <v>409</v>
      </c>
      <c r="AM211" t="s">
        <v>106</v>
      </c>
      <c r="BO211">
        <v>303660146</v>
      </c>
      <c r="BP211" t="s">
        <v>90</v>
      </c>
      <c r="BQ211" t="s">
        <v>82</v>
      </c>
      <c r="BS211" s="17">
        <f>higado[[#This Row],[FECHA_TRASPLANTE]]</f>
        <v>45719.270833333299</v>
      </c>
      <c r="BT211">
        <f>IF(higado[[#This Row],[FALLECIDO SI/NO]]="NO",0,1)</f>
        <v>0</v>
      </c>
      <c r="BU211" s="1">
        <f ca="1">IF(higado[[#This Row],[FALLECIDO_COD]]=0,TODAY()-higado[[#This Row],[FECHA_TRASPLANTE]],higado[[#This Row],[FECHA DE DEFUNCIÓN]]-higado[[#This Row],[FECHA_TRASPLANTE]])</f>
        <v>155.72916666670062</v>
      </c>
      <c r="BV211" s="1">
        <f ca="1">IF(higado[[#This Row],[FALLECIDO_COD]]=0,TODAY()-higado[[#This Row],[FECHA_TRASPLANTE]],higado[[#This Row],[FECHA DE DEFUNCIÓN]]-higado[[#This Row],[FECHA_TRASPLANTE]])/30.4375</f>
        <v>5.1163586584542298</v>
      </c>
      <c r="BW211" s="1">
        <f ca="1">IF(higado[[#This Row],[FALLECIDO_COD]]=0,TODAY()-higado[[#This Row],[FECHA_TRASPLANTE]],higado[[#This Row],[FECHA DE DEFUNCIÓN]]-higado[[#This Row],[FECHA_TRASPLANTE]])/365.25</f>
        <v>0.4263632215378525</v>
      </c>
    </row>
    <row r="212" spans="1:75" x14ac:dyDescent="0.35">
      <c r="A212" t="s">
        <v>75</v>
      </c>
      <c r="B212" t="s">
        <v>75</v>
      </c>
      <c r="C212" t="s">
        <v>1050</v>
      </c>
      <c r="D212" t="s">
        <v>380</v>
      </c>
      <c r="E212" t="s">
        <v>77</v>
      </c>
      <c r="F212" t="s">
        <v>106</v>
      </c>
      <c r="G212" t="s">
        <v>200</v>
      </c>
      <c r="H212">
        <v>23725</v>
      </c>
      <c r="I212">
        <v>60.219826602783478</v>
      </c>
      <c r="J212" t="s">
        <v>77</v>
      </c>
      <c r="K212" t="s">
        <v>1051</v>
      </c>
      <c r="L212" t="s">
        <v>149</v>
      </c>
      <c r="M212" t="s">
        <v>149</v>
      </c>
      <c r="N212">
        <v>106940721</v>
      </c>
      <c r="O212" s="18">
        <v>45720.291666666701</v>
      </c>
      <c r="P212" t="s">
        <v>81</v>
      </c>
      <c r="Q212" s="2">
        <v>23822</v>
      </c>
      <c r="R212" s="1">
        <f>(higado[[#This Row],[FECHA_TRASPLANTE]]-higado[[#This Row],[FECHA_NAC]])/365.25</f>
        <v>59.954255076431764</v>
      </c>
      <c r="S212" t="s">
        <v>200</v>
      </c>
      <c r="T212" s="2">
        <v>45673</v>
      </c>
      <c r="U212" t="s">
        <v>1052</v>
      </c>
      <c r="V212">
        <v>26</v>
      </c>
      <c r="W212" t="s">
        <v>82</v>
      </c>
      <c r="X212" t="s">
        <v>91</v>
      </c>
      <c r="Y212" t="s">
        <v>498</v>
      </c>
      <c r="Z212" t="s">
        <v>454</v>
      </c>
      <c r="AM212" t="s">
        <v>106</v>
      </c>
      <c r="BO212">
        <v>106420176</v>
      </c>
      <c r="BP212" t="s">
        <v>81</v>
      </c>
      <c r="BQ212" t="s">
        <v>82</v>
      </c>
      <c r="BS212" s="17">
        <f>higado[[#This Row],[FECHA_TRASPLANTE]]</f>
        <v>45720.291666666701</v>
      </c>
      <c r="BT212">
        <f>IF(higado[[#This Row],[FALLECIDO SI/NO]]="NO",0,1)</f>
        <v>0</v>
      </c>
      <c r="BU212" s="1">
        <f ca="1">IF(higado[[#This Row],[FALLECIDO_COD]]=0,TODAY()-higado[[#This Row],[FECHA_TRASPLANTE]],higado[[#This Row],[FECHA DE DEFUNCIÓN]]-higado[[#This Row],[FECHA_TRASPLANTE]])</f>
        <v>154.70833333329938</v>
      </c>
      <c r="BV212" s="1">
        <f ca="1">IF(higado[[#This Row],[FALLECIDO_COD]]=0,TODAY()-higado[[#This Row],[FECHA_TRASPLANTE]],higado[[#This Row],[FECHA DE DEFUNCIÓN]]-higado[[#This Row],[FECHA_TRASPLANTE]])/30.4375</f>
        <v>5.0828199863096302</v>
      </c>
      <c r="BW212" s="1">
        <f ca="1">IF(higado[[#This Row],[FALLECIDO_COD]]=0,TODAY()-higado[[#This Row],[FECHA_TRASPLANTE]],higado[[#This Row],[FECHA DE DEFUNCIÓN]]-higado[[#This Row],[FECHA_TRASPLANTE]])/365.25</f>
        <v>0.4235683321924692</v>
      </c>
    </row>
    <row r="213" spans="1:75" x14ac:dyDescent="0.35">
      <c r="A213" t="s">
        <v>75</v>
      </c>
      <c r="B213" t="s">
        <v>75</v>
      </c>
      <c r="C213" t="s">
        <v>1053</v>
      </c>
      <c r="D213" t="s">
        <v>380</v>
      </c>
      <c r="E213" t="s">
        <v>77</v>
      </c>
      <c r="F213" t="s">
        <v>86</v>
      </c>
      <c r="G213" t="s">
        <v>205</v>
      </c>
      <c r="H213">
        <v>21805</v>
      </c>
      <c r="I213">
        <v>65.481947296372354</v>
      </c>
      <c r="J213" t="s">
        <v>77</v>
      </c>
      <c r="K213" t="s">
        <v>881</v>
      </c>
      <c r="L213" t="s">
        <v>89</v>
      </c>
      <c r="M213" t="s">
        <v>185</v>
      </c>
      <c r="N213">
        <v>303060822</v>
      </c>
      <c r="O213" s="18">
        <v>45722.28125</v>
      </c>
      <c r="P213" t="s">
        <v>90</v>
      </c>
      <c r="Q213" s="2">
        <v>25596</v>
      </c>
      <c r="R213" s="1">
        <f>(higado[[#This Row],[FECHA_TRASPLANTE]]-higado[[#This Row],[FECHA_NAC]])/365.25</f>
        <v>55.102754962354553</v>
      </c>
      <c r="S213" t="s">
        <v>205</v>
      </c>
      <c r="T213" s="2">
        <v>45681</v>
      </c>
      <c r="U213" t="s">
        <v>563</v>
      </c>
      <c r="V213">
        <v>19</v>
      </c>
      <c r="W213" t="s">
        <v>82</v>
      </c>
      <c r="X213" t="s">
        <v>120</v>
      </c>
      <c r="Y213" t="s">
        <v>755</v>
      </c>
      <c r="Z213" t="s">
        <v>1054</v>
      </c>
      <c r="AM213" t="s">
        <v>106</v>
      </c>
      <c r="BO213">
        <v>800590418</v>
      </c>
      <c r="BP213" t="s">
        <v>81</v>
      </c>
      <c r="BQ213" t="s">
        <v>146</v>
      </c>
      <c r="BS213" s="17">
        <f>higado[[#This Row],[FECHA_TRASPLANTE]]</f>
        <v>45722.28125</v>
      </c>
      <c r="BT213">
        <f>IF(higado[[#This Row],[FALLECIDO SI/NO]]="NO",0,1)</f>
        <v>0</v>
      </c>
      <c r="BU213" s="1">
        <f ca="1">IF(higado[[#This Row],[FALLECIDO_COD]]=0,TODAY()-higado[[#This Row],[FECHA_TRASPLANTE]],higado[[#This Row],[FECHA DE DEFUNCIÓN]]-higado[[#This Row],[FECHA_TRASPLANTE]])</f>
        <v>152.71875</v>
      </c>
      <c r="BV213" s="1">
        <f ca="1">IF(higado[[#This Row],[FALLECIDO_COD]]=0,TODAY()-higado[[#This Row],[FECHA_TRASPLANTE]],higado[[#This Row],[FECHA DE DEFUNCIÓN]]-higado[[#This Row],[FECHA_TRASPLANTE]])/30.4375</f>
        <v>5.017453798767967</v>
      </c>
      <c r="BW213" s="1">
        <f ca="1">IF(higado[[#This Row],[FALLECIDO_COD]]=0,TODAY()-higado[[#This Row],[FECHA_TRASPLANTE]],higado[[#This Row],[FECHA DE DEFUNCIÓN]]-higado[[#This Row],[FECHA_TRASPLANTE]])/365.25</f>
        <v>0.41812114989733057</v>
      </c>
    </row>
    <row r="214" spans="1:75" x14ac:dyDescent="0.35">
      <c r="A214" t="s">
        <v>377</v>
      </c>
      <c r="B214" t="s">
        <v>377</v>
      </c>
      <c r="C214" t="s">
        <v>1055</v>
      </c>
      <c r="D214" t="s">
        <v>380</v>
      </c>
      <c r="E214" t="s">
        <v>77</v>
      </c>
      <c r="F214" t="s">
        <v>86</v>
      </c>
      <c r="G214" t="s">
        <v>200</v>
      </c>
      <c r="H214">
        <v>28883</v>
      </c>
      <c r="I214">
        <v>46.108088067533643</v>
      </c>
      <c r="J214" t="s">
        <v>77</v>
      </c>
      <c r="K214" t="s">
        <v>1056</v>
      </c>
      <c r="L214" t="s">
        <v>1057</v>
      </c>
      <c r="M214" t="s">
        <v>94</v>
      </c>
      <c r="N214">
        <v>16223654</v>
      </c>
      <c r="O214" s="18">
        <v>45723.979166666701</v>
      </c>
      <c r="P214" t="s">
        <v>81</v>
      </c>
      <c r="Q214" s="2">
        <v>22697</v>
      </c>
      <c r="R214" s="1">
        <f>(higado[[#This Row],[FECHA_TRASPLANTE]]-higado[[#This Row],[FECHA_NAC]])/365.25</f>
        <v>63.044433036732926</v>
      </c>
      <c r="S214" t="s">
        <v>210</v>
      </c>
      <c r="T214" s="2">
        <v>45706</v>
      </c>
      <c r="U214" t="s">
        <v>821</v>
      </c>
      <c r="V214">
        <v>22</v>
      </c>
      <c r="W214" t="s">
        <v>1058</v>
      </c>
      <c r="X214" t="s">
        <v>115</v>
      </c>
      <c r="Y214" t="s">
        <v>1059</v>
      </c>
      <c r="Z214" t="s">
        <v>1060</v>
      </c>
      <c r="AF214" t="s">
        <v>375</v>
      </c>
      <c r="AM214" t="s">
        <v>106</v>
      </c>
      <c r="BO214">
        <v>110250661</v>
      </c>
      <c r="BP214" t="s">
        <v>90</v>
      </c>
      <c r="BQ214" t="s">
        <v>82</v>
      </c>
      <c r="BS214" s="17">
        <f>higado[[#This Row],[FECHA_TRASPLANTE]]</f>
        <v>45723.979166666701</v>
      </c>
      <c r="BT214">
        <f>IF(higado[[#This Row],[FALLECIDO SI/NO]]="NO",0,1)</f>
        <v>0</v>
      </c>
      <c r="BU214" s="1">
        <f ca="1">IF(higado[[#This Row],[FALLECIDO_COD]]=0,TODAY()-higado[[#This Row],[FECHA_TRASPLANTE]],higado[[#This Row],[FECHA DE DEFUNCIÓN]]-higado[[#This Row],[FECHA_TRASPLANTE]])</f>
        <v>151.02083333329938</v>
      </c>
      <c r="BV214" s="1">
        <f ca="1">IF(higado[[#This Row],[FALLECIDO_COD]]=0,TODAY()-higado[[#This Row],[FECHA_TRASPLANTE]],higado[[#This Row],[FECHA DE DEFUNCIÓN]]-higado[[#This Row],[FECHA_TRASPLANTE]])/30.4375</f>
        <v>4.9616700889790346</v>
      </c>
      <c r="BW214" s="1">
        <f ca="1">IF(higado[[#This Row],[FALLECIDO_COD]]=0,TODAY()-higado[[#This Row],[FECHA_TRASPLANTE]],higado[[#This Row],[FECHA DE DEFUNCIÓN]]-higado[[#This Row],[FECHA_TRASPLANTE]])/365.25</f>
        <v>0.41347250741491959</v>
      </c>
    </row>
    <row r="215" spans="1:75" x14ac:dyDescent="0.35">
      <c r="A215" t="s">
        <v>75</v>
      </c>
      <c r="B215" t="s">
        <v>75</v>
      </c>
      <c r="C215" t="s">
        <v>1061</v>
      </c>
      <c r="D215" t="s">
        <v>380</v>
      </c>
      <c r="E215" t="s">
        <v>77</v>
      </c>
      <c r="F215" t="s">
        <v>106</v>
      </c>
      <c r="G215" t="s">
        <v>205</v>
      </c>
      <c r="H215">
        <v>37884</v>
      </c>
      <c r="I215">
        <v>21.517453798767967</v>
      </c>
      <c r="J215" t="s">
        <v>77</v>
      </c>
      <c r="K215" t="s">
        <v>1062</v>
      </c>
      <c r="L215" t="s">
        <v>742</v>
      </c>
      <c r="M215" t="s">
        <v>827</v>
      </c>
      <c r="N215">
        <v>121060252</v>
      </c>
      <c r="O215" s="18">
        <v>45743.25</v>
      </c>
      <c r="P215" t="s">
        <v>90</v>
      </c>
      <c r="Q215" s="2">
        <v>40550</v>
      </c>
      <c r="R215" s="1">
        <f>(higado[[#This Row],[FECHA_TRASPLANTE]]-higado[[#This Row],[FECHA_NAC]])/365.25</f>
        <v>14.218343600273785</v>
      </c>
      <c r="S215" t="s">
        <v>200</v>
      </c>
      <c r="T215" s="2">
        <v>45735</v>
      </c>
      <c r="U215" t="s">
        <v>1063</v>
      </c>
      <c r="V215">
        <v>37</v>
      </c>
      <c r="W215" t="s">
        <v>82</v>
      </c>
      <c r="X215" t="s">
        <v>91</v>
      </c>
      <c r="Y215" t="s">
        <v>498</v>
      </c>
      <c r="Z215" t="s">
        <v>510</v>
      </c>
      <c r="AM215" t="s">
        <v>106</v>
      </c>
      <c r="BO215">
        <v>118850621</v>
      </c>
      <c r="BP215" t="s">
        <v>90</v>
      </c>
      <c r="BQ215" t="s">
        <v>82</v>
      </c>
      <c r="BS215" s="17">
        <f>higado[[#This Row],[FECHA_TRASPLANTE]]</f>
        <v>45743.25</v>
      </c>
      <c r="BT215">
        <f>IF(higado[[#This Row],[FALLECIDO SI/NO]]="NO",0,1)</f>
        <v>0</v>
      </c>
      <c r="BU215" s="1">
        <f ca="1">IF(higado[[#This Row],[FALLECIDO_COD]]=0,TODAY()-higado[[#This Row],[FECHA_TRASPLANTE]],higado[[#This Row],[FECHA DE DEFUNCIÓN]]-higado[[#This Row],[FECHA_TRASPLANTE]])</f>
        <v>131.75</v>
      </c>
      <c r="BV215" s="1">
        <f ca="1">IF(higado[[#This Row],[FALLECIDO_COD]]=0,TODAY()-higado[[#This Row],[FECHA_TRASPLANTE]],higado[[#This Row],[FECHA DE DEFUNCIÓN]]-higado[[#This Row],[FECHA_TRASPLANTE]])/30.4375</f>
        <v>4.3285420944558526</v>
      </c>
      <c r="BW215" s="1">
        <f ca="1">IF(higado[[#This Row],[FALLECIDO_COD]]=0,TODAY()-higado[[#This Row],[FECHA_TRASPLANTE]],higado[[#This Row],[FECHA DE DEFUNCIÓN]]-higado[[#This Row],[FECHA_TRASPLANTE]])/365.25</f>
        <v>0.36071184120465433</v>
      </c>
    </row>
    <row r="216" spans="1:75" x14ac:dyDescent="0.35">
      <c r="A216" t="s">
        <v>75</v>
      </c>
      <c r="B216" t="s">
        <v>75</v>
      </c>
      <c r="C216" t="s">
        <v>1064</v>
      </c>
      <c r="D216" t="s">
        <v>380</v>
      </c>
      <c r="E216" t="s">
        <v>77</v>
      </c>
      <c r="F216" t="s">
        <v>86</v>
      </c>
      <c r="G216" t="s">
        <v>210</v>
      </c>
      <c r="H216">
        <v>28985</v>
      </c>
      <c r="I216">
        <v>45.887519963495315</v>
      </c>
      <c r="J216" t="s">
        <v>77</v>
      </c>
      <c r="K216" t="s">
        <v>266</v>
      </c>
      <c r="L216" t="s">
        <v>233</v>
      </c>
      <c r="M216" t="s">
        <v>79</v>
      </c>
      <c r="N216">
        <v>900470153</v>
      </c>
      <c r="O216" s="18">
        <v>45745.416666666701</v>
      </c>
      <c r="P216" t="s">
        <v>81</v>
      </c>
      <c r="Q216" s="2">
        <v>22369</v>
      </c>
      <c r="R216" s="1">
        <f>(higado[[#This Row],[FECHA_TRASPLANTE]]-higado[[#This Row],[FECHA_NAC]])/365.25</f>
        <v>64.001140771161403</v>
      </c>
      <c r="S216" t="s">
        <v>210</v>
      </c>
      <c r="T216" s="2">
        <v>45595</v>
      </c>
      <c r="U216" t="s">
        <v>1042</v>
      </c>
      <c r="V216">
        <v>25</v>
      </c>
      <c r="W216" t="s">
        <v>82</v>
      </c>
      <c r="X216" t="s">
        <v>91</v>
      </c>
      <c r="Y216" t="s">
        <v>157</v>
      </c>
      <c r="Z216" t="s">
        <v>158</v>
      </c>
      <c r="AM216" t="s">
        <v>106</v>
      </c>
      <c r="BO216">
        <v>110360176</v>
      </c>
      <c r="BP216" t="s">
        <v>90</v>
      </c>
      <c r="BQ216" t="s">
        <v>82</v>
      </c>
      <c r="BS216" s="17">
        <f>higado[[#This Row],[FECHA_TRASPLANTE]]</f>
        <v>45745.416666666701</v>
      </c>
      <c r="BT216">
        <f>IF(higado[[#This Row],[FALLECIDO SI/NO]]="NO",0,1)</f>
        <v>0</v>
      </c>
      <c r="BU216" s="1">
        <f ca="1">IF(higado[[#This Row],[FALLECIDO_COD]]=0,TODAY()-higado[[#This Row],[FECHA_TRASPLANTE]],higado[[#This Row],[FECHA DE DEFUNCIÓN]]-higado[[#This Row],[FECHA_TRASPLANTE]])</f>
        <v>129.58333333329938</v>
      </c>
      <c r="BV216" s="1">
        <f ca="1">IF(higado[[#This Row],[FALLECIDO_COD]]=0,TODAY()-higado[[#This Row],[FECHA_TRASPLANTE]],higado[[#This Row],[FECHA DE DEFUNCIÓN]]-higado[[#This Row],[FECHA_TRASPLANTE]])/30.4375</f>
        <v>4.2573579739893024</v>
      </c>
      <c r="BW216" s="1">
        <f ca="1">IF(higado[[#This Row],[FALLECIDO_COD]]=0,TODAY()-higado[[#This Row],[FECHA_TRASPLANTE]],higado[[#This Row],[FECHA DE DEFUNCIÓN]]-higado[[#This Row],[FECHA_TRASPLANTE]])/365.25</f>
        <v>0.35477983116577516</v>
      </c>
    </row>
    <row r="217" spans="1:75" x14ac:dyDescent="0.35">
      <c r="A217" t="s">
        <v>376</v>
      </c>
      <c r="B217" t="s">
        <v>376</v>
      </c>
      <c r="C217" t="s">
        <v>1065</v>
      </c>
      <c r="D217" t="s">
        <v>380</v>
      </c>
      <c r="E217" t="s">
        <v>77</v>
      </c>
      <c r="F217" t="s">
        <v>106</v>
      </c>
      <c r="G217" t="s">
        <v>205</v>
      </c>
      <c r="H217">
        <v>39288</v>
      </c>
      <c r="I217">
        <v>17.709787816563999</v>
      </c>
      <c r="J217" t="s">
        <v>77</v>
      </c>
      <c r="K217" t="s">
        <v>1066</v>
      </c>
      <c r="L217" t="s">
        <v>94</v>
      </c>
      <c r="M217" t="s">
        <v>1067</v>
      </c>
      <c r="N217">
        <v>210340043</v>
      </c>
      <c r="O217" s="18">
        <v>45756.5</v>
      </c>
      <c r="P217" t="s">
        <v>90</v>
      </c>
      <c r="Q217" s="2">
        <v>43085</v>
      </c>
      <c r="R217" s="1">
        <f>(higado[[#This Row],[FECHA_TRASPLANTE]]-higado[[#This Row],[FECHA_NAC]])/365.25</f>
        <v>7.3141683778234086</v>
      </c>
      <c r="S217" t="s">
        <v>205</v>
      </c>
      <c r="T217" s="2">
        <v>45573</v>
      </c>
      <c r="U217" t="s">
        <v>1068</v>
      </c>
      <c r="V217">
        <v>9</v>
      </c>
      <c r="W217" t="s">
        <v>82</v>
      </c>
      <c r="X217" t="s">
        <v>115</v>
      </c>
      <c r="Y217" t="s">
        <v>197</v>
      </c>
      <c r="Z217" t="s">
        <v>171</v>
      </c>
      <c r="AF217" t="s">
        <v>375</v>
      </c>
      <c r="AM217" t="s">
        <v>106</v>
      </c>
      <c r="BO217">
        <v>120000268</v>
      </c>
      <c r="BP217" t="s">
        <v>90</v>
      </c>
      <c r="BQ217" t="s">
        <v>82</v>
      </c>
      <c r="BS217" s="17">
        <f>higado[[#This Row],[FECHA_TRASPLANTE]]</f>
        <v>45756.5</v>
      </c>
      <c r="BT217">
        <f>IF(higado[[#This Row],[FALLECIDO SI/NO]]="NO",0,1)</f>
        <v>0</v>
      </c>
      <c r="BU217" s="1">
        <f ca="1">IF(higado[[#This Row],[FALLECIDO_COD]]=0,TODAY()-higado[[#This Row],[FECHA_TRASPLANTE]],higado[[#This Row],[FECHA DE DEFUNCIÓN]]-higado[[#This Row],[FECHA_TRASPLANTE]])</f>
        <v>118.5</v>
      </c>
      <c r="BV217" s="1">
        <f ca="1">IF(higado[[#This Row],[FALLECIDO_COD]]=0,TODAY()-higado[[#This Row],[FECHA_TRASPLANTE]],higado[[#This Row],[FECHA DE DEFUNCIÓN]]-higado[[#This Row],[FECHA_TRASPLANTE]])/30.4375</f>
        <v>3.893223819301848</v>
      </c>
      <c r="BW217" s="1">
        <f ca="1">IF(higado[[#This Row],[FALLECIDO_COD]]=0,TODAY()-higado[[#This Row],[FECHA_TRASPLANTE]],higado[[#This Row],[FECHA DE DEFUNCIÓN]]-higado[[#This Row],[FECHA_TRASPLANTE]])/365.25</f>
        <v>0.32443531827515398</v>
      </c>
    </row>
    <row r="218" spans="1:75" x14ac:dyDescent="0.35">
      <c r="A218" t="s">
        <v>75</v>
      </c>
      <c r="B218" t="s">
        <v>75</v>
      </c>
      <c r="C218" t="s">
        <v>1069</v>
      </c>
      <c r="D218" t="s">
        <v>380</v>
      </c>
      <c r="E218" t="s">
        <v>77</v>
      </c>
      <c r="F218" t="s">
        <v>106</v>
      </c>
      <c r="G218" t="s">
        <v>200</v>
      </c>
      <c r="H218">
        <v>32001</v>
      </c>
      <c r="I218">
        <v>37.676211118716246</v>
      </c>
      <c r="J218" t="s">
        <v>77</v>
      </c>
      <c r="K218" t="s">
        <v>1070</v>
      </c>
      <c r="L218" t="s">
        <v>388</v>
      </c>
      <c r="M218" t="s">
        <v>474</v>
      </c>
      <c r="N218">
        <v>602020587</v>
      </c>
      <c r="O218" s="18">
        <v>45762.236111111102</v>
      </c>
      <c r="P218" t="s">
        <v>81</v>
      </c>
      <c r="Q218" s="2">
        <v>24206</v>
      </c>
      <c r="R218" s="1">
        <f>(higado[[#This Row],[FECHA_TRASPLANTE]]-higado[[#This Row],[FECHA_NAC]])/365.25</f>
        <v>59.017758004410958</v>
      </c>
      <c r="S218" t="s">
        <v>200</v>
      </c>
      <c r="T218" s="2">
        <v>45750</v>
      </c>
      <c r="U218" t="s">
        <v>404</v>
      </c>
      <c r="V218">
        <v>25</v>
      </c>
      <c r="W218" t="s">
        <v>82</v>
      </c>
      <c r="X218" t="s">
        <v>83</v>
      </c>
      <c r="Y218" t="s">
        <v>1071</v>
      </c>
      <c r="Z218" t="s">
        <v>1072</v>
      </c>
      <c r="AF218" t="s">
        <v>375</v>
      </c>
      <c r="AM218" t="s">
        <v>106</v>
      </c>
      <c r="BO218">
        <v>701790756</v>
      </c>
      <c r="BP218" t="s">
        <v>81</v>
      </c>
      <c r="BQ218" t="s">
        <v>82</v>
      </c>
      <c r="BS218" s="17">
        <f>higado[[#This Row],[FECHA_TRASPLANTE]]</f>
        <v>45762.236111111102</v>
      </c>
      <c r="BT218">
        <f>IF(higado[[#This Row],[FALLECIDO SI/NO]]="NO",0,1)</f>
        <v>0</v>
      </c>
      <c r="BU218" s="1">
        <f ca="1">IF(higado[[#This Row],[FALLECIDO_COD]]=0,TODAY()-higado[[#This Row],[FECHA_TRASPLANTE]],higado[[#This Row],[FECHA DE DEFUNCIÓN]]-higado[[#This Row],[FECHA_TRASPLANTE]])</f>
        <v>112.76388888889778</v>
      </c>
      <c r="BV218" s="1">
        <f ca="1">IF(higado[[#This Row],[FALLECIDO_COD]]=0,TODAY()-higado[[#This Row],[FECHA_TRASPLANTE]],higado[[#This Row],[FECHA DE DEFUNCIÓN]]-higado[[#This Row],[FECHA_TRASPLANTE]])/30.4375</f>
        <v>3.704768423454547</v>
      </c>
      <c r="BW218" s="1">
        <f ca="1">IF(higado[[#This Row],[FALLECIDO_COD]]=0,TODAY()-higado[[#This Row],[FECHA_TRASPLANTE]],higado[[#This Row],[FECHA DE DEFUNCIÓN]]-higado[[#This Row],[FECHA_TRASPLANTE]])/365.25</f>
        <v>0.30873070195454561</v>
      </c>
    </row>
    <row r="219" spans="1:75" x14ac:dyDescent="0.35">
      <c r="A219" t="s">
        <v>75</v>
      </c>
      <c r="B219" t="s">
        <v>75</v>
      </c>
      <c r="C219" t="s">
        <v>1073</v>
      </c>
      <c r="D219" t="s">
        <v>380</v>
      </c>
      <c r="E219" t="s">
        <v>77</v>
      </c>
      <c r="F219" t="s">
        <v>86</v>
      </c>
      <c r="G219" t="s">
        <v>200</v>
      </c>
      <c r="H219">
        <v>25473</v>
      </c>
      <c r="I219">
        <v>55.552831013765299</v>
      </c>
      <c r="J219" t="s">
        <v>77</v>
      </c>
      <c r="K219" t="s">
        <v>1074</v>
      </c>
      <c r="L219" t="s">
        <v>277</v>
      </c>
      <c r="M219" t="s">
        <v>267</v>
      </c>
      <c r="N219">
        <v>302730097</v>
      </c>
      <c r="O219" s="18">
        <v>45763.671527777798</v>
      </c>
      <c r="P219" t="s">
        <v>81</v>
      </c>
      <c r="Q219" s="2">
        <v>23755</v>
      </c>
      <c r="R219" s="1">
        <f>(higado[[#This Row],[FECHA_TRASPLANTE]]-higado[[#This Row],[FECHA_NAC]])/365.25</f>
        <v>60.256458666058315</v>
      </c>
      <c r="S219" t="s">
        <v>200</v>
      </c>
      <c r="T219" s="2">
        <v>45754</v>
      </c>
      <c r="U219" t="s">
        <v>1049</v>
      </c>
      <c r="V219">
        <v>20</v>
      </c>
      <c r="W219" t="s">
        <v>82</v>
      </c>
      <c r="X219" t="s">
        <v>91</v>
      </c>
      <c r="Y219" t="s">
        <v>91</v>
      </c>
      <c r="Z219" t="s">
        <v>186</v>
      </c>
      <c r="AF219" t="s">
        <v>375</v>
      </c>
      <c r="AM219" t="s">
        <v>106</v>
      </c>
      <c r="BO219">
        <v>602260675</v>
      </c>
      <c r="BP219" t="s">
        <v>81</v>
      </c>
      <c r="BQ219" t="s">
        <v>82</v>
      </c>
      <c r="BS219" s="17">
        <f>higado[[#This Row],[FECHA_TRASPLANTE]]</f>
        <v>45763.671527777798</v>
      </c>
      <c r="BT219">
        <f>IF(higado[[#This Row],[FALLECIDO SI/NO]]="NO",0,1)</f>
        <v>0</v>
      </c>
      <c r="BU219" s="1">
        <f ca="1">IF(higado[[#This Row],[FALLECIDO_COD]]=0,TODAY()-higado[[#This Row],[FECHA_TRASPLANTE]],higado[[#This Row],[FECHA DE DEFUNCIÓN]]-higado[[#This Row],[FECHA_TRASPLANTE]])</f>
        <v>111.32847222220153</v>
      </c>
      <c r="BV219" s="1">
        <f ca="1">IF(higado[[#This Row],[FALLECIDO_COD]]=0,TODAY()-higado[[#This Row],[FECHA_TRASPLANTE]],higado[[#This Row],[FECHA DE DEFUNCIÓN]]-higado[[#This Row],[FECHA_TRASPLANTE]])/30.4375</f>
        <v>3.6576089436452248</v>
      </c>
      <c r="BW219" s="1">
        <f ca="1">IF(higado[[#This Row],[FALLECIDO_COD]]=0,TODAY()-higado[[#This Row],[FECHA_TRASPLANTE]],higado[[#This Row],[FECHA DE DEFUNCIÓN]]-higado[[#This Row],[FECHA_TRASPLANTE]])/365.25</f>
        <v>0.30480074530376872</v>
      </c>
    </row>
    <row r="220" spans="1:75" x14ac:dyDescent="0.35">
      <c r="A220" t="s">
        <v>75</v>
      </c>
      <c r="B220" t="s">
        <v>75</v>
      </c>
      <c r="C220" t="s">
        <v>1075</v>
      </c>
      <c r="D220" t="s">
        <v>380</v>
      </c>
      <c r="E220" t="s">
        <v>77</v>
      </c>
      <c r="F220" t="s">
        <v>86</v>
      </c>
      <c r="G220" t="s">
        <v>200</v>
      </c>
      <c r="H220">
        <v>34222</v>
      </c>
      <c r="I220">
        <v>31.635865845311429</v>
      </c>
      <c r="J220" t="s">
        <v>77</v>
      </c>
      <c r="K220" t="s">
        <v>1076</v>
      </c>
      <c r="L220" t="s">
        <v>160</v>
      </c>
      <c r="M220" t="s">
        <v>240</v>
      </c>
      <c r="N220">
        <v>801050412</v>
      </c>
      <c r="O220" s="18">
        <v>45777</v>
      </c>
      <c r="P220" t="s">
        <v>81</v>
      </c>
      <c r="Q220" s="2">
        <v>22519</v>
      </c>
      <c r="R220" s="1">
        <f>(higado[[#This Row],[FECHA_TRASPLANTE]]-higado[[#This Row],[FECHA_NAC]])/365.25</f>
        <v>63.676933607118414</v>
      </c>
      <c r="S220" t="s">
        <v>210</v>
      </c>
      <c r="T220" s="2">
        <v>45679</v>
      </c>
      <c r="U220" t="s">
        <v>849</v>
      </c>
      <c r="V220">
        <v>28</v>
      </c>
      <c r="W220" t="s">
        <v>82</v>
      </c>
      <c r="X220" t="s">
        <v>91</v>
      </c>
      <c r="Y220" t="s">
        <v>91</v>
      </c>
      <c r="Z220" t="s">
        <v>450</v>
      </c>
      <c r="AF220" t="s">
        <v>375</v>
      </c>
      <c r="AM220" t="s">
        <v>106</v>
      </c>
      <c r="BO220">
        <v>115470763</v>
      </c>
      <c r="BP220" t="s">
        <v>81</v>
      </c>
      <c r="BQ220" t="s">
        <v>82</v>
      </c>
      <c r="BS220" s="17">
        <f>higado[[#This Row],[FECHA_TRASPLANTE]]</f>
        <v>45777</v>
      </c>
      <c r="BT220">
        <f>IF(higado[[#This Row],[FALLECIDO SI/NO]]="NO",0,1)</f>
        <v>0</v>
      </c>
      <c r="BU220" s="1">
        <f ca="1">IF(higado[[#This Row],[FALLECIDO_COD]]=0,TODAY()-higado[[#This Row],[FECHA_TRASPLANTE]],higado[[#This Row],[FECHA DE DEFUNCIÓN]]-higado[[#This Row],[FECHA_TRASPLANTE]])</f>
        <v>98</v>
      </c>
      <c r="BV220" s="1">
        <f ca="1">IF(higado[[#This Row],[FALLECIDO_COD]]=0,TODAY()-higado[[#This Row],[FECHA_TRASPLANTE]],higado[[#This Row],[FECHA DE DEFUNCIÓN]]-higado[[#This Row],[FECHA_TRASPLANTE]])/30.4375</f>
        <v>3.2197125256673513</v>
      </c>
      <c r="BW220" s="1">
        <f ca="1">IF(higado[[#This Row],[FALLECIDO_COD]]=0,TODAY()-higado[[#This Row],[FECHA_TRASPLANTE]],higado[[#This Row],[FECHA DE DEFUNCIÓN]]-higado[[#This Row],[FECHA_TRASPLANTE]])/365.25</f>
        <v>0.26830937713894593</v>
      </c>
    </row>
    <row r="221" spans="1:75" x14ac:dyDescent="0.35">
      <c r="A221" t="s">
        <v>75</v>
      </c>
      <c r="B221" t="s">
        <v>75</v>
      </c>
      <c r="C221" t="s">
        <v>1077</v>
      </c>
      <c r="D221" t="s">
        <v>380</v>
      </c>
      <c r="E221" t="s">
        <v>77</v>
      </c>
      <c r="F221" t="s">
        <v>86</v>
      </c>
      <c r="G221" t="s">
        <v>200</v>
      </c>
      <c r="H221">
        <v>30690</v>
      </c>
      <c r="I221">
        <v>41.314168377823407</v>
      </c>
      <c r="J221" t="s">
        <v>77</v>
      </c>
      <c r="K221" t="s">
        <v>1078</v>
      </c>
      <c r="L221" t="s">
        <v>1079</v>
      </c>
      <c r="M221" t="s">
        <v>1080</v>
      </c>
      <c r="N221">
        <v>800550425</v>
      </c>
      <c r="O221" s="18">
        <v>45780</v>
      </c>
      <c r="P221" t="s">
        <v>90</v>
      </c>
      <c r="Q221" s="2">
        <v>24462</v>
      </c>
      <c r="R221" s="1">
        <f>(higado[[#This Row],[FECHA_TRASPLANTE]]-higado[[#This Row],[FECHA_NAC]])/365.25</f>
        <v>58.365503080082135</v>
      </c>
      <c r="S221" t="s">
        <v>200</v>
      </c>
      <c r="T221" s="2">
        <v>44279</v>
      </c>
      <c r="U221" t="s">
        <v>1049</v>
      </c>
      <c r="V221">
        <v>16</v>
      </c>
      <c r="W221" t="s">
        <v>82</v>
      </c>
      <c r="X221" t="s">
        <v>91</v>
      </c>
      <c r="Y221" t="s">
        <v>91</v>
      </c>
      <c r="Z221" t="s">
        <v>186</v>
      </c>
      <c r="AM221" t="s">
        <v>106</v>
      </c>
      <c r="BO221">
        <v>111950702</v>
      </c>
      <c r="BP221" t="s">
        <v>90</v>
      </c>
      <c r="BQ221" t="s">
        <v>82</v>
      </c>
      <c r="BS221" s="17">
        <f>higado[[#This Row],[FECHA_TRASPLANTE]]</f>
        <v>45780</v>
      </c>
      <c r="BT221">
        <f>IF(higado[[#This Row],[FALLECIDO SI/NO]]="NO",0,1)</f>
        <v>0</v>
      </c>
      <c r="BU221" s="1">
        <f ca="1">IF(higado[[#This Row],[FALLECIDO_COD]]=0,TODAY()-higado[[#This Row],[FECHA_TRASPLANTE]],higado[[#This Row],[FECHA DE DEFUNCIÓN]]-higado[[#This Row],[FECHA_TRASPLANTE]])</f>
        <v>95</v>
      </c>
      <c r="BV221" s="1">
        <f ca="1">IF(higado[[#This Row],[FALLECIDO_COD]]=0,TODAY()-higado[[#This Row],[FECHA_TRASPLANTE]],higado[[#This Row],[FECHA DE DEFUNCIÓN]]-higado[[#This Row],[FECHA_TRASPLANTE]])/30.4375</f>
        <v>3.1211498973305956</v>
      </c>
      <c r="BW221" s="1">
        <f ca="1">IF(higado[[#This Row],[FALLECIDO_COD]]=0,TODAY()-higado[[#This Row],[FECHA_TRASPLANTE]],higado[[#This Row],[FECHA DE DEFUNCIÓN]]-higado[[#This Row],[FECHA_TRASPLANTE]])/365.25</f>
        <v>0.26009582477754961</v>
      </c>
    </row>
    <row r="222" spans="1:75" x14ac:dyDescent="0.35">
      <c r="A222" t="s">
        <v>75</v>
      </c>
      <c r="B222" t="s">
        <v>75</v>
      </c>
      <c r="C222" t="s">
        <v>1081</v>
      </c>
      <c r="D222" t="s">
        <v>380</v>
      </c>
      <c r="E222" t="s">
        <v>77</v>
      </c>
      <c r="F222" t="s">
        <v>86</v>
      </c>
      <c r="G222" t="s">
        <v>200</v>
      </c>
      <c r="H222">
        <v>34848</v>
      </c>
      <c r="I222">
        <v>29.932922655715263</v>
      </c>
      <c r="J222" t="s">
        <v>77</v>
      </c>
      <c r="K222" t="s">
        <v>1082</v>
      </c>
      <c r="L222" t="s">
        <v>1083</v>
      </c>
      <c r="M222" t="s">
        <v>1084</v>
      </c>
      <c r="N222">
        <v>71690099924</v>
      </c>
      <c r="O222" s="18">
        <v>45781</v>
      </c>
      <c r="P222" t="s">
        <v>81</v>
      </c>
      <c r="Q222" s="2">
        <v>25378</v>
      </c>
      <c r="R222" s="1">
        <f>(higado[[#This Row],[FECHA_TRASPLANTE]]-higado[[#This Row],[FECHA_NAC]])/365.25</f>
        <v>55.860369609856264</v>
      </c>
      <c r="S222" t="s">
        <v>200</v>
      </c>
      <c r="T222" s="2">
        <v>45772</v>
      </c>
      <c r="U222" t="s">
        <v>849</v>
      </c>
      <c r="V222">
        <v>23</v>
      </c>
      <c r="X222" t="s">
        <v>91</v>
      </c>
      <c r="Y222" t="s">
        <v>91</v>
      </c>
      <c r="Z222" t="s">
        <v>307</v>
      </c>
      <c r="AM222" t="s">
        <v>106</v>
      </c>
      <c r="BO222">
        <v>702360032</v>
      </c>
      <c r="BP222" t="s">
        <v>81</v>
      </c>
      <c r="BQ222" t="s">
        <v>82</v>
      </c>
      <c r="BS222" s="17">
        <f>higado[[#This Row],[FECHA_TRASPLANTE]]</f>
        <v>45781</v>
      </c>
      <c r="BT222">
        <f>IF(higado[[#This Row],[FALLECIDO SI/NO]]="NO",0,1)</f>
        <v>0</v>
      </c>
      <c r="BU222" s="1">
        <f ca="1">IF(higado[[#This Row],[FALLECIDO_COD]]=0,TODAY()-higado[[#This Row],[FECHA_TRASPLANTE]],higado[[#This Row],[FECHA DE DEFUNCIÓN]]-higado[[#This Row],[FECHA_TRASPLANTE]])</f>
        <v>94</v>
      </c>
      <c r="BV222" s="1">
        <f ca="1">IF(higado[[#This Row],[FALLECIDO_COD]]=0,TODAY()-higado[[#This Row],[FECHA_TRASPLANTE]],higado[[#This Row],[FECHA DE DEFUNCIÓN]]-higado[[#This Row],[FECHA_TRASPLANTE]])/30.4375</f>
        <v>3.0882956878850103</v>
      </c>
      <c r="BW222" s="1">
        <f ca="1">IF(higado[[#This Row],[FALLECIDO_COD]]=0,TODAY()-higado[[#This Row],[FECHA_TRASPLANTE]],higado[[#This Row],[FECHA DE DEFUNCIÓN]]-higado[[#This Row],[FECHA_TRASPLANTE]])/365.25</f>
        <v>0.25735797399041754</v>
      </c>
    </row>
    <row r="223" spans="1:75" x14ac:dyDescent="0.35">
      <c r="A223" t="s">
        <v>75</v>
      </c>
      <c r="B223" t="s">
        <v>75</v>
      </c>
      <c r="C223" t="s">
        <v>1085</v>
      </c>
      <c r="D223" t="s">
        <v>380</v>
      </c>
      <c r="E223" t="s">
        <v>77</v>
      </c>
      <c r="F223" t="s">
        <v>86</v>
      </c>
      <c r="G223" t="s">
        <v>210</v>
      </c>
      <c r="H223">
        <v>33040</v>
      </c>
      <c r="I223">
        <v>34.893908281998634</v>
      </c>
      <c r="J223" t="s">
        <v>77</v>
      </c>
      <c r="K223" t="s">
        <v>1086</v>
      </c>
      <c r="L223" t="s">
        <v>474</v>
      </c>
      <c r="M223" t="s">
        <v>1087</v>
      </c>
      <c r="N223">
        <v>715962110</v>
      </c>
      <c r="O223" s="18">
        <v>45785</v>
      </c>
      <c r="P223" t="s">
        <v>81</v>
      </c>
      <c r="Q223" s="2">
        <v>21600</v>
      </c>
      <c r="R223" s="1">
        <f>(higado[[#This Row],[FECHA_TRASPLANTE]]-higado[[#This Row],[FECHA_NAC]])/365.25</f>
        <v>66.214921286789874</v>
      </c>
      <c r="S223" t="s">
        <v>210</v>
      </c>
      <c r="T223" s="2">
        <v>45336</v>
      </c>
      <c r="U223" t="s">
        <v>1088</v>
      </c>
      <c r="V223">
        <v>10</v>
      </c>
      <c r="W223" t="s">
        <v>82</v>
      </c>
      <c r="X223" t="s">
        <v>91</v>
      </c>
      <c r="Y223" t="s">
        <v>157</v>
      </c>
      <c r="Z223" t="s">
        <v>777</v>
      </c>
      <c r="AM223" t="s">
        <v>106</v>
      </c>
      <c r="BO223">
        <v>1900100695</v>
      </c>
      <c r="BP223" t="s">
        <v>81</v>
      </c>
      <c r="BQ223" t="s">
        <v>146</v>
      </c>
      <c r="BS223" s="17">
        <f>higado[[#This Row],[FECHA_TRASPLANTE]]</f>
        <v>45785</v>
      </c>
      <c r="BT223">
        <f>IF(higado[[#This Row],[FALLECIDO SI/NO]]="NO",0,1)</f>
        <v>0</v>
      </c>
      <c r="BU223" s="1">
        <f ca="1">IF(higado[[#This Row],[FALLECIDO_COD]]=0,TODAY()-higado[[#This Row],[FECHA_TRASPLANTE]],higado[[#This Row],[FECHA DE DEFUNCIÓN]]-higado[[#This Row],[FECHA_TRASPLANTE]])</f>
        <v>90</v>
      </c>
      <c r="BV223" s="1">
        <f ca="1">IF(higado[[#This Row],[FALLECIDO_COD]]=0,TODAY()-higado[[#This Row],[FECHA_TRASPLANTE]],higado[[#This Row],[FECHA DE DEFUNCIÓN]]-higado[[#This Row],[FECHA_TRASPLANTE]])/30.4375</f>
        <v>2.9568788501026693</v>
      </c>
      <c r="BW223" s="1">
        <f ca="1">IF(higado[[#This Row],[FALLECIDO_COD]]=0,TODAY()-higado[[#This Row],[FECHA_TRASPLANTE]],higado[[#This Row],[FECHA DE DEFUNCIÓN]]-higado[[#This Row],[FECHA_TRASPLANTE]])/365.25</f>
        <v>0.24640657084188911</v>
      </c>
    </row>
    <row r="224" spans="1:75" x14ac:dyDescent="0.35">
      <c r="A224" t="s">
        <v>75</v>
      </c>
      <c r="B224" t="s">
        <v>75</v>
      </c>
      <c r="C224" t="s">
        <v>1089</v>
      </c>
      <c r="D224" t="s">
        <v>380</v>
      </c>
      <c r="E224" t="s">
        <v>77</v>
      </c>
      <c r="F224" t="s">
        <v>86</v>
      </c>
      <c r="G224" t="s">
        <v>200</v>
      </c>
      <c r="H224">
        <v>30713</v>
      </c>
      <c r="I224">
        <v>41.267624914442166</v>
      </c>
      <c r="J224" t="s">
        <v>77</v>
      </c>
      <c r="K224" t="s">
        <v>492</v>
      </c>
      <c r="L224" t="s">
        <v>1090</v>
      </c>
      <c r="M224" t="s">
        <v>89</v>
      </c>
      <c r="N224">
        <v>203170102</v>
      </c>
      <c r="O224" s="18">
        <v>45786</v>
      </c>
      <c r="P224" t="s">
        <v>81</v>
      </c>
      <c r="Q224" s="2">
        <v>20751</v>
      </c>
      <c r="R224" s="1">
        <f>(higado[[#This Row],[FECHA_TRASPLANTE]]-higado[[#This Row],[FECHA_NAC]])/365.25</f>
        <v>68.542094455852151</v>
      </c>
      <c r="S224" t="s">
        <v>200</v>
      </c>
      <c r="T224" s="2">
        <v>44459</v>
      </c>
      <c r="U224" t="s">
        <v>1088</v>
      </c>
      <c r="V224">
        <v>24</v>
      </c>
      <c r="W224" t="s">
        <v>82</v>
      </c>
      <c r="X224" t="s">
        <v>91</v>
      </c>
      <c r="Y224" t="s">
        <v>157</v>
      </c>
      <c r="Z224" t="s">
        <v>158</v>
      </c>
      <c r="AM224" t="s">
        <v>106</v>
      </c>
      <c r="AQ224" t="s">
        <v>358</v>
      </c>
      <c r="AY224" t="s">
        <v>106</v>
      </c>
      <c r="BO224">
        <v>104930257</v>
      </c>
      <c r="BP224" t="s">
        <v>90</v>
      </c>
      <c r="BQ224" t="s">
        <v>82</v>
      </c>
      <c r="BS224" s="17">
        <f>higado[[#This Row],[FECHA_TRASPLANTE]]</f>
        <v>45786</v>
      </c>
      <c r="BT224">
        <f>IF(higado[[#This Row],[FALLECIDO SI/NO]]="NO",0,1)</f>
        <v>0</v>
      </c>
      <c r="BU224" s="1">
        <f ca="1">IF(higado[[#This Row],[FALLECIDO_COD]]=0,TODAY()-higado[[#This Row],[FECHA_TRASPLANTE]],higado[[#This Row],[FECHA DE DEFUNCIÓN]]-higado[[#This Row],[FECHA_TRASPLANTE]])</f>
        <v>89</v>
      </c>
      <c r="BV224" s="1">
        <f ca="1">IF(higado[[#This Row],[FALLECIDO_COD]]=0,TODAY()-higado[[#This Row],[FECHA_TRASPLANTE]],higado[[#This Row],[FECHA DE DEFUNCIÓN]]-higado[[#This Row],[FECHA_TRASPLANTE]])/30.4375</f>
        <v>2.924024640657084</v>
      </c>
      <c r="BW224" s="1">
        <f ca="1">IF(higado[[#This Row],[FALLECIDO_COD]]=0,TODAY()-higado[[#This Row],[FECHA_TRASPLANTE]],higado[[#This Row],[FECHA DE DEFUNCIÓN]]-higado[[#This Row],[FECHA_TRASPLANTE]])/365.25</f>
        <v>0.24366872005475701</v>
      </c>
    </row>
    <row r="225" spans="1:75" x14ac:dyDescent="0.35">
      <c r="A225" t="s">
        <v>75</v>
      </c>
      <c r="B225" t="s">
        <v>75</v>
      </c>
      <c r="C225" t="s">
        <v>1091</v>
      </c>
      <c r="D225" t="s">
        <v>380</v>
      </c>
      <c r="E225" t="s">
        <v>77</v>
      </c>
      <c r="F225" t="s">
        <v>86</v>
      </c>
      <c r="G225" t="s">
        <v>200</v>
      </c>
      <c r="H225">
        <v>38744</v>
      </c>
      <c r="I225">
        <v>19.282683093771389</v>
      </c>
      <c r="J225" t="s">
        <v>77</v>
      </c>
      <c r="K225" t="s">
        <v>1092</v>
      </c>
      <c r="L225" t="s">
        <v>149</v>
      </c>
      <c r="M225" t="s">
        <v>1041</v>
      </c>
      <c r="N225">
        <v>104930257</v>
      </c>
      <c r="O225" s="18">
        <v>45787</v>
      </c>
      <c r="P225" t="s">
        <v>90</v>
      </c>
      <c r="Q225" s="2">
        <v>21256</v>
      </c>
      <c r="R225" s="1">
        <f>(higado[[#This Row],[FECHA_TRASPLANTE]]-higado[[#This Row],[FECHA_NAC]])/365.25</f>
        <v>67.162217659137582</v>
      </c>
      <c r="S225" t="s">
        <v>200</v>
      </c>
      <c r="T225" s="2">
        <v>44968</v>
      </c>
      <c r="U225" t="s">
        <v>1088</v>
      </c>
      <c r="V225">
        <v>14</v>
      </c>
      <c r="W225" t="s">
        <v>82</v>
      </c>
      <c r="X225" t="s">
        <v>91</v>
      </c>
      <c r="Y225" t="s">
        <v>116</v>
      </c>
      <c r="Z225" t="s">
        <v>142</v>
      </c>
      <c r="AM225" t="s">
        <v>106</v>
      </c>
      <c r="BO225">
        <v>119560662</v>
      </c>
      <c r="BP225" t="s">
        <v>81</v>
      </c>
      <c r="BQ225" t="s">
        <v>82</v>
      </c>
      <c r="BS225" s="17">
        <f>higado[[#This Row],[FECHA_TRASPLANTE]]</f>
        <v>45787</v>
      </c>
      <c r="BT225">
        <f>IF(higado[[#This Row],[FALLECIDO SI/NO]]="NO",0,1)</f>
        <v>0</v>
      </c>
      <c r="BU225" s="1">
        <f ca="1">IF(higado[[#This Row],[FALLECIDO_COD]]=0,TODAY()-higado[[#This Row],[FECHA_TRASPLANTE]],higado[[#This Row],[FECHA DE DEFUNCIÓN]]-higado[[#This Row],[FECHA_TRASPLANTE]])</f>
        <v>88</v>
      </c>
      <c r="BV225" s="1">
        <f ca="1">IF(higado[[#This Row],[FALLECIDO_COD]]=0,TODAY()-higado[[#This Row],[FECHA_TRASPLANTE]],higado[[#This Row],[FECHA DE DEFUNCIÓN]]-higado[[#This Row],[FECHA_TRASPLANTE]])/30.4375</f>
        <v>2.8911704312114992</v>
      </c>
      <c r="BW225" s="1">
        <f ca="1">IF(higado[[#This Row],[FALLECIDO_COD]]=0,TODAY()-higado[[#This Row],[FECHA_TRASPLANTE]],higado[[#This Row],[FECHA DE DEFUNCIÓN]]-higado[[#This Row],[FECHA_TRASPLANTE]])/365.25</f>
        <v>0.24093086926762491</v>
      </c>
    </row>
    <row r="226" spans="1:75" x14ac:dyDescent="0.35">
      <c r="A226" t="s">
        <v>376</v>
      </c>
      <c r="B226" t="s">
        <v>376</v>
      </c>
      <c r="C226" t="s">
        <v>1093</v>
      </c>
      <c r="D226" t="s">
        <v>380</v>
      </c>
      <c r="E226" t="s">
        <v>77</v>
      </c>
      <c r="F226" t="s">
        <v>106</v>
      </c>
      <c r="G226" t="s">
        <v>200</v>
      </c>
      <c r="H226">
        <v>39880</v>
      </c>
      <c r="I226">
        <v>16.010951403148528</v>
      </c>
      <c r="J226" t="s">
        <v>77</v>
      </c>
      <c r="K226" t="s">
        <v>1094</v>
      </c>
      <c r="L226" t="s">
        <v>98</v>
      </c>
      <c r="M226" t="s">
        <v>98</v>
      </c>
      <c r="N226">
        <v>210390369</v>
      </c>
      <c r="O226" s="18">
        <v>45728</v>
      </c>
      <c r="P226" t="s">
        <v>81</v>
      </c>
      <c r="Q226" s="2">
        <v>43231</v>
      </c>
      <c r="R226" s="1">
        <f>(higado[[#This Row],[FECHA_TRASPLANTE]]-higado[[#This Row],[FECHA_NAC]])/365.25</f>
        <v>6.8364134154688569</v>
      </c>
      <c r="S226" t="s">
        <v>200</v>
      </c>
      <c r="T226" s="2">
        <v>45622</v>
      </c>
      <c r="U226" t="s">
        <v>1068</v>
      </c>
      <c r="V226">
        <v>9</v>
      </c>
      <c r="W226" t="s">
        <v>82</v>
      </c>
      <c r="X226" t="s">
        <v>115</v>
      </c>
      <c r="Y226" t="s">
        <v>197</v>
      </c>
      <c r="Z226" t="s">
        <v>1095</v>
      </c>
      <c r="AM226" t="s">
        <v>106</v>
      </c>
      <c r="BO226">
        <v>120500017</v>
      </c>
      <c r="BP226" t="s">
        <v>81</v>
      </c>
      <c r="BQ226" t="s">
        <v>82</v>
      </c>
      <c r="BS226" s="17">
        <f>higado[[#This Row],[FECHA_TRASPLANTE]]</f>
        <v>45728</v>
      </c>
      <c r="BT226">
        <f>IF(higado[[#This Row],[FALLECIDO SI/NO]]="NO",0,1)</f>
        <v>0</v>
      </c>
      <c r="BU226" s="1">
        <f ca="1">IF(higado[[#This Row],[FALLECIDO_COD]]=0,TODAY()-higado[[#This Row],[FECHA_TRASPLANTE]],higado[[#This Row],[FECHA DE DEFUNCIÓN]]-higado[[#This Row],[FECHA_TRASPLANTE]])</f>
        <v>147</v>
      </c>
      <c r="BV226" s="1">
        <f ca="1">IF(higado[[#This Row],[FALLECIDO_COD]]=0,TODAY()-higado[[#This Row],[FECHA_TRASPLANTE]],higado[[#This Row],[FECHA DE DEFUNCIÓN]]-higado[[#This Row],[FECHA_TRASPLANTE]])/30.4375</f>
        <v>4.8295687885010263</v>
      </c>
      <c r="BW226" s="1">
        <f ca="1">IF(higado[[#This Row],[FALLECIDO_COD]]=0,TODAY()-higado[[#This Row],[FECHA_TRASPLANTE]],higado[[#This Row],[FECHA DE DEFUNCIÓN]]-higado[[#This Row],[FECHA_TRASPLANTE]])/365.25</f>
        <v>0.40246406570841892</v>
      </c>
    </row>
    <row r="227" spans="1:75" x14ac:dyDescent="0.35">
      <c r="A227" t="s">
        <v>377</v>
      </c>
      <c r="B227" t="s">
        <v>377</v>
      </c>
      <c r="D227" t="s">
        <v>380</v>
      </c>
      <c r="E227" t="s">
        <v>77</v>
      </c>
      <c r="I227"/>
      <c r="J227" t="s">
        <v>77</v>
      </c>
      <c r="K227" t="s">
        <v>1096</v>
      </c>
      <c r="L227" t="s">
        <v>88</v>
      </c>
      <c r="M227" t="s">
        <v>386</v>
      </c>
      <c r="N227">
        <v>104980913</v>
      </c>
      <c r="O227" s="18">
        <v>45747</v>
      </c>
      <c r="P227" t="s">
        <v>81</v>
      </c>
      <c r="Q227" s="2">
        <v>21506</v>
      </c>
      <c r="R227" s="1">
        <f>(higado[[#This Row],[FECHA_TRASPLANTE]]-higado[[#This Row],[FECHA_NAC]])/365.25</f>
        <v>66.368240930869263</v>
      </c>
      <c r="S227" t="s">
        <v>896</v>
      </c>
      <c r="T227" s="2">
        <v>43480</v>
      </c>
      <c r="V227">
        <v>31</v>
      </c>
      <c r="W227" t="s">
        <v>82</v>
      </c>
      <c r="AM227" t="s">
        <v>106</v>
      </c>
      <c r="BS227" s="17">
        <f>higado[[#This Row],[FECHA_TRASPLANTE]]</f>
        <v>45747</v>
      </c>
      <c r="BT227">
        <f>IF(higado[[#This Row],[FALLECIDO SI/NO]]="NO",0,1)</f>
        <v>0</v>
      </c>
      <c r="BU227" s="1">
        <f ca="1">IF(higado[[#This Row],[FALLECIDO_COD]]=0,TODAY()-higado[[#This Row],[FECHA_TRASPLANTE]],higado[[#This Row],[FECHA DE DEFUNCIÓN]]-higado[[#This Row],[FECHA_TRASPLANTE]])</f>
        <v>128</v>
      </c>
      <c r="BV227" s="1">
        <f ca="1">IF(higado[[#This Row],[FALLECIDO_COD]]=0,TODAY()-higado[[#This Row],[FECHA_TRASPLANTE]],higado[[#This Row],[FECHA DE DEFUNCIÓN]]-higado[[#This Row],[FECHA_TRASPLANTE]])/30.4375</f>
        <v>4.2053388090349078</v>
      </c>
      <c r="BW227" s="1">
        <f ca="1">IF(higado[[#This Row],[FALLECIDO_COD]]=0,TODAY()-higado[[#This Row],[FECHA_TRASPLANTE]],higado[[#This Row],[FECHA DE DEFUNCIÓN]]-higado[[#This Row],[FECHA_TRASPLANTE]])/365.25</f>
        <v>0.35044490075290896</v>
      </c>
    </row>
    <row r="228" spans="1:75" x14ac:dyDescent="0.35">
      <c r="A228" t="s">
        <v>377</v>
      </c>
      <c r="B228" t="s">
        <v>377</v>
      </c>
      <c r="D228" t="s">
        <v>380</v>
      </c>
      <c r="E228" t="s">
        <v>77</v>
      </c>
      <c r="I228"/>
      <c r="J228" t="s">
        <v>77</v>
      </c>
      <c r="K228" t="s">
        <v>1097</v>
      </c>
      <c r="L228" t="s">
        <v>155</v>
      </c>
      <c r="M228" t="s">
        <v>592</v>
      </c>
      <c r="N228">
        <v>109230540</v>
      </c>
      <c r="O228" s="18">
        <v>45796</v>
      </c>
      <c r="P228" t="s">
        <v>90</v>
      </c>
      <c r="Q228" s="2">
        <v>25946</v>
      </c>
      <c r="R228" s="1">
        <f>(higado[[#This Row],[FECHA_TRASPLANTE]]-higado[[#This Row],[FECHA_NAC]])/365.25</f>
        <v>54.346338124572213</v>
      </c>
      <c r="AM228" t="s">
        <v>106</v>
      </c>
      <c r="BS228" s="17">
        <f>higado[[#This Row],[FECHA_TRASPLANTE]]</f>
        <v>45796</v>
      </c>
      <c r="BT228">
        <f>IF(higado[[#This Row],[FALLECIDO SI/NO]]="NO",0,1)</f>
        <v>0</v>
      </c>
      <c r="BU228" s="1">
        <f ca="1">IF(higado[[#This Row],[FALLECIDO_COD]]=0,TODAY()-higado[[#This Row],[FECHA_TRASPLANTE]],higado[[#This Row],[FECHA DE DEFUNCIÓN]]-higado[[#This Row],[FECHA_TRASPLANTE]])</f>
        <v>79</v>
      </c>
      <c r="BV228" s="1">
        <f ca="1">IF(higado[[#This Row],[FALLECIDO_COD]]=0,TODAY()-higado[[#This Row],[FECHA_TRASPLANTE]],higado[[#This Row],[FECHA DE DEFUNCIÓN]]-higado[[#This Row],[FECHA_TRASPLANTE]])/30.4375</f>
        <v>2.5954825462012319</v>
      </c>
      <c r="BW228" s="1">
        <f ca="1">IF(higado[[#This Row],[FALLECIDO_COD]]=0,TODAY()-higado[[#This Row],[FECHA_TRASPLANTE]],higado[[#This Row],[FECHA DE DEFUNCIÓN]]-higado[[#This Row],[FECHA_TRASPLANTE]])/365.25</f>
        <v>0.216290212183436</v>
      </c>
    </row>
    <row r="229" spans="1:75" x14ac:dyDescent="0.35">
      <c r="A229" t="s">
        <v>377</v>
      </c>
      <c r="B229" t="s">
        <v>377</v>
      </c>
      <c r="D229" t="s">
        <v>380</v>
      </c>
      <c r="E229" t="s">
        <v>77</v>
      </c>
      <c r="I229"/>
      <c r="J229" t="s">
        <v>77</v>
      </c>
      <c r="K229" t="s">
        <v>1098</v>
      </c>
      <c r="L229" t="s">
        <v>99</v>
      </c>
      <c r="M229" t="s">
        <v>474</v>
      </c>
      <c r="N229">
        <v>119450495</v>
      </c>
      <c r="O229" s="18">
        <v>45799</v>
      </c>
      <c r="P229" t="s">
        <v>90</v>
      </c>
      <c r="Q229" s="2">
        <v>38604</v>
      </c>
      <c r="R229" s="1">
        <f>(higado[[#This Row],[FECHA_TRASPLANTE]]-higado[[#This Row],[FECHA_NAC]])/365.25</f>
        <v>19.698836413415467</v>
      </c>
      <c r="AM229" t="s">
        <v>106</v>
      </c>
      <c r="BS229" s="17">
        <f>higado[[#This Row],[FECHA_TRASPLANTE]]</f>
        <v>45799</v>
      </c>
      <c r="BT229">
        <f>IF(higado[[#This Row],[FALLECIDO SI/NO]]="NO",0,1)</f>
        <v>0</v>
      </c>
      <c r="BU229" s="1">
        <f ca="1">IF(higado[[#This Row],[FALLECIDO_COD]]=0,TODAY()-higado[[#This Row],[FECHA_TRASPLANTE]],higado[[#This Row],[FECHA DE DEFUNCIÓN]]-higado[[#This Row],[FECHA_TRASPLANTE]])</f>
        <v>76</v>
      </c>
      <c r="BV229" s="1">
        <f ca="1">IF(higado[[#This Row],[FALLECIDO_COD]]=0,TODAY()-higado[[#This Row],[FECHA_TRASPLANTE]],higado[[#This Row],[FECHA DE DEFUNCIÓN]]-higado[[#This Row],[FECHA_TRASPLANTE]])/30.4375</f>
        <v>2.4969199178644765</v>
      </c>
      <c r="BW229" s="1">
        <f ca="1">IF(higado[[#This Row],[FALLECIDO_COD]]=0,TODAY()-higado[[#This Row],[FECHA_TRASPLANTE]],higado[[#This Row],[FECHA DE DEFUNCIÓN]]-higado[[#This Row],[FECHA_TRASPLANTE]])/365.25</f>
        <v>0.20807665982203971</v>
      </c>
    </row>
    <row r="230" spans="1:75" x14ac:dyDescent="0.35">
      <c r="A230" t="s">
        <v>75</v>
      </c>
      <c r="B230" t="s">
        <v>75</v>
      </c>
      <c r="C230" t="s">
        <v>1099</v>
      </c>
      <c r="D230" t="s">
        <v>380</v>
      </c>
      <c r="E230" t="s">
        <v>77</v>
      </c>
      <c r="I230"/>
      <c r="J230" t="s">
        <v>77</v>
      </c>
      <c r="K230" t="s">
        <v>1100</v>
      </c>
      <c r="L230" t="s">
        <v>228</v>
      </c>
      <c r="M230" t="s">
        <v>114</v>
      </c>
      <c r="N230">
        <v>602020295</v>
      </c>
      <c r="O230" s="18">
        <v>45794</v>
      </c>
      <c r="P230" t="s">
        <v>81</v>
      </c>
      <c r="Q230" s="2">
        <v>24356</v>
      </c>
      <c r="R230" s="1">
        <f>(higado[[#This Row],[FECHA_TRASPLANTE]]-higado[[#This Row],[FECHA_NAC]])/365.25</f>
        <v>58.69404517453799</v>
      </c>
      <c r="S230" t="s">
        <v>200</v>
      </c>
      <c r="U230" t="s">
        <v>1101</v>
      </c>
      <c r="W230" t="s">
        <v>82</v>
      </c>
      <c r="X230" t="s">
        <v>91</v>
      </c>
      <c r="Y230" t="s">
        <v>179</v>
      </c>
      <c r="Z230" t="s">
        <v>621</v>
      </c>
      <c r="AM230" t="s">
        <v>106</v>
      </c>
      <c r="BS230" s="17">
        <f>higado[[#This Row],[FECHA_TRASPLANTE]]</f>
        <v>45794</v>
      </c>
      <c r="BT230">
        <f>IF(higado[[#This Row],[FALLECIDO SI/NO]]="NO",0,1)</f>
        <v>0</v>
      </c>
      <c r="BU230" s="1">
        <f ca="1">IF(higado[[#This Row],[FALLECIDO_COD]]=0,TODAY()-higado[[#This Row],[FECHA_TRASPLANTE]],higado[[#This Row],[FECHA DE DEFUNCIÓN]]-higado[[#This Row],[FECHA_TRASPLANTE]])</f>
        <v>81</v>
      </c>
      <c r="BV230" s="1">
        <f ca="1">IF(higado[[#This Row],[FALLECIDO_COD]]=0,TODAY()-higado[[#This Row],[FECHA_TRASPLANTE]],higado[[#This Row],[FECHA DE DEFUNCIÓN]]-higado[[#This Row],[FECHA_TRASPLANTE]])/30.4375</f>
        <v>2.6611909650924024</v>
      </c>
      <c r="BW230" s="1">
        <f ca="1">IF(higado[[#This Row],[FALLECIDO_COD]]=0,TODAY()-higado[[#This Row],[FECHA_TRASPLANTE]],higado[[#This Row],[FECHA DE DEFUNCIÓN]]-higado[[#This Row],[FECHA_TRASPLANTE]])/365.25</f>
        <v>0.22176591375770022</v>
      </c>
    </row>
    <row r="231" spans="1:75" x14ac:dyDescent="0.35">
      <c r="A231" t="s">
        <v>75</v>
      </c>
      <c r="B231" t="s">
        <v>75</v>
      </c>
      <c r="C231" t="s">
        <v>1102</v>
      </c>
      <c r="D231" t="s">
        <v>380</v>
      </c>
      <c r="E231" t="s">
        <v>77</v>
      </c>
      <c r="I231"/>
      <c r="J231" t="s">
        <v>77</v>
      </c>
      <c r="K231" t="s">
        <v>1038</v>
      </c>
      <c r="L231" t="s">
        <v>141</v>
      </c>
      <c r="M231" t="s">
        <v>167</v>
      </c>
      <c r="N231">
        <v>112130992</v>
      </c>
      <c r="O231" s="18">
        <v>45822</v>
      </c>
      <c r="P231" t="s">
        <v>81</v>
      </c>
      <c r="Q231" s="2">
        <v>30904</v>
      </c>
      <c r="R231" s="1">
        <f>(higado[[#This Row],[FECHA_TRASPLANTE]]-higado[[#This Row],[FECHA_NAC]])/365.25</f>
        <v>40.843258042436688</v>
      </c>
      <c r="S231" t="s">
        <v>200</v>
      </c>
      <c r="U231" t="s">
        <v>1103</v>
      </c>
      <c r="W231" t="s">
        <v>82</v>
      </c>
      <c r="X231" t="s">
        <v>91</v>
      </c>
      <c r="Y231" t="s">
        <v>157</v>
      </c>
      <c r="Z231" t="s">
        <v>158</v>
      </c>
      <c r="AM231" t="s">
        <v>106</v>
      </c>
      <c r="BS231" s="17">
        <f>higado[[#This Row],[FECHA_TRASPLANTE]]</f>
        <v>45822</v>
      </c>
      <c r="BT231">
        <f>IF(higado[[#This Row],[FALLECIDO SI/NO]]="NO",0,1)</f>
        <v>0</v>
      </c>
      <c r="BU231" s="1">
        <f ca="1">IF(higado[[#This Row],[FALLECIDO_COD]]=0,TODAY()-higado[[#This Row],[FECHA_TRASPLANTE]],higado[[#This Row],[FECHA DE DEFUNCIÓN]]-higado[[#This Row],[FECHA_TRASPLANTE]])</f>
        <v>53</v>
      </c>
      <c r="BV231" s="1">
        <f ca="1">IF(higado[[#This Row],[FALLECIDO_COD]]=0,TODAY()-higado[[#This Row],[FECHA_TRASPLANTE]],higado[[#This Row],[FECHA DE DEFUNCIÓN]]-higado[[#This Row],[FECHA_TRASPLANTE]])/30.4375</f>
        <v>1.7412731006160165</v>
      </c>
      <c r="BW231" s="1">
        <f ca="1">IF(higado[[#This Row],[FALLECIDO_COD]]=0,TODAY()-higado[[#This Row],[FECHA_TRASPLANTE]],higado[[#This Row],[FECHA DE DEFUNCIÓN]]-higado[[#This Row],[FECHA_TRASPLANTE]])/365.25</f>
        <v>0.14510609171800137</v>
      </c>
    </row>
    <row r="232" spans="1:75" x14ac:dyDescent="0.35">
      <c r="A232" t="s">
        <v>75</v>
      </c>
      <c r="B232" t="s">
        <v>75</v>
      </c>
      <c r="C232" t="s">
        <v>1104</v>
      </c>
      <c r="D232" t="s">
        <v>380</v>
      </c>
      <c r="E232" t="s">
        <v>77</v>
      </c>
      <c r="I232"/>
      <c r="J232" t="s">
        <v>77</v>
      </c>
      <c r="K232" t="s">
        <v>1105</v>
      </c>
      <c r="L232" t="s">
        <v>561</v>
      </c>
      <c r="M232" t="s">
        <v>567</v>
      </c>
      <c r="N232">
        <v>601620240</v>
      </c>
      <c r="O232" s="18">
        <v>45829</v>
      </c>
      <c r="P232" t="s">
        <v>81</v>
      </c>
      <c r="Q232" s="2">
        <v>22496</v>
      </c>
      <c r="R232" s="1">
        <f>(higado[[#This Row],[FECHA_TRASPLANTE]]-higado[[#This Row],[FECHA_NAC]])/365.25</f>
        <v>63.88227241615332</v>
      </c>
      <c r="S232" t="s">
        <v>200</v>
      </c>
      <c r="T232" s="2">
        <v>45635</v>
      </c>
      <c r="U232" t="s">
        <v>828</v>
      </c>
      <c r="W232" t="s">
        <v>82</v>
      </c>
      <c r="X232" t="s">
        <v>91</v>
      </c>
      <c r="Y232" t="s">
        <v>157</v>
      </c>
      <c r="Z232" t="s">
        <v>527</v>
      </c>
      <c r="AM232" t="s">
        <v>106</v>
      </c>
      <c r="BS232" s="17">
        <f>higado[[#This Row],[FECHA_TRASPLANTE]]</f>
        <v>45829</v>
      </c>
      <c r="BT232">
        <f>IF(higado[[#This Row],[FALLECIDO SI/NO]]="NO",0,1)</f>
        <v>0</v>
      </c>
      <c r="BU232" s="1">
        <f ca="1">IF(higado[[#This Row],[FALLECIDO_COD]]=0,TODAY()-higado[[#This Row],[FECHA_TRASPLANTE]],higado[[#This Row],[FECHA DE DEFUNCIÓN]]-higado[[#This Row],[FECHA_TRASPLANTE]])</f>
        <v>46</v>
      </c>
      <c r="BV232" s="1">
        <f ca="1">IF(higado[[#This Row],[FALLECIDO_COD]]=0,TODAY()-higado[[#This Row],[FECHA_TRASPLANTE]],higado[[#This Row],[FECHA DE DEFUNCIÓN]]-higado[[#This Row],[FECHA_TRASPLANTE]])/30.4375</f>
        <v>1.5112936344969199</v>
      </c>
      <c r="BW232" s="1">
        <f ca="1">IF(higado[[#This Row],[FALLECIDO_COD]]=0,TODAY()-higado[[#This Row],[FECHA_TRASPLANTE]],higado[[#This Row],[FECHA DE DEFUNCIÓN]]-higado[[#This Row],[FECHA_TRASPLANTE]])/365.25</f>
        <v>0.12594113620807665</v>
      </c>
    </row>
    <row r="233" spans="1:75" x14ac:dyDescent="0.35">
      <c r="A233" t="s">
        <v>75</v>
      </c>
      <c r="B233" t="s">
        <v>75</v>
      </c>
      <c r="C233" t="s">
        <v>1106</v>
      </c>
      <c r="D233" t="s">
        <v>380</v>
      </c>
      <c r="E233" t="s">
        <v>77</v>
      </c>
      <c r="I233"/>
      <c r="J233" t="s">
        <v>77</v>
      </c>
      <c r="K233" t="s">
        <v>1107</v>
      </c>
      <c r="L233" t="s">
        <v>531</v>
      </c>
      <c r="M233" t="s">
        <v>251</v>
      </c>
      <c r="N233">
        <v>203980903</v>
      </c>
      <c r="O233" s="18">
        <v>45830</v>
      </c>
      <c r="P233" t="s">
        <v>81</v>
      </c>
      <c r="Q233" s="2">
        <v>23292</v>
      </c>
      <c r="R233" s="1">
        <f>(higado[[#This Row],[FECHA_TRASPLANTE]]-higado[[#This Row],[FECHA_NAC]])/365.25</f>
        <v>61.705681040383297</v>
      </c>
      <c r="S233" t="s">
        <v>210</v>
      </c>
      <c r="T233" s="2">
        <v>45820</v>
      </c>
      <c r="U233" t="s">
        <v>1108</v>
      </c>
      <c r="W233" t="s">
        <v>82</v>
      </c>
      <c r="X233" t="s">
        <v>115</v>
      </c>
      <c r="Y233" t="s">
        <v>426</v>
      </c>
      <c r="Z233" t="s">
        <v>764</v>
      </c>
      <c r="AM233" t="s">
        <v>106</v>
      </c>
      <c r="BS233" s="17">
        <f>higado[[#This Row],[FECHA_TRASPLANTE]]</f>
        <v>45830</v>
      </c>
      <c r="BT233">
        <f>IF(higado[[#This Row],[FALLECIDO SI/NO]]="NO",0,1)</f>
        <v>0</v>
      </c>
      <c r="BU233" s="1">
        <f ca="1">IF(higado[[#This Row],[FALLECIDO_COD]]=0,TODAY()-higado[[#This Row],[FECHA_TRASPLANTE]],higado[[#This Row],[FECHA DE DEFUNCIÓN]]-higado[[#This Row],[FECHA_TRASPLANTE]])</f>
        <v>45</v>
      </c>
      <c r="BV233" s="1">
        <f ca="1">IF(higado[[#This Row],[FALLECIDO_COD]]=0,TODAY()-higado[[#This Row],[FECHA_TRASPLANTE]],higado[[#This Row],[FECHA DE DEFUNCIÓN]]-higado[[#This Row],[FECHA_TRASPLANTE]])/30.4375</f>
        <v>1.4784394250513346</v>
      </c>
      <c r="BW233" s="1">
        <f ca="1">IF(higado[[#This Row],[FALLECIDO_COD]]=0,TODAY()-higado[[#This Row],[FECHA_TRASPLANTE]],higado[[#This Row],[FECHA DE DEFUNCIÓN]]-higado[[#This Row],[FECHA_TRASPLANTE]])/365.25</f>
        <v>0.12320328542094455</v>
      </c>
    </row>
    <row r="234" spans="1:75" x14ac:dyDescent="0.35">
      <c r="A234" t="s">
        <v>75</v>
      </c>
      <c r="B234" t="s">
        <v>75</v>
      </c>
      <c r="C234" t="s">
        <v>1109</v>
      </c>
      <c r="D234" t="s">
        <v>380</v>
      </c>
      <c r="E234" t="s">
        <v>77</v>
      </c>
      <c r="I234"/>
      <c r="J234" t="s">
        <v>77</v>
      </c>
      <c r="K234" t="s">
        <v>1110</v>
      </c>
      <c r="L234" t="s">
        <v>109</v>
      </c>
      <c r="M234" t="s">
        <v>981</v>
      </c>
      <c r="N234">
        <v>401980483</v>
      </c>
      <c r="O234" s="18">
        <v>45834</v>
      </c>
      <c r="P234" t="s">
        <v>90</v>
      </c>
      <c r="Q234" s="2">
        <v>32288</v>
      </c>
      <c r="R234" s="1">
        <f>(higado[[#This Row],[FECHA_TRASPLANTE]]-higado[[#This Row],[FECHA_NAC]])/365.25</f>
        <v>37.086926762491444</v>
      </c>
      <c r="S234" t="s">
        <v>205</v>
      </c>
      <c r="T234" s="2">
        <v>45831</v>
      </c>
      <c r="U234" t="s">
        <v>445</v>
      </c>
      <c r="W234" t="s">
        <v>82</v>
      </c>
      <c r="X234" t="s">
        <v>91</v>
      </c>
      <c r="Y234" t="s">
        <v>193</v>
      </c>
      <c r="Z234" t="s">
        <v>193</v>
      </c>
      <c r="AM234" t="s">
        <v>106</v>
      </c>
      <c r="BS234" s="17">
        <f>higado[[#This Row],[FECHA_TRASPLANTE]]</f>
        <v>45834</v>
      </c>
      <c r="BT234">
        <f>IF(higado[[#This Row],[FALLECIDO SI/NO]]="NO",0,1)</f>
        <v>0</v>
      </c>
      <c r="BU234" s="1">
        <f ca="1">IF(higado[[#This Row],[FALLECIDO_COD]]=0,TODAY()-higado[[#This Row],[FECHA_TRASPLANTE]],higado[[#This Row],[FECHA DE DEFUNCIÓN]]-higado[[#This Row],[FECHA_TRASPLANTE]])</f>
        <v>41</v>
      </c>
      <c r="BV234" s="1">
        <f ca="1">IF(higado[[#This Row],[FALLECIDO_COD]]=0,TODAY()-higado[[#This Row],[FECHA_TRASPLANTE]],higado[[#This Row],[FECHA DE DEFUNCIÓN]]-higado[[#This Row],[FECHA_TRASPLANTE]])/30.4375</f>
        <v>1.3470225872689938</v>
      </c>
      <c r="BW234" s="1">
        <f ca="1">IF(higado[[#This Row],[FALLECIDO_COD]]=0,TODAY()-higado[[#This Row],[FECHA_TRASPLANTE]],higado[[#This Row],[FECHA DE DEFUNCIÓN]]-higado[[#This Row],[FECHA_TRASPLANTE]])/365.25</f>
        <v>0.11225188227241616</v>
      </c>
    </row>
    <row r="235" spans="1:75" x14ac:dyDescent="0.35">
      <c r="A235" t="s">
        <v>377</v>
      </c>
      <c r="B235" t="s">
        <v>377</v>
      </c>
      <c r="D235" t="s">
        <v>380</v>
      </c>
      <c r="E235" t="s">
        <v>77</v>
      </c>
      <c r="I235"/>
      <c r="J235" t="s">
        <v>77</v>
      </c>
      <c r="K235" t="s">
        <v>1111</v>
      </c>
      <c r="L235" t="s">
        <v>707</v>
      </c>
      <c r="M235" t="s">
        <v>642</v>
      </c>
      <c r="N235">
        <v>203910595</v>
      </c>
      <c r="O235" s="18">
        <v>45800</v>
      </c>
      <c r="P235" t="s">
        <v>81</v>
      </c>
      <c r="Q235" s="2">
        <v>23470</v>
      </c>
      <c r="R235" s="1">
        <f>(higado[[#This Row],[FECHA_TRASPLANTE]]-higado[[#This Row],[FECHA_NAC]])/365.25</f>
        <v>61.13620807665982</v>
      </c>
      <c r="AM235" t="s">
        <v>106</v>
      </c>
      <c r="BS235" s="17">
        <f>higado[[#This Row],[FECHA_TRASPLANTE]]</f>
        <v>45800</v>
      </c>
      <c r="BT235">
        <f>IF(higado[[#This Row],[FALLECIDO SI/NO]]="NO",0,1)</f>
        <v>0</v>
      </c>
      <c r="BU235" s="1">
        <f ca="1">IF(higado[[#This Row],[FALLECIDO_COD]]=0,TODAY()-higado[[#This Row],[FECHA_TRASPLANTE]],higado[[#This Row],[FECHA DE DEFUNCIÓN]]-higado[[#This Row],[FECHA_TRASPLANTE]])</f>
        <v>75</v>
      </c>
      <c r="BV235" s="1">
        <f ca="1">IF(higado[[#This Row],[FALLECIDO_COD]]=0,TODAY()-higado[[#This Row],[FECHA_TRASPLANTE]],higado[[#This Row],[FECHA DE DEFUNCIÓN]]-higado[[#This Row],[FECHA_TRASPLANTE]])/30.4375</f>
        <v>2.4640657084188913</v>
      </c>
      <c r="BW235" s="1">
        <f ca="1">IF(higado[[#This Row],[FALLECIDO_COD]]=0,TODAY()-higado[[#This Row],[FECHA_TRASPLANTE]],higado[[#This Row],[FECHA DE DEFUNCIÓN]]-higado[[#This Row],[FECHA_TRASPLANTE]])/365.25</f>
        <v>0.20533880903490759</v>
      </c>
    </row>
    <row r="236" spans="1:75" x14ac:dyDescent="0.35">
      <c r="A236" t="s">
        <v>377</v>
      </c>
      <c r="B236" t="s">
        <v>377</v>
      </c>
      <c r="D236" t="s">
        <v>380</v>
      </c>
      <c r="E236" t="s">
        <v>77</v>
      </c>
      <c r="I236"/>
      <c r="J236" t="s">
        <v>77</v>
      </c>
      <c r="K236" t="s">
        <v>1112</v>
      </c>
      <c r="L236" t="s">
        <v>1113</v>
      </c>
      <c r="M236" t="s">
        <v>474</v>
      </c>
      <c r="N236">
        <v>118250324</v>
      </c>
      <c r="O236" s="18">
        <v>45826</v>
      </c>
      <c r="P236" t="s">
        <v>90</v>
      </c>
      <c r="Q236" s="2">
        <v>37071</v>
      </c>
      <c r="R236" s="1">
        <f>(higado[[#This Row],[FECHA_TRASPLANTE]]-higado[[#This Row],[FECHA_NAC]])/365.25</f>
        <v>23.969883641341546</v>
      </c>
      <c r="AM236" t="s">
        <v>106</v>
      </c>
      <c r="BS236" s="17">
        <f>higado[[#This Row],[FECHA_TRASPLANTE]]</f>
        <v>45826</v>
      </c>
      <c r="BT236">
        <f>IF(higado[[#This Row],[FALLECIDO SI/NO]]="NO",0,1)</f>
        <v>0</v>
      </c>
      <c r="BU236" s="1">
        <f ca="1">IF(higado[[#This Row],[FALLECIDO_COD]]=0,TODAY()-higado[[#This Row],[FECHA_TRASPLANTE]],higado[[#This Row],[FECHA DE DEFUNCIÓN]]-higado[[#This Row],[FECHA_TRASPLANTE]])</f>
        <v>49</v>
      </c>
      <c r="BV236" s="1">
        <f ca="1">IF(higado[[#This Row],[FALLECIDO_COD]]=0,TODAY()-higado[[#This Row],[FECHA_TRASPLANTE]],higado[[#This Row],[FECHA DE DEFUNCIÓN]]-higado[[#This Row],[FECHA_TRASPLANTE]])/30.4375</f>
        <v>1.6098562628336757</v>
      </c>
      <c r="BW236" s="1">
        <f ca="1">IF(higado[[#This Row],[FALLECIDO_COD]]=0,TODAY()-higado[[#This Row],[FECHA_TRASPLANTE]],higado[[#This Row],[FECHA DE DEFUNCIÓN]]-higado[[#This Row],[FECHA_TRASPLANTE]])/365.25</f>
        <v>0.13415468856947296</v>
      </c>
    </row>
    <row r="237" spans="1:75" x14ac:dyDescent="0.35">
      <c r="A237" t="s">
        <v>377</v>
      </c>
      <c r="B237" t="s">
        <v>377</v>
      </c>
      <c r="D237" t="s">
        <v>380</v>
      </c>
      <c r="E237" t="s">
        <v>77</v>
      </c>
      <c r="F237" t="s">
        <v>86</v>
      </c>
      <c r="G237" t="s">
        <v>200</v>
      </c>
      <c r="H237" s="2">
        <v>44625</v>
      </c>
      <c r="I237" s="3">
        <f>(higado[[#This Row],[FECHA_TRASPLANTE]]-higado[[#This Row],[FECHA_NAC_D]])/365.25</f>
        <v>3.2881587953456535</v>
      </c>
      <c r="J237" t="s">
        <v>77</v>
      </c>
      <c r="K237" t="s">
        <v>1114</v>
      </c>
      <c r="L237" t="s">
        <v>1115</v>
      </c>
      <c r="M237" t="s">
        <v>1116</v>
      </c>
      <c r="N237">
        <v>601540070</v>
      </c>
      <c r="O237" s="18">
        <v>45826</v>
      </c>
      <c r="P237" t="s">
        <v>81</v>
      </c>
      <c r="Q237" s="2">
        <v>22186</v>
      </c>
      <c r="R237" s="1">
        <f>(higado[[#This Row],[FECHA_TRASPLANTE]]-higado[[#This Row],[FECHA_NAC]])/365.25</f>
        <v>64.722792607802873</v>
      </c>
      <c r="S237" t="s">
        <v>200</v>
      </c>
      <c r="T237" s="2">
        <v>45597</v>
      </c>
      <c r="U237" t="s">
        <v>1117</v>
      </c>
      <c r="V237">
        <v>28</v>
      </c>
      <c r="W237" t="s">
        <v>82</v>
      </c>
      <c r="X237" t="s">
        <v>115</v>
      </c>
      <c r="Y237" t="s">
        <v>990</v>
      </c>
      <c r="Z237" t="s">
        <v>1118</v>
      </c>
      <c r="AF237" t="s">
        <v>816</v>
      </c>
      <c r="AG237" t="s">
        <v>770</v>
      </c>
      <c r="AM237" t="s">
        <v>86</v>
      </c>
      <c r="AN237" s="2">
        <v>45831</v>
      </c>
      <c r="AO237" t="s">
        <v>1119</v>
      </c>
      <c r="AP237" t="s">
        <v>86</v>
      </c>
      <c r="AQ237" t="s">
        <v>770</v>
      </c>
      <c r="BO237">
        <v>118370583</v>
      </c>
      <c r="BP237" t="s">
        <v>81</v>
      </c>
      <c r="BQ237" t="s">
        <v>82</v>
      </c>
      <c r="BS237" s="17">
        <f>higado[[#This Row],[FECHA_TRASPLANTE]]</f>
        <v>45826</v>
      </c>
      <c r="BT237">
        <f>IF(higado[[#This Row],[FALLECIDO SI/NO]]="NO",0,1)</f>
        <v>1</v>
      </c>
      <c r="BU237" s="1">
        <f ca="1">IF(higado[[#This Row],[FALLECIDO_COD]]=0,TODAY()-higado[[#This Row],[FECHA_TRASPLANTE]],higado[[#This Row],[FECHA DE DEFUNCIÓN]]-higado[[#This Row],[FECHA_TRASPLANTE]])</f>
        <v>5</v>
      </c>
      <c r="BV237" s="1">
        <f ca="1">IF(higado[[#This Row],[FALLECIDO_COD]]=0,TODAY()-higado[[#This Row],[FECHA_TRASPLANTE]],higado[[#This Row],[FECHA DE DEFUNCIÓN]]-higado[[#This Row],[FECHA_TRASPLANTE]])/30.4375</f>
        <v>0.16427104722792607</v>
      </c>
      <c r="BW237" s="1">
        <f ca="1">IF(higado[[#This Row],[FALLECIDO_COD]]=0,TODAY()-higado[[#This Row],[FECHA_TRASPLANTE]],higado[[#This Row],[FECHA DE DEFUNCIÓN]]-higado[[#This Row],[FECHA_TRASPLANTE]])/365.25</f>
        <v>1.3689253935660506E-2</v>
      </c>
    </row>
    <row r="238" spans="1:75" x14ac:dyDescent="0.35">
      <c r="A238" t="s">
        <v>377</v>
      </c>
      <c r="B238" t="s">
        <v>377</v>
      </c>
      <c r="D238" t="s">
        <v>380</v>
      </c>
      <c r="E238" t="s">
        <v>77</v>
      </c>
      <c r="I238"/>
      <c r="J238" t="s">
        <v>77</v>
      </c>
      <c r="K238" t="s">
        <v>1120</v>
      </c>
      <c r="L238" t="s">
        <v>431</v>
      </c>
      <c r="M238" t="s">
        <v>848</v>
      </c>
      <c r="N238">
        <v>503740042</v>
      </c>
      <c r="O238" s="18">
        <v>45837</v>
      </c>
      <c r="P238" t="s">
        <v>81</v>
      </c>
      <c r="Q238" s="2">
        <v>32828</v>
      </c>
      <c r="R238" s="1">
        <f>(higado[[#This Row],[FECHA_TRASPLANTE]]-higado[[#This Row],[FECHA_NAC]])/365.25</f>
        <v>35.616700889801507</v>
      </c>
      <c r="AM238" t="s">
        <v>106</v>
      </c>
      <c r="BS238" s="17">
        <f>higado[[#This Row],[FECHA_TRASPLANTE]]</f>
        <v>45837</v>
      </c>
      <c r="BT238">
        <f>IF(higado[[#This Row],[FALLECIDO SI/NO]]="NO",0,1)</f>
        <v>0</v>
      </c>
      <c r="BU238" s="1">
        <f ca="1">IF(higado[[#This Row],[FALLECIDO_COD]]=0,TODAY()-higado[[#This Row],[FECHA_TRASPLANTE]],higado[[#This Row],[FECHA DE DEFUNCIÓN]]-higado[[#This Row],[FECHA_TRASPLANTE]])</f>
        <v>38</v>
      </c>
      <c r="BV238" s="1">
        <f ca="1">IF(higado[[#This Row],[FALLECIDO_COD]]=0,TODAY()-higado[[#This Row],[FECHA_TRASPLANTE]],higado[[#This Row],[FECHA DE DEFUNCIÓN]]-higado[[#This Row],[FECHA_TRASPLANTE]])/30.4375</f>
        <v>1.2484599589322383</v>
      </c>
      <c r="BW238" s="1">
        <f ca="1">IF(higado[[#This Row],[FALLECIDO_COD]]=0,TODAY()-higado[[#This Row],[FECHA_TRASPLANTE]],higado[[#This Row],[FECHA DE DEFUNCIÓN]]-higado[[#This Row],[FECHA_TRASPLANTE]])/365.25</f>
        <v>0.10403832991101986</v>
      </c>
    </row>
    <row r="239" spans="1:75" x14ac:dyDescent="0.35">
      <c r="A239" t="s">
        <v>377</v>
      </c>
      <c r="B239" t="s">
        <v>377</v>
      </c>
      <c r="D239" t="s">
        <v>380</v>
      </c>
      <c r="E239" t="s">
        <v>77</v>
      </c>
      <c r="I239"/>
      <c r="J239" t="s">
        <v>77</v>
      </c>
      <c r="K239" t="s">
        <v>1121</v>
      </c>
      <c r="L239" t="s">
        <v>280</v>
      </c>
      <c r="M239" t="s">
        <v>1122</v>
      </c>
      <c r="N239">
        <v>204140683</v>
      </c>
      <c r="O239" s="18">
        <v>45848</v>
      </c>
      <c r="P239" t="s">
        <v>90</v>
      </c>
      <c r="Q239" s="2">
        <v>24155</v>
      </c>
      <c r="R239" s="1">
        <f>(higado[[#This Row],[FECHA_TRASPLANTE]]-higado[[#This Row],[FECHA_NAC]])/365.25</f>
        <v>59.392197125256672</v>
      </c>
      <c r="AM239" t="s">
        <v>106</v>
      </c>
      <c r="BS239" s="17">
        <f>higado[[#This Row],[FECHA_TRASPLANTE]]</f>
        <v>45848</v>
      </c>
      <c r="BT239">
        <f>IF(higado[[#This Row],[FALLECIDO SI/NO]]="NO",0,1)</f>
        <v>0</v>
      </c>
      <c r="BU239" s="1">
        <f ca="1">IF(higado[[#This Row],[FALLECIDO_COD]]=0,TODAY()-higado[[#This Row],[FECHA_TRASPLANTE]],higado[[#This Row],[FECHA DE DEFUNCIÓN]]-higado[[#This Row],[FECHA_TRASPLANTE]])</f>
        <v>27</v>
      </c>
      <c r="BV239" s="1">
        <f ca="1">IF(higado[[#This Row],[FALLECIDO_COD]]=0,TODAY()-higado[[#This Row],[FECHA_TRASPLANTE]],higado[[#This Row],[FECHA DE DEFUNCIÓN]]-higado[[#This Row],[FECHA_TRASPLANTE]])/30.4375</f>
        <v>0.88706365503080087</v>
      </c>
      <c r="BW239" s="1">
        <f ca="1">IF(higado[[#This Row],[FALLECIDO_COD]]=0,TODAY()-higado[[#This Row],[FECHA_TRASPLANTE]],higado[[#This Row],[FECHA DE DEFUNCIÓN]]-higado[[#This Row],[FECHA_TRASPLANTE]])/365.25</f>
        <v>7.3921971252566734E-2</v>
      </c>
    </row>
    <row r="240" spans="1:75" x14ac:dyDescent="0.35">
      <c r="A240" t="s">
        <v>376</v>
      </c>
      <c r="B240" t="s">
        <v>376</v>
      </c>
      <c r="D240" t="s">
        <v>380</v>
      </c>
      <c r="E240" t="s">
        <v>375</v>
      </c>
      <c r="I240"/>
      <c r="J240" t="s">
        <v>375</v>
      </c>
      <c r="K240" t="s">
        <v>1123</v>
      </c>
      <c r="L240" t="s">
        <v>203</v>
      </c>
      <c r="M240" t="s">
        <v>465</v>
      </c>
      <c r="N240">
        <v>306690072</v>
      </c>
      <c r="O240" s="18">
        <v>45854</v>
      </c>
      <c r="P240" t="s">
        <v>90</v>
      </c>
      <c r="Q240" s="2">
        <v>44758</v>
      </c>
      <c r="R240" s="1">
        <f>(higado[[#This Row],[FECHA_TRASPLANTE]]-higado[[#This Row],[FECHA_NAC]])/365.25</f>
        <v>3.0006844626967832</v>
      </c>
      <c r="AM240" t="s">
        <v>106</v>
      </c>
      <c r="BS240" s="17">
        <f>higado[[#This Row],[FECHA_TRASPLANTE]]</f>
        <v>45854</v>
      </c>
      <c r="BT240">
        <f>IF(higado[[#This Row],[FALLECIDO SI/NO]]="NO",0,1)</f>
        <v>0</v>
      </c>
      <c r="BU240" s="1">
        <f ca="1">IF(higado[[#This Row],[FALLECIDO_COD]]=0,TODAY()-higado[[#This Row],[FECHA_TRASPLANTE]],higado[[#This Row],[FECHA DE DEFUNCIÓN]]-higado[[#This Row],[FECHA_TRASPLANTE]])</f>
        <v>21</v>
      </c>
      <c r="BV240" s="1">
        <f ca="1">IF(higado[[#This Row],[FALLECIDO_COD]]=0,TODAY()-higado[[#This Row],[FECHA_TRASPLANTE]],higado[[#This Row],[FECHA DE DEFUNCIÓN]]-higado[[#This Row],[FECHA_TRASPLANTE]])/30.4375</f>
        <v>0.68993839835728954</v>
      </c>
      <c r="BW240" s="1">
        <f ca="1">IF(higado[[#This Row],[FALLECIDO_COD]]=0,TODAY()-higado[[#This Row],[FECHA_TRASPLANTE]],higado[[#This Row],[FECHA DE DEFUNCIÓN]]-higado[[#This Row],[FECHA_TRASPLANTE]])/365.25</f>
        <v>5.7494866529774126E-2</v>
      </c>
    </row>
  </sheetData>
  <conditionalFormatting sqref="N2:N240">
    <cfRule type="duplicateValues" dxfId="6" priority="1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5BA9A-7A7E-47A2-B63C-789D7DD0756A}">
  <dimension ref="A5:D22"/>
  <sheetViews>
    <sheetView workbookViewId="0">
      <selection activeCell="B12" sqref="B12"/>
    </sheetView>
  </sheetViews>
  <sheetFormatPr defaultColWidth="11.453125" defaultRowHeight="14.5" x14ac:dyDescent="0.35"/>
  <cols>
    <col min="1" max="1" width="49.453125" bestFit="1" customWidth="1"/>
    <col min="2" max="2" width="22.81640625" bestFit="1" customWidth="1"/>
    <col min="3" max="3" width="5" bestFit="1" customWidth="1"/>
    <col min="4" max="4" width="12.453125" bestFit="1" customWidth="1"/>
    <col min="5" max="5" width="7.1796875" bestFit="1" customWidth="1"/>
    <col min="6" max="6" width="5" bestFit="1" customWidth="1"/>
    <col min="7" max="7" width="10.1796875" bestFit="1" customWidth="1"/>
    <col min="8" max="8" width="12.453125" bestFit="1" customWidth="1"/>
    <col min="9" max="315" width="10.453125" bestFit="1" customWidth="1"/>
    <col min="316" max="316" width="12.453125" bestFit="1" customWidth="1"/>
    <col min="317" max="524" width="10.453125" bestFit="1" customWidth="1"/>
    <col min="525" max="525" width="12.453125" bestFit="1" customWidth="1"/>
  </cols>
  <sheetData>
    <row r="5" spans="1:4" x14ac:dyDescent="0.35">
      <c r="A5" s="5" t="s">
        <v>1124</v>
      </c>
      <c r="B5" s="5" t="s">
        <v>369</v>
      </c>
    </row>
    <row r="6" spans="1:4" x14ac:dyDescent="0.35">
      <c r="A6" s="5" t="s">
        <v>374</v>
      </c>
      <c r="B6" t="s">
        <v>371</v>
      </c>
      <c r="C6" t="s">
        <v>372</v>
      </c>
      <c r="D6" t="s">
        <v>373</v>
      </c>
    </row>
    <row r="7" spans="1:4" x14ac:dyDescent="0.35">
      <c r="A7" s="6" t="s">
        <v>75</v>
      </c>
      <c r="B7">
        <v>19</v>
      </c>
      <c r="C7">
        <v>15</v>
      </c>
      <c r="D7">
        <v>34</v>
      </c>
    </row>
    <row r="8" spans="1:4" x14ac:dyDescent="0.35">
      <c r="A8" s="9" t="s">
        <v>77</v>
      </c>
      <c r="B8">
        <v>14</v>
      </c>
      <c r="C8">
        <v>12</v>
      </c>
      <c r="D8">
        <v>26</v>
      </c>
    </row>
    <row r="9" spans="1:4" x14ac:dyDescent="0.35">
      <c r="A9" s="9" t="s">
        <v>375</v>
      </c>
      <c r="B9">
        <v>5</v>
      </c>
      <c r="C9">
        <v>3</v>
      </c>
      <c r="D9">
        <v>8</v>
      </c>
    </row>
    <row r="10" spans="1:4" x14ac:dyDescent="0.35">
      <c r="A10" s="6" t="s">
        <v>1125</v>
      </c>
      <c r="B10">
        <v>14</v>
      </c>
      <c r="C10">
        <v>18</v>
      </c>
      <c r="D10">
        <v>32</v>
      </c>
    </row>
    <row r="11" spans="1:4" x14ac:dyDescent="0.35">
      <c r="A11" s="9" t="s">
        <v>77</v>
      </c>
      <c r="B11">
        <v>10</v>
      </c>
      <c r="C11">
        <v>10</v>
      </c>
      <c r="D11">
        <v>20</v>
      </c>
    </row>
    <row r="12" spans="1:4" x14ac:dyDescent="0.35">
      <c r="A12" s="9" t="s">
        <v>375</v>
      </c>
      <c r="B12">
        <v>4</v>
      </c>
      <c r="C12">
        <v>8</v>
      </c>
      <c r="D12">
        <v>12</v>
      </c>
    </row>
    <row r="13" spans="1:4" x14ac:dyDescent="0.35">
      <c r="A13" s="6" t="s">
        <v>376</v>
      </c>
      <c r="B13">
        <v>6</v>
      </c>
      <c r="C13">
        <v>4</v>
      </c>
      <c r="D13">
        <v>10</v>
      </c>
    </row>
    <row r="14" spans="1:4" x14ac:dyDescent="0.35">
      <c r="A14" s="9" t="s">
        <v>77</v>
      </c>
      <c r="B14">
        <v>6</v>
      </c>
      <c r="C14">
        <v>3</v>
      </c>
      <c r="D14">
        <v>9</v>
      </c>
    </row>
    <row r="15" spans="1:4" x14ac:dyDescent="0.35">
      <c r="A15" s="9" t="s">
        <v>375</v>
      </c>
      <c r="B15">
        <v>0</v>
      </c>
      <c r="C15">
        <v>1</v>
      </c>
      <c r="D15">
        <v>1</v>
      </c>
    </row>
    <row r="16" spans="1:4" x14ac:dyDescent="0.35">
      <c r="A16" s="6" t="s">
        <v>377</v>
      </c>
      <c r="B16">
        <v>34</v>
      </c>
      <c r="C16">
        <v>23</v>
      </c>
      <c r="D16">
        <v>57</v>
      </c>
    </row>
    <row r="17" spans="1:4" x14ac:dyDescent="0.35">
      <c r="A17" s="9" t="s">
        <v>77</v>
      </c>
      <c r="B17">
        <v>10</v>
      </c>
      <c r="C17">
        <v>14</v>
      </c>
      <c r="D17">
        <v>24</v>
      </c>
    </row>
    <row r="18" spans="1:4" x14ac:dyDescent="0.35">
      <c r="A18" s="9" t="s">
        <v>375</v>
      </c>
      <c r="B18">
        <v>24</v>
      </c>
      <c r="C18">
        <v>9</v>
      </c>
      <c r="D18">
        <v>33</v>
      </c>
    </row>
    <row r="19" spans="1:4" x14ac:dyDescent="0.35">
      <c r="A19" s="6" t="s">
        <v>1126</v>
      </c>
      <c r="B19">
        <v>11</v>
      </c>
      <c r="C19">
        <v>7</v>
      </c>
      <c r="D19">
        <v>18</v>
      </c>
    </row>
    <row r="20" spans="1:4" x14ac:dyDescent="0.35">
      <c r="A20" s="9" t="s">
        <v>77</v>
      </c>
      <c r="B20">
        <v>4</v>
      </c>
      <c r="C20">
        <v>4</v>
      </c>
      <c r="D20">
        <v>8</v>
      </c>
    </row>
    <row r="21" spans="1:4" x14ac:dyDescent="0.35">
      <c r="A21" s="9" t="s">
        <v>375</v>
      </c>
      <c r="B21">
        <v>7</v>
      </c>
      <c r="C21">
        <v>3</v>
      </c>
      <c r="D21">
        <v>10</v>
      </c>
    </row>
    <row r="22" spans="1:4" x14ac:dyDescent="0.35">
      <c r="A22" s="6" t="s">
        <v>373</v>
      </c>
      <c r="B22">
        <v>84</v>
      </c>
      <c r="C22">
        <v>67</v>
      </c>
      <c r="D22">
        <v>151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D8C30-3059-42B0-A355-C3C41833D6C0}">
  <dimension ref="A1:CC709"/>
  <sheetViews>
    <sheetView topLeftCell="BK1" zoomScale="90" zoomScaleNormal="90" workbookViewId="0">
      <selection activeCell="BT1" sqref="BT1:BT1048576"/>
    </sheetView>
  </sheetViews>
  <sheetFormatPr defaultColWidth="11.453125" defaultRowHeight="14.5" x14ac:dyDescent="0.35"/>
  <cols>
    <col min="1" max="1" width="45.26953125" bestFit="1" customWidth="1"/>
    <col min="2" max="2" width="48.81640625" bestFit="1" customWidth="1"/>
    <col min="3" max="3" width="17.1796875" customWidth="1"/>
    <col min="4" max="4" width="11.453125" customWidth="1"/>
    <col min="5" max="5" width="17.1796875" customWidth="1"/>
    <col min="6" max="6" width="34.7265625" customWidth="1"/>
    <col min="7" max="7" width="15.453125" customWidth="1"/>
    <col min="8" max="8" width="16.453125" style="2" customWidth="1"/>
    <col min="9" max="9" width="11.453125" customWidth="1"/>
    <col min="10" max="10" width="36.1796875" customWidth="1"/>
    <col min="11" max="11" width="21.26953125" customWidth="1"/>
    <col min="12" max="12" width="19.81640625" customWidth="1"/>
    <col min="13" max="13" width="22.1796875" customWidth="1"/>
    <col min="14" max="14" width="25" style="11" customWidth="1"/>
    <col min="15" max="15" width="21.453125" style="2" customWidth="1"/>
    <col min="16" max="16" width="11.453125" customWidth="1"/>
    <col min="17" max="17" width="14.1796875" style="2" customWidth="1"/>
    <col min="18" max="18" width="11.453125" style="1" customWidth="1"/>
    <col min="19" max="19" width="13.1796875" customWidth="1"/>
    <col min="20" max="20" width="14.453125" style="2" customWidth="1"/>
    <col min="21" max="21" width="14.7265625" customWidth="1"/>
    <col min="22" max="22" width="17.453125" customWidth="1"/>
    <col min="23" max="23" width="13.7265625" customWidth="1"/>
    <col min="24" max="24" width="17.26953125" customWidth="1"/>
    <col min="25" max="25" width="13.26953125" customWidth="1"/>
    <col min="26" max="26" width="11.453125" customWidth="1"/>
    <col min="27" max="27" width="18.7265625" customWidth="1"/>
    <col min="28" max="28" width="32" customWidth="1"/>
    <col min="29" max="29" width="41.453125" customWidth="1"/>
    <col min="30" max="30" width="46.453125" customWidth="1"/>
    <col min="31" max="31" width="39.81640625" customWidth="1"/>
    <col min="32" max="32" width="41.81640625" customWidth="1"/>
    <col min="33" max="33" width="37" customWidth="1"/>
    <col min="34" max="34" width="31.453125" customWidth="1"/>
    <col min="35" max="35" width="33.81640625" customWidth="1"/>
    <col min="36" max="36" width="32.1796875" customWidth="1"/>
    <col min="37" max="38" width="32.81640625" customWidth="1"/>
    <col min="39" max="39" width="20.7265625" customWidth="1"/>
    <col min="40" max="40" width="19" style="2" customWidth="1"/>
    <col min="41" max="41" width="23.81640625" style="2" customWidth="1"/>
    <col min="42" max="42" width="43" customWidth="1"/>
    <col min="43" max="43" width="43.81640625" customWidth="1"/>
    <col min="44" max="44" width="29.1796875" customWidth="1"/>
    <col min="45" max="45" width="29.26953125" customWidth="1"/>
    <col min="46" max="47" width="30.453125" customWidth="1"/>
    <col min="48" max="48" width="31.81640625" customWidth="1"/>
    <col min="49" max="49" width="23.26953125" customWidth="1"/>
    <col min="50" max="50" width="29.26953125" customWidth="1"/>
    <col min="51" max="51" width="19.1796875" customWidth="1"/>
    <col min="52" max="52" width="19.1796875" style="2" customWidth="1"/>
    <col min="53" max="53" width="19.1796875" customWidth="1"/>
    <col min="54" max="54" width="68" customWidth="1"/>
    <col min="55" max="55" width="44.453125" customWidth="1"/>
    <col min="56" max="56" width="32.26953125" customWidth="1"/>
    <col min="57" max="57" width="45.453125" customWidth="1"/>
    <col min="58" max="58" width="39.453125" customWidth="1"/>
    <col min="59" max="59" width="26.1796875" customWidth="1"/>
    <col min="60" max="60" width="36.7265625" customWidth="1"/>
    <col min="61" max="61" width="28.1796875" customWidth="1"/>
    <col min="62" max="62" width="27.7265625" customWidth="1"/>
    <col min="63" max="63" width="23.1796875" customWidth="1"/>
    <col min="64" max="64" width="21.1796875" customWidth="1"/>
    <col min="65" max="65" width="26.453125" customWidth="1"/>
    <col min="66" max="66" width="23.7265625" customWidth="1"/>
    <col min="67" max="67" width="18.453125" customWidth="1"/>
    <col min="68" max="68" width="15.453125" customWidth="1"/>
    <col min="69" max="70" width="17.453125" customWidth="1"/>
    <col min="71" max="71" width="19.453125" customWidth="1"/>
    <col min="72" max="72" width="19.453125" style="17" customWidth="1"/>
    <col min="73" max="73" width="18.7265625" customWidth="1"/>
    <col min="74" max="74" width="19.453125" customWidth="1"/>
    <col min="75" max="75" width="18.453125" customWidth="1"/>
    <col min="76" max="76" width="11.453125" style="3"/>
    <col min="77" max="77" width="12.453125" style="3" customWidth="1"/>
    <col min="78" max="78" width="11.453125" style="3"/>
  </cols>
  <sheetData>
    <row r="1" spans="1:7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1" t="s">
        <v>13</v>
      </c>
      <c r="O1" s="2" t="s">
        <v>14</v>
      </c>
      <c r="P1" t="s">
        <v>15</v>
      </c>
      <c r="Q1" s="2" t="s">
        <v>16</v>
      </c>
      <c r="R1" s="1" t="s">
        <v>17</v>
      </c>
      <c r="S1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2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2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1127</v>
      </c>
      <c r="BS1" t="s">
        <v>69</v>
      </c>
      <c r="BT1" s="17" t="s">
        <v>1128</v>
      </c>
      <c r="BU1" t="s">
        <v>71</v>
      </c>
      <c r="BV1" s="3" t="s">
        <v>72</v>
      </c>
      <c r="BW1" s="3" t="s">
        <v>73</v>
      </c>
      <c r="BX1" s="3" t="s">
        <v>74</v>
      </c>
      <c r="BY1"/>
      <c r="BZ1"/>
    </row>
    <row r="2" spans="1:78" hidden="1" x14ac:dyDescent="0.35">
      <c r="A2" t="s">
        <v>377</v>
      </c>
      <c r="D2" t="s">
        <v>1129</v>
      </c>
      <c r="E2" t="s">
        <v>77</v>
      </c>
      <c r="I2">
        <v>115.33013040494166</v>
      </c>
      <c r="J2" t="s">
        <v>1130</v>
      </c>
      <c r="K2" t="s">
        <v>1131</v>
      </c>
      <c r="L2" t="s">
        <v>753</v>
      </c>
      <c r="M2" t="s">
        <v>118</v>
      </c>
      <c r="N2" s="11">
        <v>2770102255</v>
      </c>
      <c r="O2" s="2">
        <v>42009</v>
      </c>
      <c r="P2" t="s">
        <v>90</v>
      </c>
      <c r="Q2" s="2">
        <v>28437</v>
      </c>
      <c r="R2" s="3">
        <f>(Tabla1[[#This Row],[FECHA_TRASPLANTE]]-Tabla1[[#This Row],[FECHA_NAC]])/365.25</f>
        <v>37.158110882956876</v>
      </c>
      <c r="S2" t="s">
        <v>200</v>
      </c>
      <c r="T2"/>
      <c r="W2" t="s">
        <v>1132</v>
      </c>
      <c r="X2" t="s">
        <v>1133</v>
      </c>
      <c r="AM2" t="s">
        <v>106</v>
      </c>
      <c r="AO2"/>
      <c r="AV2" s="2"/>
      <c r="AZ2"/>
      <c r="BT2" s="2">
        <f>Tabla1[[#This Row],[FECHA_TRASPLANTE]]</f>
        <v>42009</v>
      </c>
      <c r="BU2">
        <f>IF(Tabla1[[#This Row],[FALLECIDO SI/NO]]="NO",0,1)</f>
        <v>0</v>
      </c>
      <c r="BV2" s="3">
        <f ca="1">IF(Tabla1[[#This Row],[FALLECIDO_COD]]=0,TODAY()-Tabla1[[#This Row],[FECHA_TRASPLANTE]],Tabla1[[#This Row],[FECHA DE DEFUNCIÓN]]-Tabla1[[#This Row],[FECHA_TRASPLANTE]])</f>
        <v>3866</v>
      </c>
      <c r="BW2" s="3">
        <f ca="1">IF(Tabla1[[#This Row],[FALLECIDO_COD]]=0,TODAY()-Tabla1[[#This Row],[FECHA_TRASPLANTE]],Tabla1[[#This Row],[FECHA DE DEFUNCIÓN]]-Tabla1[[#This Row],[FECHA_TRASPLANTE]])/30.4375</f>
        <v>127.01437371663245</v>
      </c>
      <c r="BX2" s="3">
        <f ca="1">IF(Tabla1[[#This Row],[FALLECIDO_COD]]=0,TODAY()-Tabla1[[#This Row],[FECHA_TRASPLANTE]],Tabla1[[#This Row],[FECHA DE DEFUNCIÓN]]-Tabla1[[#This Row],[FECHA_TRASPLANTE]])/365.25</f>
        <v>10.584531143052704</v>
      </c>
      <c r="BY2"/>
      <c r="BZ2"/>
    </row>
    <row r="3" spans="1:78" hidden="1" x14ac:dyDescent="0.35">
      <c r="A3" t="s">
        <v>377</v>
      </c>
      <c r="D3" t="s">
        <v>1129</v>
      </c>
      <c r="E3" t="s">
        <v>77</v>
      </c>
      <c r="I3">
        <v>115.33562113932739</v>
      </c>
      <c r="J3" t="s">
        <v>1134</v>
      </c>
      <c r="K3" t="s">
        <v>1135</v>
      </c>
      <c r="L3" t="s">
        <v>94</v>
      </c>
      <c r="M3" t="s">
        <v>94</v>
      </c>
      <c r="N3" s="11">
        <v>17325713</v>
      </c>
      <c r="O3" s="2">
        <v>42011</v>
      </c>
      <c r="P3" t="s">
        <v>81</v>
      </c>
      <c r="Q3" s="2">
        <v>26684</v>
      </c>
      <c r="R3" s="3">
        <f>(Tabla1[[#This Row],[FECHA_TRASPLANTE]]-Tabla1[[#This Row],[FECHA_NAC]])/365.25</f>
        <v>41.963039014373713</v>
      </c>
      <c r="S3" t="s">
        <v>200</v>
      </c>
      <c r="T3"/>
      <c r="W3" t="s">
        <v>146</v>
      </c>
      <c r="X3" t="s">
        <v>1136</v>
      </c>
      <c r="AM3" t="s">
        <v>106</v>
      </c>
      <c r="AO3"/>
      <c r="AV3" s="2"/>
      <c r="AZ3"/>
      <c r="BT3" s="2">
        <f>Tabla1[[#This Row],[FECHA_TRASPLANTE]]</f>
        <v>42011</v>
      </c>
      <c r="BU3">
        <f>IF(Tabla1[[#This Row],[FALLECIDO SI/NO]]="NO",0,1)</f>
        <v>0</v>
      </c>
      <c r="BV3" s="3">
        <f ca="1">IF(Tabla1[[#This Row],[FALLECIDO_COD]]=0,TODAY()-Tabla1[[#This Row],[FECHA_TRASPLANTE]],Tabla1[[#This Row],[FECHA DE DEFUNCIÓN]]-Tabla1[[#This Row],[FECHA_TRASPLANTE]])</f>
        <v>3864</v>
      </c>
      <c r="BW3" s="3">
        <f ca="1">IF(Tabla1[[#This Row],[FALLECIDO_COD]]=0,TODAY()-Tabla1[[#This Row],[FECHA_TRASPLANTE]],Tabla1[[#This Row],[FECHA DE DEFUNCIÓN]]-Tabla1[[#This Row],[FECHA_TRASPLANTE]])/30.4375</f>
        <v>126.94866529774127</v>
      </c>
      <c r="BX3" s="3">
        <f ca="1">IF(Tabla1[[#This Row],[FALLECIDO_COD]]=0,TODAY()-Tabla1[[#This Row],[FECHA_TRASPLANTE]],Tabla1[[#This Row],[FECHA DE DEFUNCIÓN]]-Tabla1[[#This Row],[FECHA_TRASPLANTE]])/365.25</f>
        <v>10.57905544147844</v>
      </c>
      <c r="BY3"/>
      <c r="BZ3"/>
    </row>
    <row r="4" spans="1:78" hidden="1" x14ac:dyDescent="0.35">
      <c r="A4" t="s">
        <v>377</v>
      </c>
      <c r="D4" t="s">
        <v>1129</v>
      </c>
      <c r="E4" t="s">
        <v>77</v>
      </c>
      <c r="I4">
        <v>115.33562113932739</v>
      </c>
      <c r="J4" t="s">
        <v>1137</v>
      </c>
      <c r="K4" t="s">
        <v>1138</v>
      </c>
      <c r="L4" t="s">
        <v>397</v>
      </c>
      <c r="M4" t="s">
        <v>753</v>
      </c>
      <c r="N4" s="11">
        <v>601001063</v>
      </c>
      <c r="O4" s="2">
        <v>42011</v>
      </c>
      <c r="P4" t="s">
        <v>90</v>
      </c>
      <c r="Q4" s="2">
        <v>19100</v>
      </c>
      <c r="R4" s="3">
        <f>(Tabla1[[#This Row],[FECHA_TRASPLANTE]]-Tabla1[[#This Row],[FECHA_NAC]])/365.25</f>
        <v>62.726899383983572</v>
      </c>
      <c r="S4" t="s">
        <v>200</v>
      </c>
      <c r="T4"/>
      <c r="W4" t="s">
        <v>82</v>
      </c>
      <c r="X4" t="s">
        <v>125</v>
      </c>
      <c r="Y4" t="s">
        <v>423</v>
      </c>
      <c r="Z4" t="s">
        <v>423</v>
      </c>
      <c r="AM4" t="s">
        <v>86</v>
      </c>
      <c r="AN4" s="2">
        <v>42297</v>
      </c>
      <c r="AO4"/>
      <c r="AV4" s="2"/>
      <c r="AZ4"/>
      <c r="BT4" s="2">
        <f>Tabla1[[#This Row],[FECHA_TRASPLANTE]]</f>
        <v>42011</v>
      </c>
      <c r="BU4">
        <f>IF(Tabla1[[#This Row],[FALLECIDO SI/NO]]="NO",0,1)</f>
        <v>1</v>
      </c>
      <c r="BV4" s="3">
        <f ca="1">IF(Tabla1[[#This Row],[FALLECIDO_COD]]=0,TODAY()-Tabla1[[#This Row],[FECHA_TRASPLANTE]],Tabla1[[#This Row],[FECHA DE DEFUNCIÓN]]-Tabla1[[#This Row],[FECHA_TRASPLANTE]])</f>
        <v>286</v>
      </c>
      <c r="BW4" s="3">
        <f ca="1">IF(Tabla1[[#This Row],[FALLECIDO_COD]]=0,TODAY()-Tabla1[[#This Row],[FECHA_TRASPLANTE]],Tabla1[[#This Row],[FECHA DE DEFUNCIÓN]]-Tabla1[[#This Row],[FECHA_TRASPLANTE]])/30.4375</f>
        <v>9.3963039014373724</v>
      </c>
      <c r="BX4" s="3">
        <f ca="1">IF(Tabla1[[#This Row],[FALLECIDO_COD]]=0,TODAY()-Tabla1[[#This Row],[FECHA_TRASPLANTE]],Tabla1[[#This Row],[FECHA DE DEFUNCIÓN]]-Tabla1[[#This Row],[FECHA_TRASPLANTE]])/365.25</f>
        <v>0.78302532511978096</v>
      </c>
      <c r="BY4"/>
      <c r="BZ4"/>
    </row>
    <row r="5" spans="1:78" hidden="1" x14ac:dyDescent="0.35">
      <c r="A5" t="s">
        <v>377</v>
      </c>
      <c r="D5" t="s">
        <v>1129</v>
      </c>
      <c r="E5" t="s">
        <v>375</v>
      </c>
      <c r="I5">
        <v>115.33562113932739</v>
      </c>
      <c r="J5" t="s">
        <v>1139</v>
      </c>
      <c r="K5" t="s">
        <v>1140</v>
      </c>
      <c r="L5" t="s">
        <v>80</v>
      </c>
      <c r="M5" t="s">
        <v>561</v>
      </c>
      <c r="N5" s="11">
        <v>111740219</v>
      </c>
      <c r="O5" s="2">
        <v>42011</v>
      </c>
      <c r="P5" t="s">
        <v>81</v>
      </c>
      <c r="Q5" s="2">
        <v>30474</v>
      </c>
      <c r="R5" s="3">
        <f>(Tabla1[[#This Row],[FECHA_TRASPLANTE]]-Tabla1[[#This Row],[FECHA_NAC]])/365.25</f>
        <v>31.586584531143053</v>
      </c>
      <c r="S5" t="s">
        <v>210</v>
      </c>
      <c r="T5"/>
      <c r="W5" t="s">
        <v>82</v>
      </c>
      <c r="X5" t="s">
        <v>125</v>
      </c>
      <c r="Y5" t="s">
        <v>441</v>
      </c>
      <c r="Z5" t="s">
        <v>442</v>
      </c>
      <c r="AM5" t="s">
        <v>106</v>
      </c>
      <c r="AO5"/>
      <c r="AV5" s="2"/>
      <c r="AZ5"/>
      <c r="BT5" s="2">
        <f>Tabla1[[#This Row],[FECHA_TRASPLANTE]]</f>
        <v>42011</v>
      </c>
      <c r="BU5">
        <f>IF(Tabla1[[#This Row],[FALLECIDO SI/NO]]="NO",0,1)</f>
        <v>0</v>
      </c>
      <c r="BV5" s="3">
        <f ca="1">IF(Tabla1[[#This Row],[FALLECIDO_COD]]=0,TODAY()-Tabla1[[#This Row],[FECHA_TRASPLANTE]],Tabla1[[#This Row],[FECHA DE DEFUNCIÓN]]-Tabla1[[#This Row],[FECHA_TRASPLANTE]])</f>
        <v>3864</v>
      </c>
      <c r="BW5" s="3">
        <f ca="1">IF(Tabla1[[#This Row],[FALLECIDO_COD]]=0,TODAY()-Tabla1[[#This Row],[FECHA_TRASPLANTE]],Tabla1[[#This Row],[FECHA DE DEFUNCIÓN]]-Tabla1[[#This Row],[FECHA_TRASPLANTE]])/30.4375</f>
        <v>126.94866529774127</v>
      </c>
      <c r="BX5" s="3">
        <f ca="1">IF(Tabla1[[#This Row],[FALLECIDO_COD]]=0,TODAY()-Tabla1[[#This Row],[FECHA_TRASPLANTE]],Tabla1[[#This Row],[FECHA DE DEFUNCIÓN]]-Tabla1[[#This Row],[FECHA_TRASPLANTE]])/365.25</f>
        <v>10.57905544147844</v>
      </c>
      <c r="BY5"/>
      <c r="BZ5"/>
    </row>
    <row r="6" spans="1:78" hidden="1" x14ac:dyDescent="0.35">
      <c r="A6" t="s">
        <v>377</v>
      </c>
      <c r="D6" t="s">
        <v>1129</v>
      </c>
      <c r="E6" t="s">
        <v>77</v>
      </c>
      <c r="I6">
        <v>115.35209334248455</v>
      </c>
      <c r="J6" t="s">
        <v>1141</v>
      </c>
      <c r="K6" t="s">
        <v>1142</v>
      </c>
      <c r="L6" t="s">
        <v>1143</v>
      </c>
      <c r="M6" t="s">
        <v>1144</v>
      </c>
      <c r="N6" s="11">
        <v>503990099</v>
      </c>
      <c r="O6" s="2">
        <v>42017</v>
      </c>
      <c r="P6" t="s">
        <v>90</v>
      </c>
      <c r="Q6" s="2">
        <v>34506</v>
      </c>
      <c r="R6" s="3">
        <f>(Tabla1[[#This Row],[FECHA_TRASPLANTE]]-Tabla1[[#This Row],[FECHA_NAC]])/365.25</f>
        <v>20.563997262149211</v>
      </c>
      <c r="S6" t="s">
        <v>210</v>
      </c>
      <c r="T6"/>
      <c r="W6" t="s">
        <v>82</v>
      </c>
      <c r="X6" t="s">
        <v>1145</v>
      </c>
      <c r="AM6" t="s">
        <v>106</v>
      </c>
      <c r="AO6"/>
      <c r="AV6" s="2"/>
      <c r="AZ6"/>
      <c r="BT6" s="2">
        <f>Tabla1[[#This Row],[FECHA_TRASPLANTE]]</f>
        <v>42017</v>
      </c>
      <c r="BU6">
        <f>IF(Tabla1[[#This Row],[FALLECIDO SI/NO]]="NO",0,1)</f>
        <v>0</v>
      </c>
      <c r="BV6" s="3">
        <f ca="1">IF(Tabla1[[#This Row],[FALLECIDO_COD]]=0,TODAY()-Tabla1[[#This Row],[FECHA_TRASPLANTE]],Tabla1[[#This Row],[FECHA DE DEFUNCIÓN]]-Tabla1[[#This Row],[FECHA_TRASPLANTE]])</f>
        <v>3858</v>
      </c>
      <c r="BW6" s="3">
        <f ca="1">IF(Tabla1[[#This Row],[FALLECIDO_COD]]=0,TODAY()-Tabla1[[#This Row],[FECHA_TRASPLANTE]],Tabla1[[#This Row],[FECHA DE DEFUNCIÓN]]-Tabla1[[#This Row],[FECHA_TRASPLANTE]])/30.4375</f>
        <v>126.75154004106776</v>
      </c>
      <c r="BX6" s="3">
        <f ca="1">IF(Tabla1[[#This Row],[FALLECIDO_COD]]=0,TODAY()-Tabla1[[#This Row],[FECHA_TRASPLANTE]],Tabla1[[#This Row],[FECHA DE DEFUNCIÓN]]-Tabla1[[#This Row],[FECHA_TRASPLANTE]])/365.25</f>
        <v>10.562628336755647</v>
      </c>
      <c r="BY6"/>
      <c r="BZ6"/>
    </row>
    <row r="7" spans="1:78" hidden="1" x14ac:dyDescent="0.35">
      <c r="A7" t="s">
        <v>377</v>
      </c>
      <c r="D7" t="s">
        <v>1129</v>
      </c>
      <c r="E7" t="s">
        <v>375</v>
      </c>
      <c r="I7">
        <v>115.35483870967742</v>
      </c>
      <c r="K7" t="s">
        <v>1146</v>
      </c>
      <c r="L7" t="s">
        <v>1147</v>
      </c>
      <c r="M7" t="s">
        <v>94</v>
      </c>
      <c r="N7" s="11">
        <v>205710808</v>
      </c>
      <c r="O7" s="2">
        <v>42018</v>
      </c>
      <c r="P7" t="s">
        <v>81</v>
      </c>
      <c r="Q7" s="2">
        <v>30094</v>
      </c>
      <c r="R7" s="3">
        <f>(Tabla1[[#This Row],[FECHA_TRASPLANTE]]-Tabla1[[#This Row],[FECHA_NAC]])/365.25</f>
        <v>32.646132785763179</v>
      </c>
      <c r="S7" t="s">
        <v>210</v>
      </c>
      <c r="T7"/>
      <c r="W7" t="s">
        <v>82</v>
      </c>
      <c r="X7" t="s">
        <v>261</v>
      </c>
      <c r="Y7" t="s">
        <v>84</v>
      </c>
      <c r="Z7" t="s">
        <v>261</v>
      </c>
      <c r="AM7" t="s">
        <v>106</v>
      </c>
      <c r="AO7"/>
      <c r="AV7" s="2"/>
      <c r="AZ7"/>
      <c r="BT7" s="2">
        <f>Tabla1[[#This Row],[FECHA_TRASPLANTE]]</f>
        <v>42018</v>
      </c>
      <c r="BU7">
        <f>IF(Tabla1[[#This Row],[FALLECIDO SI/NO]]="NO",0,1)</f>
        <v>0</v>
      </c>
      <c r="BV7" s="3">
        <f ca="1">IF(Tabla1[[#This Row],[FALLECIDO_COD]]=0,TODAY()-Tabla1[[#This Row],[FECHA_TRASPLANTE]],Tabla1[[#This Row],[FECHA DE DEFUNCIÓN]]-Tabla1[[#This Row],[FECHA_TRASPLANTE]])</f>
        <v>3857</v>
      </c>
      <c r="BW7" s="3">
        <f ca="1">IF(Tabla1[[#This Row],[FALLECIDO_COD]]=0,TODAY()-Tabla1[[#This Row],[FECHA_TRASPLANTE]],Tabla1[[#This Row],[FECHA DE DEFUNCIÓN]]-Tabla1[[#This Row],[FECHA_TRASPLANTE]])/30.4375</f>
        <v>126.71868583162218</v>
      </c>
      <c r="BX7" s="3">
        <f ca="1">IF(Tabla1[[#This Row],[FALLECIDO_COD]]=0,TODAY()-Tabla1[[#This Row],[FECHA_TRASPLANTE]],Tabla1[[#This Row],[FECHA DE DEFUNCIÓN]]-Tabla1[[#This Row],[FECHA_TRASPLANTE]])/365.25</f>
        <v>10.559890485968515</v>
      </c>
      <c r="BY7"/>
      <c r="BZ7"/>
    </row>
    <row r="8" spans="1:78" hidden="1" x14ac:dyDescent="0.35">
      <c r="A8" t="s">
        <v>377</v>
      </c>
      <c r="D8" t="s">
        <v>1129</v>
      </c>
      <c r="E8" t="s">
        <v>375</v>
      </c>
      <c r="I8">
        <v>115.37405628002746</v>
      </c>
      <c r="K8" t="s">
        <v>1148</v>
      </c>
      <c r="L8" t="s">
        <v>251</v>
      </c>
      <c r="M8" t="s">
        <v>329</v>
      </c>
      <c r="N8" s="11">
        <v>401840760</v>
      </c>
      <c r="O8" s="2">
        <v>42025</v>
      </c>
      <c r="P8" t="s">
        <v>90</v>
      </c>
      <c r="Q8" s="2">
        <v>30909</v>
      </c>
      <c r="R8" s="3">
        <f>(Tabla1[[#This Row],[FECHA_TRASPLANTE]]-Tabla1[[#This Row],[FECHA_NAC]])/365.25</f>
        <v>30.433949349760439</v>
      </c>
      <c r="S8" t="s">
        <v>205</v>
      </c>
      <c r="T8"/>
      <c r="W8" t="s">
        <v>82</v>
      </c>
      <c r="X8" t="s">
        <v>261</v>
      </c>
      <c r="Y8" t="s">
        <v>84</v>
      </c>
      <c r="Z8" t="s">
        <v>585</v>
      </c>
      <c r="AM8" t="s">
        <v>106</v>
      </c>
      <c r="AO8"/>
      <c r="AV8" s="2"/>
      <c r="AZ8"/>
      <c r="BT8" s="2">
        <f>Tabla1[[#This Row],[FECHA_TRASPLANTE]]</f>
        <v>42025</v>
      </c>
      <c r="BU8">
        <f>IF(Tabla1[[#This Row],[FALLECIDO SI/NO]]="NO",0,1)</f>
        <v>0</v>
      </c>
      <c r="BV8" s="3">
        <f ca="1">IF(Tabla1[[#This Row],[FALLECIDO_COD]]=0,TODAY()-Tabla1[[#This Row],[FECHA_TRASPLANTE]],Tabla1[[#This Row],[FECHA DE DEFUNCIÓN]]-Tabla1[[#This Row],[FECHA_TRASPLANTE]])</f>
        <v>3850</v>
      </c>
      <c r="BW8" s="3">
        <f ca="1">IF(Tabla1[[#This Row],[FALLECIDO_COD]]=0,TODAY()-Tabla1[[#This Row],[FECHA_TRASPLANTE]],Tabla1[[#This Row],[FECHA DE DEFUNCIÓN]]-Tabla1[[#This Row],[FECHA_TRASPLANTE]])/30.4375</f>
        <v>126.48870636550308</v>
      </c>
      <c r="BX8" s="3">
        <f ca="1">IF(Tabla1[[#This Row],[FALLECIDO_COD]]=0,TODAY()-Tabla1[[#This Row],[FECHA_TRASPLANTE]],Tabla1[[#This Row],[FECHA DE DEFUNCIÓN]]-Tabla1[[#This Row],[FECHA_TRASPLANTE]])/365.25</f>
        <v>10.540725530458589</v>
      </c>
      <c r="BY8"/>
      <c r="BZ8"/>
    </row>
    <row r="9" spans="1:78" hidden="1" x14ac:dyDescent="0.35">
      <c r="A9" t="s">
        <v>377</v>
      </c>
      <c r="D9" t="s">
        <v>1129</v>
      </c>
      <c r="E9" t="s">
        <v>77</v>
      </c>
      <c r="I9">
        <v>115.37680164722032</v>
      </c>
      <c r="J9" t="s">
        <v>1149</v>
      </c>
      <c r="K9" t="s">
        <v>1150</v>
      </c>
      <c r="L9" t="s">
        <v>1090</v>
      </c>
      <c r="M9" t="s">
        <v>1151</v>
      </c>
      <c r="N9" s="11">
        <v>109990611</v>
      </c>
      <c r="O9" s="2">
        <v>42026</v>
      </c>
      <c r="P9" t="s">
        <v>81</v>
      </c>
      <c r="Q9" s="2">
        <v>28605</v>
      </c>
      <c r="R9" s="3">
        <f>(Tabla1[[#This Row],[FECHA_TRASPLANTE]]-Tabla1[[#This Row],[FECHA_NAC]])/365.25</f>
        <v>36.74469541409993</v>
      </c>
      <c r="S9" t="s">
        <v>205</v>
      </c>
      <c r="T9"/>
      <c r="W9" t="s">
        <v>82</v>
      </c>
      <c r="X9" t="s">
        <v>261</v>
      </c>
      <c r="Y9" t="s">
        <v>84</v>
      </c>
      <c r="Z9" t="s">
        <v>302</v>
      </c>
      <c r="AM9" t="s">
        <v>86</v>
      </c>
      <c r="AN9" s="2">
        <v>43749</v>
      </c>
      <c r="AO9"/>
      <c r="AV9" s="2"/>
      <c r="AZ9"/>
      <c r="BT9" s="2">
        <f>Tabla1[[#This Row],[FECHA_TRASPLANTE]]</f>
        <v>42026</v>
      </c>
      <c r="BU9">
        <f>IF(Tabla1[[#This Row],[FALLECIDO SI/NO]]="NO",0,1)</f>
        <v>1</v>
      </c>
      <c r="BV9" s="3">
        <f ca="1">IF(Tabla1[[#This Row],[FALLECIDO_COD]]=0,TODAY()-Tabla1[[#This Row],[FECHA_TRASPLANTE]],Tabla1[[#This Row],[FECHA DE DEFUNCIÓN]]-Tabla1[[#This Row],[FECHA_TRASPLANTE]])</f>
        <v>1723</v>
      </c>
      <c r="BW9" s="3">
        <f ca="1">IF(Tabla1[[#This Row],[FALLECIDO_COD]]=0,TODAY()-Tabla1[[#This Row],[FECHA_TRASPLANTE]],Tabla1[[#This Row],[FECHA DE DEFUNCIÓN]]-Tabla1[[#This Row],[FECHA_TRASPLANTE]])/30.4375</f>
        <v>56.607802874743328</v>
      </c>
      <c r="BX9" s="3">
        <f ca="1">IF(Tabla1[[#This Row],[FALLECIDO_COD]]=0,TODAY()-Tabla1[[#This Row],[FECHA_TRASPLANTE]],Tabla1[[#This Row],[FECHA DE DEFUNCIÓN]]-Tabla1[[#This Row],[FECHA_TRASPLANTE]])/365.25</f>
        <v>4.7173169062286107</v>
      </c>
      <c r="BY9"/>
      <c r="BZ9"/>
    </row>
    <row r="10" spans="1:78" hidden="1" x14ac:dyDescent="0.35">
      <c r="A10" t="s">
        <v>377</v>
      </c>
      <c r="D10" t="s">
        <v>1129</v>
      </c>
      <c r="E10" t="s">
        <v>375</v>
      </c>
      <c r="I10">
        <v>115.39327385037748</v>
      </c>
      <c r="J10" t="s">
        <v>1152</v>
      </c>
      <c r="K10" t="s">
        <v>1153</v>
      </c>
      <c r="L10" t="s">
        <v>479</v>
      </c>
      <c r="M10" t="s">
        <v>479</v>
      </c>
      <c r="N10" s="11">
        <v>501680761</v>
      </c>
      <c r="O10" s="2">
        <v>42032</v>
      </c>
      <c r="P10" t="s">
        <v>81</v>
      </c>
      <c r="Q10" s="2">
        <v>21026</v>
      </c>
      <c r="R10" s="3">
        <f>(Tabla1[[#This Row],[FECHA_TRASPLANTE]]-Tabla1[[#This Row],[FECHA_NAC]])/365.25</f>
        <v>57.511293634496923</v>
      </c>
      <c r="S10" t="s">
        <v>200</v>
      </c>
      <c r="T10"/>
      <c r="W10" t="s">
        <v>82</v>
      </c>
      <c r="X10" t="s">
        <v>1145</v>
      </c>
      <c r="AM10" t="s">
        <v>86</v>
      </c>
      <c r="AN10" s="2">
        <v>43578</v>
      </c>
      <c r="AO10"/>
      <c r="AV10" s="2"/>
      <c r="AZ10"/>
      <c r="BT10" s="2">
        <f>Tabla1[[#This Row],[FECHA_TRASPLANTE]]</f>
        <v>42032</v>
      </c>
      <c r="BU10">
        <f>IF(Tabla1[[#This Row],[FALLECIDO SI/NO]]="NO",0,1)</f>
        <v>1</v>
      </c>
      <c r="BV10" s="3">
        <f ca="1">IF(Tabla1[[#This Row],[FALLECIDO_COD]]=0,TODAY()-Tabla1[[#This Row],[FECHA_TRASPLANTE]],Tabla1[[#This Row],[FECHA DE DEFUNCIÓN]]-Tabla1[[#This Row],[FECHA_TRASPLANTE]])</f>
        <v>1546</v>
      </c>
      <c r="BW10" s="3">
        <f ca="1">IF(Tabla1[[#This Row],[FALLECIDO_COD]]=0,TODAY()-Tabla1[[#This Row],[FECHA_TRASPLANTE]],Tabla1[[#This Row],[FECHA DE DEFUNCIÓN]]-Tabla1[[#This Row],[FECHA_TRASPLANTE]])/30.4375</f>
        <v>50.792607802874741</v>
      </c>
      <c r="BX10" s="3">
        <f ca="1">IF(Tabla1[[#This Row],[FALLECIDO_COD]]=0,TODAY()-Tabla1[[#This Row],[FECHA_TRASPLANTE]],Tabla1[[#This Row],[FECHA DE DEFUNCIÓN]]-Tabla1[[#This Row],[FECHA_TRASPLANTE]])/365.25</f>
        <v>4.2327173169062284</v>
      </c>
      <c r="BY10"/>
      <c r="BZ10"/>
    </row>
    <row r="11" spans="1:78" hidden="1" x14ac:dyDescent="0.35">
      <c r="A11" t="s">
        <v>377</v>
      </c>
      <c r="D11" t="s">
        <v>1129</v>
      </c>
      <c r="E11" t="s">
        <v>375</v>
      </c>
      <c r="I11">
        <v>115.42621825669183</v>
      </c>
      <c r="J11" t="s">
        <v>1154</v>
      </c>
      <c r="K11" t="s">
        <v>1155</v>
      </c>
      <c r="L11" t="s">
        <v>263</v>
      </c>
      <c r="M11" t="s">
        <v>118</v>
      </c>
      <c r="N11" s="11">
        <v>204650891</v>
      </c>
      <c r="O11" s="2">
        <v>42044</v>
      </c>
      <c r="P11" t="s">
        <v>90</v>
      </c>
      <c r="Q11" s="2">
        <v>26013</v>
      </c>
      <c r="R11" s="3">
        <f>(Tabla1[[#This Row],[FECHA_TRASPLANTE]]-Tabla1[[#This Row],[FECHA_NAC]])/365.25</f>
        <v>43.890485968514717</v>
      </c>
      <c r="S11" t="s">
        <v>344</v>
      </c>
      <c r="T11"/>
      <c r="W11" t="s">
        <v>82</v>
      </c>
      <c r="X11" t="s">
        <v>115</v>
      </c>
      <c r="Y11" t="s">
        <v>84</v>
      </c>
      <c r="Z11" t="s">
        <v>91</v>
      </c>
      <c r="AM11" t="s">
        <v>106</v>
      </c>
      <c r="AO11"/>
      <c r="AV11" s="2"/>
      <c r="AZ11"/>
      <c r="BT11" s="2">
        <f>Tabla1[[#This Row],[FECHA_TRASPLANTE]]</f>
        <v>42044</v>
      </c>
      <c r="BU11">
        <f>IF(Tabla1[[#This Row],[FALLECIDO SI/NO]]="NO",0,1)</f>
        <v>0</v>
      </c>
      <c r="BV11" s="3">
        <f ca="1">IF(Tabla1[[#This Row],[FALLECIDO_COD]]=0,TODAY()-Tabla1[[#This Row],[FECHA_TRASPLANTE]],Tabla1[[#This Row],[FECHA DE DEFUNCIÓN]]-Tabla1[[#This Row],[FECHA_TRASPLANTE]])</f>
        <v>3831</v>
      </c>
      <c r="BW11" s="3">
        <f ca="1">IF(Tabla1[[#This Row],[FALLECIDO_COD]]=0,TODAY()-Tabla1[[#This Row],[FECHA_TRASPLANTE]],Tabla1[[#This Row],[FECHA DE DEFUNCIÓN]]-Tabla1[[#This Row],[FECHA_TRASPLANTE]])/30.4375</f>
        <v>125.86447638603696</v>
      </c>
      <c r="BX11" s="3">
        <f ca="1">IF(Tabla1[[#This Row],[FALLECIDO_COD]]=0,TODAY()-Tabla1[[#This Row],[FECHA_TRASPLANTE]],Tabla1[[#This Row],[FECHA DE DEFUNCIÓN]]-Tabla1[[#This Row],[FECHA_TRASPLANTE]])/365.25</f>
        <v>10.488706365503081</v>
      </c>
      <c r="BY11"/>
      <c r="BZ11"/>
    </row>
    <row r="12" spans="1:78" hidden="1" x14ac:dyDescent="0.35">
      <c r="A12" t="s">
        <v>377</v>
      </c>
      <c r="D12" t="s">
        <v>1129</v>
      </c>
      <c r="E12" t="s">
        <v>77</v>
      </c>
      <c r="I12">
        <v>115.45092656142759</v>
      </c>
      <c r="J12" t="s">
        <v>1156</v>
      </c>
      <c r="K12" t="s">
        <v>1157</v>
      </c>
      <c r="L12" t="s">
        <v>1158</v>
      </c>
      <c r="M12" t="s">
        <v>269</v>
      </c>
      <c r="N12" s="11">
        <v>112430954</v>
      </c>
      <c r="O12" s="2">
        <v>42053</v>
      </c>
      <c r="P12" t="s">
        <v>90</v>
      </c>
      <c r="Q12" s="2">
        <v>31212</v>
      </c>
      <c r="R12" s="3">
        <f>(Tabla1[[#This Row],[FECHA_TRASPLANTE]]-Tabla1[[#This Row],[FECHA_NAC]])/365.25</f>
        <v>29.681040383299109</v>
      </c>
      <c r="S12" t="s">
        <v>200</v>
      </c>
      <c r="T12"/>
      <c r="W12" t="s">
        <v>82</v>
      </c>
      <c r="X12" t="s">
        <v>1159</v>
      </c>
      <c r="AM12" t="s">
        <v>106</v>
      </c>
      <c r="AO12"/>
      <c r="AV12" s="2"/>
      <c r="AZ12"/>
      <c r="BT12" s="2">
        <f>Tabla1[[#This Row],[FECHA_TRASPLANTE]]</f>
        <v>42053</v>
      </c>
      <c r="BU12">
        <f>IF(Tabla1[[#This Row],[FALLECIDO SI/NO]]="NO",0,1)</f>
        <v>0</v>
      </c>
      <c r="BV12" s="3">
        <f ca="1">IF(Tabla1[[#This Row],[FALLECIDO_COD]]=0,TODAY()-Tabla1[[#This Row],[FECHA_TRASPLANTE]],Tabla1[[#This Row],[FECHA DE DEFUNCIÓN]]-Tabla1[[#This Row],[FECHA_TRASPLANTE]])</f>
        <v>3822</v>
      </c>
      <c r="BW12" s="3">
        <f ca="1">IF(Tabla1[[#This Row],[FALLECIDO_COD]]=0,TODAY()-Tabla1[[#This Row],[FECHA_TRASPLANTE]],Tabla1[[#This Row],[FECHA DE DEFUNCIÓN]]-Tabla1[[#This Row],[FECHA_TRASPLANTE]])/30.4375</f>
        <v>125.56878850102669</v>
      </c>
      <c r="BX12" s="3">
        <f ca="1">IF(Tabla1[[#This Row],[FALLECIDO_COD]]=0,TODAY()-Tabla1[[#This Row],[FECHA_TRASPLANTE]],Tabla1[[#This Row],[FECHA DE DEFUNCIÓN]]-Tabla1[[#This Row],[FECHA_TRASPLANTE]])/365.25</f>
        <v>10.464065708418891</v>
      </c>
      <c r="BY12"/>
      <c r="BZ12"/>
    </row>
    <row r="13" spans="1:78" hidden="1" x14ac:dyDescent="0.35">
      <c r="A13" t="s">
        <v>377</v>
      </c>
      <c r="D13" t="s">
        <v>1129</v>
      </c>
      <c r="E13" t="s">
        <v>375</v>
      </c>
      <c r="I13">
        <v>115.45092656142759</v>
      </c>
      <c r="J13" t="s">
        <v>1160</v>
      </c>
      <c r="K13" t="s">
        <v>1161</v>
      </c>
      <c r="L13" t="s">
        <v>1162</v>
      </c>
      <c r="M13" t="s">
        <v>140</v>
      </c>
      <c r="N13" s="11">
        <v>106980483</v>
      </c>
      <c r="O13" s="2">
        <v>42053</v>
      </c>
      <c r="P13" t="s">
        <v>90</v>
      </c>
      <c r="Q13" s="2">
        <v>24587</v>
      </c>
      <c r="R13" s="3">
        <f>(Tabla1[[#This Row],[FECHA_TRASPLANTE]]-Tabla1[[#This Row],[FECHA_NAC]])/365.25</f>
        <v>47.819301848049278</v>
      </c>
      <c r="S13" t="s">
        <v>210</v>
      </c>
      <c r="T13"/>
      <c r="W13" t="s">
        <v>82</v>
      </c>
      <c r="X13" t="s">
        <v>91</v>
      </c>
      <c r="Y13" t="s">
        <v>84</v>
      </c>
      <c r="Z13" t="s">
        <v>186</v>
      </c>
      <c r="AM13" t="s">
        <v>106</v>
      </c>
      <c r="AO13"/>
      <c r="AV13" s="2"/>
      <c r="AZ13"/>
      <c r="BT13" s="2">
        <f>Tabla1[[#This Row],[FECHA_TRASPLANTE]]</f>
        <v>42053</v>
      </c>
      <c r="BU13">
        <f>IF(Tabla1[[#This Row],[FALLECIDO SI/NO]]="NO",0,1)</f>
        <v>0</v>
      </c>
      <c r="BV13" s="3">
        <f ca="1">IF(Tabla1[[#This Row],[FALLECIDO_COD]]=0,TODAY()-Tabla1[[#This Row],[FECHA_TRASPLANTE]],Tabla1[[#This Row],[FECHA DE DEFUNCIÓN]]-Tabla1[[#This Row],[FECHA_TRASPLANTE]])</f>
        <v>3822</v>
      </c>
      <c r="BW13" s="3">
        <f ca="1">IF(Tabla1[[#This Row],[FALLECIDO_COD]]=0,TODAY()-Tabla1[[#This Row],[FECHA_TRASPLANTE]],Tabla1[[#This Row],[FECHA DE DEFUNCIÓN]]-Tabla1[[#This Row],[FECHA_TRASPLANTE]])/30.4375</f>
        <v>125.56878850102669</v>
      </c>
      <c r="BX13" s="3">
        <f ca="1">IF(Tabla1[[#This Row],[FALLECIDO_COD]]=0,TODAY()-Tabla1[[#This Row],[FECHA_TRASPLANTE]],Tabla1[[#This Row],[FECHA DE DEFUNCIÓN]]-Tabla1[[#This Row],[FECHA_TRASPLANTE]])/365.25</f>
        <v>10.464065708418891</v>
      </c>
      <c r="BY13"/>
      <c r="BZ13"/>
    </row>
    <row r="14" spans="1:78" hidden="1" x14ac:dyDescent="0.35">
      <c r="A14" t="s">
        <v>377</v>
      </c>
      <c r="D14" t="s">
        <v>1129</v>
      </c>
      <c r="E14" t="s">
        <v>375</v>
      </c>
      <c r="I14">
        <v>115.47014413177763</v>
      </c>
      <c r="J14" t="s">
        <v>1154</v>
      </c>
      <c r="K14" t="s">
        <v>1163</v>
      </c>
      <c r="L14" t="s">
        <v>1164</v>
      </c>
      <c r="M14" t="s">
        <v>670</v>
      </c>
      <c r="N14" s="11">
        <v>601890548</v>
      </c>
      <c r="O14" s="2">
        <v>42060</v>
      </c>
      <c r="P14" t="s">
        <v>90</v>
      </c>
      <c r="Q14" s="2">
        <v>23348</v>
      </c>
      <c r="R14" s="3">
        <f>(Tabla1[[#This Row],[FECHA_TRASPLANTE]]-Tabla1[[#This Row],[FECHA_NAC]])/365.25</f>
        <v>51.230663928815879</v>
      </c>
      <c r="S14" t="s">
        <v>210</v>
      </c>
      <c r="T14"/>
      <c r="W14" t="s">
        <v>82</v>
      </c>
      <c r="X14" t="s">
        <v>1165</v>
      </c>
      <c r="AM14" t="s">
        <v>86</v>
      </c>
      <c r="AN14" s="2">
        <v>42579</v>
      </c>
      <c r="AO14"/>
      <c r="AV14" s="2"/>
      <c r="AZ14"/>
      <c r="BT14" s="2">
        <f>Tabla1[[#This Row],[FECHA_TRASPLANTE]]</f>
        <v>42060</v>
      </c>
      <c r="BU14">
        <f>IF(Tabla1[[#This Row],[FALLECIDO SI/NO]]="NO",0,1)</f>
        <v>1</v>
      </c>
      <c r="BV14" s="3">
        <f ca="1">IF(Tabla1[[#This Row],[FALLECIDO_COD]]=0,TODAY()-Tabla1[[#This Row],[FECHA_TRASPLANTE]],Tabla1[[#This Row],[FECHA DE DEFUNCIÓN]]-Tabla1[[#This Row],[FECHA_TRASPLANTE]])</f>
        <v>519</v>
      </c>
      <c r="BW14" s="3">
        <f ca="1">IF(Tabla1[[#This Row],[FALLECIDO_COD]]=0,TODAY()-Tabla1[[#This Row],[FECHA_TRASPLANTE]],Tabla1[[#This Row],[FECHA DE DEFUNCIÓN]]-Tabla1[[#This Row],[FECHA_TRASPLANTE]])/30.4375</f>
        <v>17.051334702258728</v>
      </c>
      <c r="BX14" s="3">
        <f ca="1">IF(Tabla1[[#This Row],[FALLECIDO_COD]]=0,TODAY()-Tabla1[[#This Row],[FECHA_TRASPLANTE]],Tabla1[[#This Row],[FECHA DE DEFUNCIÓN]]-Tabla1[[#This Row],[FECHA_TRASPLANTE]])/365.25</f>
        <v>1.4209445585215605</v>
      </c>
      <c r="BY14"/>
      <c r="BZ14"/>
    </row>
    <row r="15" spans="1:78" hidden="1" x14ac:dyDescent="0.35">
      <c r="A15" t="s">
        <v>377</v>
      </c>
      <c r="D15" t="s">
        <v>1129</v>
      </c>
      <c r="E15" t="s">
        <v>375</v>
      </c>
      <c r="I15">
        <v>115.49485243651338</v>
      </c>
      <c r="J15" t="s">
        <v>1160</v>
      </c>
      <c r="K15" t="s">
        <v>1166</v>
      </c>
      <c r="L15" t="s">
        <v>393</v>
      </c>
      <c r="M15" t="s">
        <v>408</v>
      </c>
      <c r="N15" s="11">
        <v>401160749</v>
      </c>
      <c r="O15" s="2">
        <v>42069</v>
      </c>
      <c r="P15" t="s">
        <v>90</v>
      </c>
      <c r="Q15" s="2">
        <v>21251</v>
      </c>
      <c r="R15" s="3">
        <f>(Tabla1[[#This Row],[FECHA_TRASPLANTE]]-Tabla1[[#This Row],[FECHA_NAC]])/365.25</f>
        <v>56.996577686516083</v>
      </c>
      <c r="S15" t="s">
        <v>902</v>
      </c>
      <c r="T15"/>
      <c r="W15" t="s">
        <v>82</v>
      </c>
      <c r="X15" t="s">
        <v>261</v>
      </c>
      <c r="Y15" t="s">
        <v>712</v>
      </c>
      <c r="Z15" t="s">
        <v>1167</v>
      </c>
      <c r="AM15" t="s">
        <v>86</v>
      </c>
      <c r="AN15" s="2">
        <v>44446</v>
      </c>
      <c r="AO15"/>
      <c r="AV15" s="2"/>
      <c r="AZ15"/>
      <c r="BT15" s="2">
        <f>Tabla1[[#This Row],[FECHA_TRASPLANTE]]</f>
        <v>42069</v>
      </c>
      <c r="BU15">
        <f>IF(Tabla1[[#This Row],[FALLECIDO SI/NO]]="NO",0,1)</f>
        <v>1</v>
      </c>
      <c r="BV15" s="3">
        <f ca="1">IF(Tabla1[[#This Row],[FALLECIDO_COD]]=0,TODAY()-Tabla1[[#This Row],[FECHA_TRASPLANTE]],Tabla1[[#This Row],[FECHA DE DEFUNCIÓN]]-Tabla1[[#This Row],[FECHA_TRASPLANTE]])</f>
        <v>2377</v>
      </c>
      <c r="BW15" s="3">
        <f ca="1">IF(Tabla1[[#This Row],[FALLECIDO_COD]]=0,TODAY()-Tabla1[[#This Row],[FECHA_TRASPLANTE]],Tabla1[[#This Row],[FECHA DE DEFUNCIÓN]]-Tabla1[[#This Row],[FECHA_TRASPLANTE]])/30.4375</f>
        <v>78.094455852156059</v>
      </c>
      <c r="BX15" s="3">
        <f ca="1">IF(Tabla1[[#This Row],[FALLECIDO_COD]]=0,TODAY()-Tabla1[[#This Row],[FECHA_TRASPLANTE]],Tabla1[[#This Row],[FECHA DE DEFUNCIÓN]]-Tabla1[[#This Row],[FECHA_TRASPLANTE]])/365.25</f>
        <v>6.5078713210130044</v>
      </c>
      <c r="BY15"/>
      <c r="BZ15"/>
    </row>
    <row r="16" spans="1:78" hidden="1" x14ac:dyDescent="0.35">
      <c r="A16" t="s">
        <v>377</v>
      </c>
      <c r="D16" t="s">
        <v>1129</v>
      </c>
      <c r="E16" t="s">
        <v>375</v>
      </c>
      <c r="I16">
        <v>115.52779684282773</v>
      </c>
      <c r="J16" t="s">
        <v>1152</v>
      </c>
      <c r="K16" t="s">
        <v>1168</v>
      </c>
      <c r="L16" t="s">
        <v>482</v>
      </c>
      <c r="M16" t="s">
        <v>94</v>
      </c>
      <c r="N16" s="11">
        <v>204340360</v>
      </c>
      <c r="O16" s="2">
        <v>42081</v>
      </c>
      <c r="P16" t="s">
        <v>81</v>
      </c>
      <c r="Q16" s="2">
        <v>24825</v>
      </c>
      <c r="R16" s="3">
        <f>(Tabla1[[#This Row],[FECHA_TRASPLANTE]]-Tabla1[[#This Row],[FECHA_NAC]])/365.25</f>
        <v>47.244353182751539</v>
      </c>
      <c r="S16" t="s">
        <v>200</v>
      </c>
      <c r="T16"/>
      <c r="W16" t="s">
        <v>82</v>
      </c>
      <c r="X16" t="s">
        <v>115</v>
      </c>
      <c r="Y16" t="s">
        <v>365</v>
      </c>
      <c r="Z16" t="s">
        <v>386</v>
      </c>
      <c r="AM16" t="s">
        <v>106</v>
      </c>
      <c r="AO16"/>
      <c r="AV16" s="2"/>
      <c r="AZ16"/>
      <c r="BT16" s="2">
        <f>Tabla1[[#This Row],[FECHA_TRASPLANTE]]</f>
        <v>42081</v>
      </c>
      <c r="BU16">
        <f>IF(Tabla1[[#This Row],[FALLECIDO SI/NO]]="NO",0,1)</f>
        <v>0</v>
      </c>
      <c r="BV16" s="3">
        <f ca="1">IF(Tabla1[[#This Row],[FALLECIDO_COD]]=0,TODAY()-Tabla1[[#This Row],[FECHA_TRASPLANTE]],Tabla1[[#This Row],[FECHA DE DEFUNCIÓN]]-Tabla1[[#This Row],[FECHA_TRASPLANTE]])</f>
        <v>3794</v>
      </c>
      <c r="BW16" s="3">
        <f ca="1">IF(Tabla1[[#This Row],[FALLECIDO_COD]]=0,TODAY()-Tabla1[[#This Row],[FECHA_TRASPLANTE]],Tabla1[[#This Row],[FECHA DE DEFUNCIÓN]]-Tabla1[[#This Row],[FECHA_TRASPLANTE]])/30.4375</f>
        <v>124.64887063655031</v>
      </c>
      <c r="BX16" s="3">
        <f ca="1">IF(Tabla1[[#This Row],[FALLECIDO_COD]]=0,TODAY()-Tabla1[[#This Row],[FECHA_TRASPLANTE]],Tabla1[[#This Row],[FECHA DE DEFUNCIÓN]]-Tabla1[[#This Row],[FECHA_TRASPLANTE]])/365.25</f>
        <v>10.387405886379192</v>
      </c>
      <c r="BY16"/>
      <c r="BZ16"/>
    </row>
    <row r="17" spans="1:78" hidden="1" x14ac:dyDescent="0.35">
      <c r="A17" t="s">
        <v>377</v>
      </c>
      <c r="D17" t="s">
        <v>1129</v>
      </c>
      <c r="E17" t="s">
        <v>375</v>
      </c>
      <c r="I17">
        <v>115.54701441317776</v>
      </c>
      <c r="J17" t="s">
        <v>1154</v>
      </c>
      <c r="K17" t="s">
        <v>1169</v>
      </c>
      <c r="L17" t="s">
        <v>707</v>
      </c>
      <c r="M17" t="s">
        <v>149</v>
      </c>
      <c r="N17" s="11">
        <v>401020886</v>
      </c>
      <c r="O17" s="2">
        <v>42088</v>
      </c>
      <c r="P17" t="s">
        <v>90</v>
      </c>
      <c r="Q17" s="2">
        <v>19149</v>
      </c>
      <c r="R17" s="3">
        <f>(Tabla1[[#This Row],[FECHA_TRASPLANTE]]-Tabla1[[#This Row],[FECHA_NAC]])/365.25</f>
        <v>62.803559206023273</v>
      </c>
      <c r="S17" t="s">
        <v>200</v>
      </c>
      <c r="T17"/>
      <c r="W17" t="s">
        <v>82</v>
      </c>
      <c r="X17" t="s">
        <v>1136</v>
      </c>
      <c r="AM17" t="s">
        <v>106</v>
      </c>
      <c r="AO17"/>
      <c r="AV17" s="2"/>
      <c r="AZ17"/>
      <c r="BT17" s="2">
        <f>Tabla1[[#This Row],[FECHA_TRASPLANTE]]</f>
        <v>42088</v>
      </c>
      <c r="BU17">
        <f>IF(Tabla1[[#This Row],[FALLECIDO SI/NO]]="NO",0,1)</f>
        <v>0</v>
      </c>
      <c r="BV17" s="3">
        <f ca="1">IF(Tabla1[[#This Row],[FALLECIDO_COD]]=0,TODAY()-Tabla1[[#This Row],[FECHA_TRASPLANTE]],Tabla1[[#This Row],[FECHA DE DEFUNCIÓN]]-Tabla1[[#This Row],[FECHA_TRASPLANTE]])</f>
        <v>3787</v>
      </c>
      <c r="BW17" s="3">
        <f ca="1">IF(Tabla1[[#This Row],[FALLECIDO_COD]]=0,TODAY()-Tabla1[[#This Row],[FECHA_TRASPLANTE]],Tabla1[[#This Row],[FECHA DE DEFUNCIÓN]]-Tabla1[[#This Row],[FECHA_TRASPLANTE]])/30.4375</f>
        <v>124.41889117043121</v>
      </c>
      <c r="BX17" s="3">
        <f ca="1">IF(Tabla1[[#This Row],[FALLECIDO_COD]]=0,TODAY()-Tabla1[[#This Row],[FECHA_TRASPLANTE]],Tabla1[[#This Row],[FECHA DE DEFUNCIÓN]]-Tabla1[[#This Row],[FECHA_TRASPLANTE]])/365.25</f>
        <v>10.368240930869268</v>
      </c>
      <c r="BY17"/>
      <c r="BZ17"/>
    </row>
    <row r="18" spans="1:78" hidden="1" x14ac:dyDescent="0.35">
      <c r="A18" t="s">
        <v>377</v>
      </c>
      <c r="D18" t="s">
        <v>1129</v>
      </c>
      <c r="E18" t="s">
        <v>375</v>
      </c>
      <c r="I18">
        <v>115.56897735072066</v>
      </c>
      <c r="J18" t="s">
        <v>1170</v>
      </c>
      <c r="K18" t="s">
        <v>1171</v>
      </c>
      <c r="L18" t="s">
        <v>229</v>
      </c>
      <c r="M18" t="s">
        <v>188</v>
      </c>
      <c r="N18" s="11">
        <v>112310563</v>
      </c>
      <c r="O18" s="2">
        <v>42096</v>
      </c>
      <c r="P18" t="s">
        <v>81</v>
      </c>
      <c r="Q18" s="2">
        <v>31079</v>
      </c>
      <c r="R18" s="3">
        <f>(Tabla1[[#This Row],[FECHA_TRASPLANTE]]-Tabla1[[#This Row],[FECHA_NAC]])/365.25</f>
        <v>30.16290212183436</v>
      </c>
      <c r="S18" t="s">
        <v>200</v>
      </c>
      <c r="T18"/>
      <c r="W18" t="s">
        <v>82</v>
      </c>
      <c r="X18" t="s">
        <v>115</v>
      </c>
      <c r="Y18" t="s">
        <v>84</v>
      </c>
      <c r="Z18" t="s">
        <v>510</v>
      </c>
      <c r="AM18" t="s">
        <v>106</v>
      </c>
      <c r="AO18"/>
      <c r="AV18" s="2"/>
      <c r="AZ18"/>
      <c r="BT18" s="2">
        <f>Tabla1[[#This Row],[FECHA_TRASPLANTE]]</f>
        <v>42096</v>
      </c>
      <c r="BU18">
        <f>IF(Tabla1[[#This Row],[FALLECIDO SI/NO]]="NO",0,1)</f>
        <v>0</v>
      </c>
      <c r="BV18" s="3">
        <f ca="1">IF(Tabla1[[#This Row],[FALLECIDO_COD]]=0,TODAY()-Tabla1[[#This Row],[FECHA_TRASPLANTE]],Tabla1[[#This Row],[FECHA DE DEFUNCIÓN]]-Tabla1[[#This Row],[FECHA_TRASPLANTE]])</f>
        <v>3779</v>
      </c>
      <c r="BW18" s="3">
        <f ca="1">IF(Tabla1[[#This Row],[FALLECIDO_COD]]=0,TODAY()-Tabla1[[#This Row],[FECHA_TRASPLANTE]],Tabla1[[#This Row],[FECHA DE DEFUNCIÓN]]-Tabla1[[#This Row],[FECHA_TRASPLANTE]])/30.4375</f>
        <v>124.15605749486653</v>
      </c>
      <c r="BX18" s="3">
        <f ca="1">IF(Tabla1[[#This Row],[FALLECIDO_COD]]=0,TODAY()-Tabla1[[#This Row],[FECHA_TRASPLANTE]],Tabla1[[#This Row],[FECHA DE DEFUNCIÓN]]-Tabla1[[#This Row],[FECHA_TRASPLANTE]])/365.25</f>
        <v>10.346338124572211</v>
      </c>
      <c r="BY18"/>
      <c r="BZ18"/>
    </row>
    <row r="19" spans="1:78" hidden="1" x14ac:dyDescent="0.35">
      <c r="A19" t="s">
        <v>377</v>
      </c>
      <c r="D19" t="s">
        <v>1129</v>
      </c>
      <c r="E19" t="s">
        <v>375</v>
      </c>
      <c r="I19">
        <v>115.59368565545641</v>
      </c>
      <c r="J19" t="s">
        <v>1152</v>
      </c>
      <c r="K19" t="s">
        <v>1172</v>
      </c>
      <c r="L19" t="s">
        <v>203</v>
      </c>
      <c r="M19" t="s">
        <v>508</v>
      </c>
      <c r="N19" s="11">
        <v>203690750</v>
      </c>
      <c r="O19" s="2">
        <v>42105</v>
      </c>
      <c r="P19" t="s">
        <v>81</v>
      </c>
      <c r="Q19" s="2">
        <v>22776</v>
      </c>
      <c r="R19" s="3">
        <f>(Tabla1[[#This Row],[FECHA_TRASPLANTE]]-Tabla1[[#This Row],[FECHA_NAC]])/365.25</f>
        <v>52.919917864476389</v>
      </c>
      <c r="S19" t="s">
        <v>205</v>
      </c>
      <c r="T19"/>
      <c r="W19" t="s">
        <v>82</v>
      </c>
      <c r="X19" t="s">
        <v>115</v>
      </c>
      <c r="Y19" t="s">
        <v>84</v>
      </c>
      <c r="Z19" t="s">
        <v>510</v>
      </c>
      <c r="AM19" t="s">
        <v>86</v>
      </c>
      <c r="AN19" s="2">
        <v>45204</v>
      </c>
      <c r="AO19"/>
      <c r="AV19" s="2"/>
      <c r="AZ19"/>
      <c r="BT19" s="2">
        <f>Tabla1[[#This Row],[FECHA_TRASPLANTE]]</f>
        <v>42105</v>
      </c>
      <c r="BU19">
        <f>IF(Tabla1[[#This Row],[FALLECIDO SI/NO]]="NO",0,1)</f>
        <v>1</v>
      </c>
      <c r="BV19" s="3">
        <f ca="1">IF(Tabla1[[#This Row],[FALLECIDO_COD]]=0,TODAY()-Tabla1[[#This Row],[FECHA_TRASPLANTE]],Tabla1[[#This Row],[FECHA DE DEFUNCIÓN]]-Tabla1[[#This Row],[FECHA_TRASPLANTE]])</f>
        <v>3099</v>
      </c>
      <c r="BW19" s="3">
        <f ca="1">IF(Tabla1[[#This Row],[FALLECIDO_COD]]=0,TODAY()-Tabla1[[#This Row],[FECHA_TRASPLANTE]],Tabla1[[#This Row],[FECHA DE DEFUNCIÓN]]-Tabla1[[#This Row],[FECHA_TRASPLANTE]])/30.4375</f>
        <v>101.81519507186859</v>
      </c>
      <c r="BX19" s="3">
        <f ca="1">IF(Tabla1[[#This Row],[FALLECIDO_COD]]=0,TODAY()-Tabla1[[#This Row],[FECHA_TRASPLANTE]],Tabla1[[#This Row],[FECHA DE DEFUNCIÓN]]-Tabla1[[#This Row],[FECHA_TRASPLANTE]])/365.25</f>
        <v>8.4845995893223822</v>
      </c>
      <c r="BY19"/>
      <c r="BZ19"/>
    </row>
    <row r="20" spans="1:78" hidden="1" x14ac:dyDescent="0.35">
      <c r="A20" t="s">
        <v>377</v>
      </c>
      <c r="D20" t="s">
        <v>1129</v>
      </c>
      <c r="E20" t="s">
        <v>375</v>
      </c>
      <c r="I20">
        <v>115.60466712422786</v>
      </c>
      <c r="J20" t="s">
        <v>1173</v>
      </c>
      <c r="K20" t="s">
        <v>980</v>
      </c>
      <c r="L20" t="s">
        <v>109</v>
      </c>
      <c r="M20" t="s">
        <v>89</v>
      </c>
      <c r="N20" s="11">
        <v>401230940</v>
      </c>
      <c r="O20" s="2">
        <v>42109</v>
      </c>
      <c r="P20" t="s">
        <v>81</v>
      </c>
      <c r="Q20" s="2">
        <v>22085</v>
      </c>
      <c r="R20" s="3">
        <f>(Tabla1[[#This Row],[FECHA_TRASPLANTE]]-Tabla1[[#This Row],[FECHA_NAC]])/365.25</f>
        <v>54.822724161533195</v>
      </c>
      <c r="S20" t="s">
        <v>910</v>
      </c>
      <c r="T20"/>
      <c r="W20" t="s">
        <v>82</v>
      </c>
      <c r="X20" t="s">
        <v>261</v>
      </c>
      <c r="Y20" t="s">
        <v>84</v>
      </c>
      <c r="Z20" t="s">
        <v>261</v>
      </c>
      <c r="AM20" t="s">
        <v>106</v>
      </c>
      <c r="AO20"/>
      <c r="AV20" s="2"/>
      <c r="AZ20"/>
      <c r="BT20" s="2">
        <f>Tabla1[[#This Row],[FECHA_TRASPLANTE]]</f>
        <v>42109</v>
      </c>
      <c r="BU20">
        <f>IF(Tabla1[[#This Row],[FALLECIDO SI/NO]]="NO",0,1)</f>
        <v>0</v>
      </c>
      <c r="BV20" s="3">
        <f ca="1">IF(Tabla1[[#This Row],[FALLECIDO_COD]]=0,TODAY()-Tabla1[[#This Row],[FECHA_TRASPLANTE]],Tabla1[[#This Row],[FECHA DE DEFUNCIÓN]]-Tabla1[[#This Row],[FECHA_TRASPLANTE]])</f>
        <v>3766</v>
      </c>
      <c r="BW20" s="3">
        <f ca="1">IF(Tabla1[[#This Row],[FALLECIDO_COD]]=0,TODAY()-Tabla1[[#This Row],[FECHA_TRASPLANTE]],Tabla1[[#This Row],[FECHA DE DEFUNCIÓN]]-Tabla1[[#This Row],[FECHA_TRASPLANTE]])/30.4375</f>
        <v>123.72895277207392</v>
      </c>
      <c r="BX20" s="3">
        <f ca="1">IF(Tabla1[[#This Row],[FALLECIDO_COD]]=0,TODAY()-Tabla1[[#This Row],[FECHA_TRASPLANTE]],Tabla1[[#This Row],[FECHA DE DEFUNCIÓN]]-Tabla1[[#This Row],[FECHA_TRASPLANTE]])/365.25</f>
        <v>10.310746064339494</v>
      </c>
      <c r="BY20"/>
      <c r="BZ20"/>
    </row>
    <row r="21" spans="1:78" hidden="1" x14ac:dyDescent="0.35">
      <c r="A21" t="s">
        <v>377</v>
      </c>
      <c r="D21" t="s">
        <v>1129</v>
      </c>
      <c r="E21" t="s">
        <v>375</v>
      </c>
      <c r="I21">
        <v>115.6238846945779</v>
      </c>
      <c r="J21" t="s">
        <v>1174</v>
      </c>
      <c r="K21" t="s">
        <v>1175</v>
      </c>
      <c r="L21" t="s">
        <v>431</v>
      </c>
      <c r="M21" t="s">
        <v>1176</v>
      </c>
      <c r="N21" s="11">
        <v>16522666</v>
      </c>
      <c r="O21" s="2">
        <v>42116</v>
      </c>
      <c r="P21" t="s">
        <v>81</v>
      </c>
      <c r="Q21" s="2">
        <v>23888</v>
      </c>
      <c r="R21" s="3">
        <f>(Tabla1[[#This Row],[FECHA_TRASPLANTE]]-Tabla1[[#This Row],[FECHA_NAC]])/365.25</f>
        <v>49.905544147843941</v>
      </c>
      <c r="S21" t="s">
        <v>200</v>
      </c>
      <c r="T21"/>
      <c r="W21" t="s">
        <v>597</v>
      </c>
      <c r="X21" t="s">
        <v>125</v>
      </c>
      <c r="Y21" t="s">
        <v>168</v>
      </c>
      <c r="Z21" t="s">
        <v>1177</v>
      </c>
      <c r="AM21" t="s">
        <v>106</v>
      </c>
      <c r="AO21"/>
      <c r="AV21" s="2"/>
      <c r="AZ21"/>
      <c r="BT21" s="2">
        <f>Tabla1[[#This Row],[FECHA_TRASPLANTE]]</f>
        <v>42116</v>
      </c>
      <c r="BU21">
        <f>IF(Tabla1[[#This Row],[FALLECIDO SI/NO]]="NO",0,1)</f>
        <v>0</v>
      </c>
      <c r="BV21" s="3">
        <f ca="1">IF(Tabla1[[#This Row],[FALLECIDO_COD]]=0,TODAY()-Tabla1[[#This Row],[FECHA_TRASPLANTE]],Tabla1[[#This Row],[FECHA DE DEFUNCIÓN]]-Tabla1[[#This Row],[FECHA_TRASPLANTE]])</f>
        <v>3759</v>
      </c>
      <c r="BW21" s="3">
        <f ca="1">IF(Tabla1[[#This Row],[FALLECIDO_COD]]=0,TODAY()-Tabla1[[#This Row],[FECHA_TRASPLANTE]],Tabla1[[#This Row],[FECHA DE DEFUNCIÓN]]-Tabla1[[#This Row],[FECHA_TRASPLANTE]])/30.4375</f>
        <v>123.49897330595482</v>
      </c>
      <c r="BX21" s="3">
        <f ca="1">IF(Tabla1[[#This Row],[FALLECIDO_COD]]=0,TODAY()-Tabla1[[#This Row],[FECHA_TRASPLANTE]],Tabla1[[#This Row],[FECHA DE DEFUNCIÓN]]-Tabla1[[#This Row],[FECHA_TRASPLANTE]])/365.25</f>
        <v>10.291581108829568</v>
      </c>
      <c r="BY21"/>
      <c r="BZ21"/>
    </row>
    <row r="22" spans="1:78" hidden="1" x14ac:dyDescent="0.35">
      <c r="A22" t="s">
        <v>377</v>
      </c>
      <c r="D22" t="s">
        <v>1129</v>
      </c>
      <c r="E22" t="s">
        <v>375</v>
      </c>
      <c r="I22">
        <v>115.64310226492793</v>
      </c>
      <c r="J22" t="s">
        <v>1152</v>
      </c>
      <c r="K22" t="s">
        <v>1178</v>
      </c>
      <c r="L22" t="s">
        <v>1179</v>
      </c>
      <c r="M22" t="s">
        <v>1046</v>
      </c>
      <c r="N22" s="11">
        <v>401100880</v>
      </c>
      <c r="O22" s="2">
        <v>42123</v>
      </c>
      <c r="P22" t="s">
        <v>90</v>
      </c>
      <c r="Q22" s="2">
        <v>20359</v>
      </c>
      <c r="R22" s="3">
        <f>(Tabla1[[#This Row],[FECHA_TRASPLANTE]]-Tabla1[[#This Row],[FECHA_NAC]])/365.25</f>
        <v>59.586584531143053</v>
      </c>
      <c r="S22" t="s">
        <v>210</v>
      </c>
      <c r="T22"/>
      <c r="W22" t="s">
        <v>82</v>
      </c>
      <c r="X22" t="s">
        <v>1145</v>
      </c>
      <c r="AM22" t="s">
        <v>106</v>
      </c>
      <c r="AO22"/>
      <c r="AV22" s="2"/>
      <c r="AZ22"/>
      <c r="BT22" s="2">
        <f>Tabla1[[#This Row],[FECHA_TRASPLANTE]]</f>
        <v>42123</v>
      </c>
      <c r="BU22">
        <f>IF(Tabla1[[#This Row],[FALLECIDO SI/NO]]="NO",0,1)</f>
        <v>0</v>
      </c>
      <c r="BV22" s="3">
        <f ca="1">IF(Tabla1[[#This Row],[FALLECIDO_COD]]=0,TODAY()-Tabla1[[#This Row],[FECHA_TRASPLANTE]],Tabla1[[#This Row],[FECHA DE DEFUNCIÓN]]-Tabla1[[#This Row],[FECHA_TRASPLANTE]])</f>
        <v>3752</v>
      </c>
      <c r="BW22" s="3">
        <f ca="1">IF(Tabla1[[#This Row],[FALLECIDO_COD]]=0,TODAY()-Tabla1[[#This Row],[FECHA_TRASPLANTE]],Tabla1[[#This Row],[FECHA DE DEFUNCIÓN]]-Tabla1[[#This Row],[FECHA_TRASPLANTE]])/30.4375</f>
        <v>123.26899383983573</v>
      </c>
      <c r="BX22" s="3">
        <f ca="1">IF(Tabla1[[#This Row],[FALLECIDO_COD]]=0,TODAY()-Tabla1[[#This Row],[FECHA_TRASPLANTE]],Tabla1[[#This Row],[FECHA DE DEFUNCIÓN]]-Tabla1[[#This Row],[FECHA_TRASPLANTE]])/365.25</f>
        <v>10.272416153319645</v>
      </c>
      <c r="BY22"/>
      <c r="BZ22"/>
    </row>
    <row r="23" spans="1:78" hidden="1" x14ac:dyDescent="0.35">
      <c r="A23" t="s">
        <v>377</v>
      </c>
      <c r="D23" t="s">
        <v>1129</v>
      </c>
      <c r="E23" t="s">
        <v>375</v>
      </c>
      <c r="I23">
        <v>115.66781056966369</v>
      </c>
      <c r="J23" t="s">
        <v>1180</v>
      </c>
      <c r="K23" t="s">
        <v>1181</v>
      </c>
      <c r="L23" t="s">
        <v>246</v>
      </c>
      <c r="M23" t="s">
        <v>79</v>
      </c>
      <c r="N23" s="11">
        <v>503250461</v>
      </c>
      <c r="O23" s="2">
        <v>42132</v>
      </c>
      <c r="P23" t="s">
        <v>81</v>
      </c>
      <c r="Q23" s="2">
        <v>29923</v>
      </c>
      <c r="R23" s="3">
        <f>(Tabla1[[#This Row],[FECHA_TRASPLANTE]]-Tabla1[[#This Row],[FECHA_NAC]])/365.25</f>
        <v>33.426420260095824</v>
      </c>
      <c r="S23" t="s">
        <v>205</v>
      </c>
      <c r="T23"/>
      <c r="W23" t="s">
        <v>82</v>
      </c>
      <c r="X23" t="s">
        <v>91</v>
      </c>
      <c r="Y23" t="s">
        <v>116</v>
      </c>
      <c r="Z23" t="s">
        <v>510</v>
      </c>
      <c r="AM23" t="s">
        <v>86</v>
      </c>
      <c r="AN23" s="2">
        <v>44422</v>
      </c>
      <c r="AO23"/>
      <c r="AV23" s="2"/>
      <c r="AZ23"/>
      <c r="BT23" s="2">
        <f>Tabla1[[#This Row],[FECHA_TRASPLANTE]]</f>
        <v>42132</v>
      </c>
      <c r="BU23">
        <f>IF(Tabla1[[#This Row],[FALLECIDO SI/NO]]="NO",0,1)</f>
        <v>1</v>
      </c>
      <c r="BV23" s="3">
        <f ca="1">IF(Tabla1[[#This Row],[FALLECIDO_COD]]=0,TODAY()-Tabla1[[#This Row],[FECHA_TRASPLANTE]],Tabla1[[#This Row],[FECHA DE DEFUNCIÓN]]-Tabla1[[#This Row],[FECHA_TRASPLANTE]])</f>
        <v>2290</v>
      </c>
      <c r="BW23" s="3">
        <f ca="1">IF(Tabla1[[#This Row],[FALLECIDO_COD]]=0,TODAY()-Tabla1[[#This Row],[FECHA_TRASPLANTE]],Tabla1[[#This Row],[FECHA DE DEFUNCIÓN]]-Tabla1[[#This Row],[FECHA_TRASPLANTE]])/30.4375</f>
        <v>75.236139630390142</v>
      </c>
      <c r="BX23" s="3">
        <f ca="1">IF(Tabla1[[#This Row],[FALLECIDO_COD]]=0,TODAY()-Tabla1[[#This Row],[FECHA_TRASPLANTE]],Tabla1[[#This Row],[FECHA DE DEFUNCIÓN]]-Tabla1[[#This Row],[FECHA_TRASPLANTE]])/365.25</f>
        <v>6.2696783025325118</v>
      </c>
      <c r="BY23"/>
      <c r="BZ23"/>
    </row>
    <row r="24" spans="1:78" hidden="1" x14ac:dyDescent="0.35">
      <c r="A24" t="s">
        <v>377</v>
      </c>
      <c r="D24" t="s">
        <v>1129</v>
      </c>
      <c r="E24" t="s">
        <v>375</v>
      </c>
      <c r="I24">
        <v>115.68153740562801</v>
      </c>
      <c r="J24" t="s">
        <v>1160</v>
      </c>
      <c r="N24" s="11">
        <v>50388056</v>
      </c>
      <c r="O24" s="2">
        <v>42137</v>
      </c>
      <c r="P24" t="s">
        <v>90</v>
      </c>
      <c r="R24" s="3">
        <f>(Tabla1[[#This Row],[FECHA_TRASPLANTE]]-Tabla1[[#This Row],[FECHA_NAC]])/365.25</f>
        <v>115.36481861738535</v>
      </c>
      <c r="S24" t="s">
        <v>200</v>
      </c>
      <c r="T24"/>
      <c r="X24" t="s">
        <v>1145</v>
      </c>
      <c r="AM24" t="s">
        <v>106</v>
      </c>
      <c r="AO24"/>
      <c r="AV24" s="2"/>
      <c r="AZ24"/>
      <c r="BT24" s="2">
        <f>Tabla1[[#This Row],[FECHA_TRASPLANTE]]</f>
        <v>42137</v>
      </c>
      <c r="BU24">
        <f>IF(Tabla1[[#This Row],[FALLECIDO SI/NO]]="NO",0,1)</f>
        <v>0</v>
      </c>
      <c r="BV24" s="3">
        <f ca="1">IF(Tabla1[[#This Row],[FALLECIDO_COD]]=0,TODAY()-Tabla1[[#This Row],[FECHA_TRASPLANTE]],Tabla1[[#This Row],[FECHA DE DEFUNCIÓN]]-Tabla1[[#This Row],[FECHA_TRASPLANTE]])</f>
        <v>3738</v>
      </c>
      <c r="BW24" s="3">
        <f ca="1">IF(Tabla1[[#This Row],[FALLECIDO_COD]]=0,TODAY()-Tabla1[[#This Row],[FECHA_TRASPLANTE]],Tabla1[[#This Row],[FECHA DE DEFUNCIÓN]]-Tabla1[[#This Row],[FECHA_TRASPLANTE]])/30.4375</f>
        <v>122.80903490759754</v>
      </c>
      <c r="BX24" s="3">
        <f ca="1">IF(Tabla1[[#This Row],[FALLECIDO_COD]]=0,TODAY()-Tabla1[[#This Row],[FECHA_TRASPLANTE]],Tabla1[[#This Row],[FECHA DE DEFUNCIÓN]]-Tabla1[[#This Row],[FECHA_TRASPLANTE]])/365.25</f>
        <v>10.234086242299794</v>
      </c>
      <c r="BY24"/>
      <c r="BZ24"/>
    </row>
    <row r="25" spans="1:78" hidden="1" x14ac:dyDescent="0.35">
      <c r="A25" t="s">
        <v>377</v>
      </c>
      <c r="D25" t="s">
        <v>1129</v>
      </c>
      <c r="E25" t="s">
        <v>375</v>
      </c>
      <c r="I25">
        <v>115.71997254632807</v>
      </c>
      <c r="J25" t="s">
        <v>1182</v>
      </c>
      <c r="K25" t="s">
        <v>861</v>
      </c>
      <c r="L25" t="s">
        <v>921</v>
      </c>
      <c r="M25" t="s">
        <v>592</v>
      </c>
      <c r="N25" s="11">
        <v>301890638</v>
      </c>
      <c r="O25" s="2">
        <v>42151</v>
      </c>
      <c r="P25" t="s">
        <v>81</v>
      </c>
      <c r="Q25" s="2">
        <v>18712</v>
      </c>
      <c r="R25" s="3">
        <f>(Tabla1[[#This Row],[FECHA_TRASPLANTE]]-Tabla1[[#This Row],[FECHA_NAC]])/365.25</f>
        <v>64.172484599589325</v>
      </c>
      <c r="S25" t="s">
        <v>896</v>
      </c>
      <c r="T25"/>
      <c r="W25" t="s">
        <v>82</v>
      </c>
      <c r="X25" t="s">
        <v>1183</v>
      </c>
      <c r="AM25" t="s">
        <v>106</v>
      </c>
      <c r="AO25"/>
      <c r="AV25" s="2"/>
      <c r="AZ25"/>
      <c r="BT25" s="2">
        <f>Tabla1[[#This Row],[FECHA_TRASPLANTE]]</f>
        <v>42151</v>
      </c>
      <c r="BU25">
        <f>IF(Tabla1[[#This Row],[FALLECIDO SI/NO]]="NO",0,1)</f>
        <v>0</v>
      </c>
      <c r="BV25" s="3">
        <f ca="1">IF(Tabla1[[#This Row],[FALLECIDO_COD]]=0,TODAY()-Tabla1[[#This Row],[FECHA_TRASPLANTE]],Tabla1[[#This Row],[FECHA DE DEFUNCIÓN]]-Tabla1[[#This Row],[FECHA_TRASPLANTE]])</f>
        <v>3724</v>
      </c>
      <c r="BW25" s="3">
        <f ca="1">IF(Tabla1[[#This Row],[FALLECIDO_COD]]=0,TODAY()-Tabla1[[#This Row],[FECHA_TRASPLANTE]],Tabla1[[#This Row],[FECHA DE DEFUNCIÓN]]-Tabla1[[#This Row],[FECHA_TRASPLANTE]])/30.4375</f>
        <v>122.34907597535934</v>
      </c>
      <c r="BX25" s="3">
        <f ca="1">IF(Tabla1[[#This Row],[FALLECIDO_COD]]=0,TODAY()-Tabla1[[#This Row],[FECHA_TRASPLANTE]],Tabla1[[#This Row],[FECHA DE DEFUNCIÓN]]-Tabla1[[#This Row],[FECHA_TRASPLANTE]])/365.25</f>
        <v>10.195756331279945</v>
      </c>
      <c r="BY25"/>
      <c r="BZ25"/>
    </row>
    <row r="26" spans="1:78" hidden="1" x14ac:dyDescent="0.35">
      <c r="A26" t="s">
        <v>377</v>
      </c>
      <c r="D26" t="s">
        <v>1129</v>
      </c>
      <c r="E26" t="s">
        <v>375</v>
      </c>
      <c r="I26">
        <v>115.74468085106383</v>
      </c>
      <c r="K26" t="s">
        <v>1184</v>
      </c>
      <c r="L26" t="s">
        <v>156</v>
      </c>
      <c r="M26" t="s">
        <v>1185</v>
      </c>
      <c r="N26" s="11">
        <v>503600681</v>
      </c>
      <c r="O26" s="2">
        <v>42160</v>
      </c>
      <c r="P26" t="s">
        <v>81</v>
      </c>
      <c r="Q26" s="2">
        <v>32082</v>
      </c>
      <c r="R26" s="3">
        <f>(Tabla1[[#This Row],[FECHA_TRASPLANTE]]-Tabla1[[#This Row],[FECHA_NAC]])/365.25</f>
        <v>27.592060232717316</v>
      </c>
      <c r="S26" t="s">
        <v>210</v>
      </c>
      <c r="T26"/>
      <c r="W26" t="s">
        <v>82</v>
      </c>
      <c r="X26" t="s">
        <v>125</v>
      </c>
      <c r="Y26" t="s">
        <v>1186</v>
      </c>
      <c r="Z26" t="s">
        <v>1186</v>
      </c>
      <c r="AM26" t="s">
        <v>106</v>
      </c>
      <c r="AO26"/>
      <c r="AV26" s="2"/>
      <c r="AZ26"/>
      <c r="BT26" s="2">
        <f>Tabla1[[#This Row],[FECHA_TRASPLANTE]]</f>
        <v>42160</v>
      </c>
      <c r="BU26">
        <f>IF(Tabla1[[#This Row],[FALLECIDO SI/NO]]="NO",0,1)</f>
        <v>0</v>
      </c>
      <c r="BV26" s="3">
        <f ca="1">IF(Tabla1[[#This Row],[FALLECIDO_COD]]=0,TODAY()-Tabla1[[#This Row],[FECHA_TRASPLANTE]],Tabla1[[#This Row],[FECHA DE DEFUNCIÓN]]-Tabla1[[#This Row],[FECHA_TRASPLANTE]])</f>
        <v>3715</v>
      </c>
      <c r="BW26" s="3">
        <f ca="1">IF(Tabla1[[#This Row],[FALLECIDO_COD]]=0,TODAY()-Tabla1[[#This Row],[FECHA_TRASPLANTE]],Tabla1[[#This Row],[FECHA DE DEFUNCIÓN]]-Tabla1[[#This Row],[FECHA_TRASPLANTE]])/30.4375</f>
        <v>122.05338809034907</v>
      </c>
      <c r="BX26" s="3">
        <f ca="1">IF(Tabla1[[#This Row],[FALLECIDO_COD]]=0,TODAY()-Tabla1[[#This Row],[FECHA_TRASPLANTE]],Tabla1[[#This Row],[FECHA DE DEFUNCIÓN]]-Tabla1[[#This Row],[FECHA_TRASPLANTE]])/365.25</f>
        <v>10.171115674195756</v>
      </c>
      <c r="BY26"/>
      <c r="BZ26"/>
    </row>
    <row r="27" spans="1:78" hidden="1" x14ac:dyDescent="0.35">
      <c r="A27" t="s">
        <v>377</v>
      </c>
      <c r="D27" t="s">
        <v>1129</v>
      </c>
      <c r="E27" t="s">
        <v>77</v>
      </c>
      <c r="I27">
        <v>115.761153054221</v>
      </c>
      <c r="J27" t="s">
        <v>1187</v>
      </c>
      <c r="K27" t="s">
        <v>1188</v>
      </c>
      <c r="L27" t="s">
        <v>289</v>
      </c>
      <c r="M27" t="s">
        <v>1189</v>
      </c>
      <c r="N27" s="11">
        <v>304190038</v>
      </c>
      <c r="O27" s="2">
        <v>42166</v>
      </c>
      <c r="P27" t="s">
        <v>81</v>
      </c>
      <c r="Q27" s="2">
        <v>31879</v>
      </c>
      <c r="R27" s="3">
        <f>(Tabla1[[#This Row],[FECHA_TRASPLANTE]]-Tabla1[[#This Row],[FECHA_NAC]])/365.25</f>
        <v>28.164271047227928</v>
      </c>
      <c r="S27" t="s">
        <v>200</v>
      </c>
      <c r="T27"/>
      <c r="W27" t="s">
        <v>82</v>
      </c>
      <c r="X27" t="s">
        <v>1145</v>
      </c>
      <c r="AM27" t="s">
        <v>86</v>
      </c>
      <c r="AN27" s="2">
        <v>44374</v>
      </c>
      <c r="AO27"/>
      <c r="AV27" s="2"/>
      <c r="AZ27"/>
      <c r="BT27" s="2">
        <f>Tabla1[[#This Row],[FECHA_TRASPLANTE]]</f>
        <v>42166</v>
      </c>
      <c r="BU27">
        <f>IF(Tabla1[[#This Row],[FALLECIDO SI/NO]]="NO",0,1)</f>
        <v>1</v>
      </c>
      <c r="BV27" s="3">
        <f ca="1">IF(Tabla1[[#This Row],[FALLECIDO_COD]]=0,TODAY()-Tabla1[[#This Row],[FECHA_TRASPLANTE]],Tabla1[[#This Row],[FECHA DE DEFUNCIÓN]]-Tabla1[[#This Row],[FECHA_TRASPLANTE]])</f>
        <v>2208</v>
      </c>
      <c r="BW27" s="3">
        <f ca="1">IF(Tabla1[[#This Row],[FALLECIDO_COD]]=0,TODAY()-Tabla1[[#This Row],[FECHA_TRASPLANTE]],Tabla1[[#This Row],[FECHA DE DEFUNCIÓN]]-Tabla1[[#This Row],[FECHA_TRASPLANTE]])/30.4375</f>
        <v>72.542094455852151</v>
      </c>
      <c r="BX27" s="3">
        <f ca="1">IF(Tabla1[[#This Row],[FALLECIDO_COD]]=0,TODAY()-Tabla1[[#This Row],[FECHA_TRASPLANTE]],Tabla1[[#This Row],[FECHA DE DEFUNCIÓN]]-Tabla1[[#This Row],[FECHA_TRASPLANTE]])/365.25</f>
        <v>6.0451745379876796</v>
      </c>
      <c r="BY27"/>
      <c r="BZ27"/>
    </row>
    <row r="28" spans="1:78" hidden="1" x14ac:dyDescent="0.35">
      <c r="A28" t="s">
        <v>377</v>
      </c>
      <c r="D28" t="s">
        <v>1129</v>
      </c>
      <c r="E28" t="s">
        <v>77</v>
      </c>
      <c r="I28">
        <v>115.761153054221</v>
      </c>
      <c r="J28" t="s">
        <v>1187</v>
      </c>
      <c r="K28" t="s">
        <v>1190</v>
      </c>
      <c r="L28" t="s">
        <v>108</v>
      </c>
      <c r="M28" t="s">
        <v>408</v>
      </c>
      <c r="N28" s="11">
        <v>900930755</v>
      </c>
      <c r="O28" s="2">
        <v>42166</v>
      </c>
      <c r="P28" t="s">
        <v>81</v>
      </c>
      <c r="Q28" s="2">
        <v>28157</v>
      </c>
      <c r="R28" s="3">
        <f>(Tabla1[[#This Row],[FECHA_TRASPLANTE]]-Tabla1[[#This Row],[FECHA_NAC]])/365.25</f>
        <v>38.35455167693361</v>
      </c>
      <c r="S28" t="s">
        <v>200</v>
      </c>
      <c r="T28"/>
      <c r="W28" t="s">
        <v>82</v>
      </c>
      <c r="X28" t="s">
        <v>125</v>
      </c>
      <c r="Y28" t="s">
        <v>1186</v>
      </c>
      <c r="Z28" t="s">
        <v>1186</v>
      </c>
      <c r="AM28" t="s">
        <v>106</v>
      </c>
      <c r="AO28"/>
      <c r="AV28" s="2"/>
      <c r="AZ28"/>
      <c r="BT28" s="2">
        <f>Tabla1[[#This Row],[FECHA_TRASPLANTE]]</f>
        <v>42166</v>
      </c>
      <c r="BU28">
        <f>IF(Tabla1[[#This Row],[FALLECIDO SI/NO]]="NO",0,1)</f>
        <v>0</v>
      </c>
      <c r="BV28" s="3">
        <f ca="1">IF(Tabla1[[#This Row],[FALLECIDO_COD]]=0,TODAY()-Tabla1[[#This Row],[FECHA_TRASPLANTE]],Tabla1[[#This Row],[FECHA DE DEFUNCIÓN]]-Tabla1[[#This Row],[FECHA_TRASPLANTE]])</f>
        <v>3709</v>
      </c>
      <c r="BW28" s="3">
        <f ca="1">IF(Tabla1[[#This Row],[FALLECIDO_COD]]=0,TODAY()-Tabla1[[#This Row],[FECHA_TRASPLANTE]],Tabla1[[#This Row],[FECHA DE DEFUNCIÓN]]-Tabla1[[#This Row],[FECHA_TRASPLANTE]])/30.4375</f>
        <v>121.85626283367556</v>
      </c>
      <c r="BX28" s="3">
        <f ca="1">IF(Tabla1[[#This Row],[FALLECIDO_COD]]=0,TODAY()-Tabla1[[#This Row],[FECHA_TRASPLANTE]],Tabla1[[#This Row],[FECHA DE DEFUNCIÓN]]-Tabla1[[#This Row],[FECHA_TRASPLANTE]])/365.25</f>
        <v>10.154688569472963</v>
      </c>
      <c r="BY28"/>
      <c r="BZ28"/>
    </row>
    <row r="29" spans="1:78" hidden="1" x14ac:dyDescent="0.35">
      <c r="A29" t="s">
        <v>377</v>
      </c>
      <c r="D29" t="s">
        <v>1129</v>
      </c>
      <c r="E29" t="s">
        <v>375</v>
      </c>
      <c r="I29">
        <v>115.77762525737818</v>
      </c>
      <c r="J29" t="s">
        <v>1191</v>
      </c>
      <c r="K29" t="s">
        <v>1192</v>
      </c>
      <c r="L29" t="s">
        <v>571</v>
      </c>
      <c r="M29" t="s">
        <v>753</v>
      </c>
      <c r="N29" s="11">
        <v>501640541</v>
      </c>
      <c r="O29" s="2">
        <v>42172</v>
      </c>
      <c r="P29" t="s">
        <v>81</v>
      </c>
      <c r="Q29" s="2">
        <v>20737</v>
      </c>
      <c r="R29" s="3">
        <f>(Tabla1[[#This Row],[FECHA_TRASPLANTE]]-Tabla1[[#This Row],[FECHA_NAC]])/365.25</f>
        <v>58.685831622176593</v>
      </c>
      <c r="S29" t="s">
        <v>210</v>
      </c>
      <c r="T29"/>
      <c r="W29" t="s">
        <v>82</v>
      </c>
      <c r="X29" t="s">
        <v>1145</v>
      </c>
      <c r="AM29" t="s">
        <v>86</v>
      </c>
      <c r="AN29" s="2">
        <v>42784</v>
      </c>
      <c r="AO29"/>
      <c r="AV29" s="2"/>
      <c r="AZ29"/>
      <c r="BT29" s="2">
        <f>Tabla1[[#This Row],[FECHA_TRASPLANTE]]</f>
        <v>42172</v>
      </c>
      <c r="BU29">
        <f>IF(Tabla1[[#This Row],[FALLECIDO SI/NO]]="NO",0,1)</f>
        <v>1</v>
      </c>
      <c r="BV29" s="3">
        <f ca="1">IF(Tabla1[[#This Row],[FALLECIDO_COD]]=0,TODAY()-Tabla1[[#This Row],[FECHA_TRASPLANTE]],Tabla1[[#This Row],[FECHA DE DEFUNCIÓN]]-Tabla1[[#This Row],[FECHA_TRASPLANTE]])</f>
        <v>612</v>
      </c>
      <c r="BW29" s="3">
        <f ca="1">IF(Tabla1[[#This Row],[FALLECIDO_COD]]=0,TODAY()-Tabla1[[#This Row],[FECHA_TRASPLANTE]],Tabla1[[#This Row],[FECHA DE DEFUNCIÓN]]-Tabla1[[#This Row],[FECHA_TRASPLANTE]])/30.4375</f>
        <v>20.106776180698152</v>
      </c>
      <c r="BX29" s="3">
        <f ca="1">IF(Tabla1[[#This Row],[FALLECIDO_COD]]=0,TODAY()-Tabla1[[#This Row],[FECHA_TRASPLANTE]],Tabla1[[#This Row],[FECHA DE DEFUNCIÓN]]-Tabla1[[#This Row],[FECHA_TRASPLANTE]])/365.25</f>
        <v>1.675564681724846</v>
      </c>
      <c r="BY29"/>
      <c r="BZ29"/>
    </row>
    <row r="30" spans="1:78" hidden="1" x14ac:dyDescent="0.35">
      <c r="A30" t="s">
        <v>377</v>
      </c>
      <c r="D30" t="s">
        <v>1129</v>
      </c>
      <c r="E30" t="s">
        <v>375</v>
      </c>
      <c r="I30">
        <v>115.79684282772821</v>
      </c>
      <c r="J30" t="s">
        <v>1193</v>
      </c>
      <c r="K30" t="s">
        <v>1194</v>
      </c>
      <c r="L30" t="s">
        <v>1195</v>
      </c>
      <c r="M30" t="s">
        <v>195</v>
      </c>
      <c r="N30" s="11">
        <v>203850115</v>
      </c>
      <c r="O30" s="2">
        <v>42179</v>
      </c>
      <c r="P30" t="s">
        <v>81</v>
      </c>
      <c r="Q30" s="2">
        <v>23247</v>
      </c>
      <c r="R30" s="3">
        <f>(Tabla1[[#This Row],[FECHA_TRASPLANTE]]-Tabla1[[#This Row],[FECHA_NAC]])/365.25</f>
        <v>51.832991101984945</v>
      </c>
      <c r="S30" t="s">
        <v>200</v>
      </c>
      <c r="T30"/>
      <c r="W30" t="s">
        <v>82</v>
      </c>
      <c r="X30" t="s">
        <v>115</v>
      </c>
      <c r="Y30" t="s">
        <v>84</v>
      </c>
      <c r="Z30" t="s">
        <v>510</v>
      </c>
      <c r="AM30" t="s">
        <v>106</v>
      </c>
      <c r="AO30"/>
      <c r="AV30" s="2"/>
      <c r="AZ30"/>
      <c r="BT30" s="2">
        <f>Tabla1[[#This Row],[FECHA_TRASPLANTE]]</f>
        <v>42179</v>
      </c>
      <c r="BU30">
        <f>IF(Tabla1[[#This Row],[FALLECIDO SI/NO]]="NO",0,1)</f>
        <v>0</v>
      </c>
      <c r="BV30" s="3">
        <f ca="1">IF(Tabla1[[#This Row],[FALLECIDO_COD]]=0,TODAY()-Tabla1[[#This Row],[FECHA_TRASPLANTE]],Tabla1[[#This Row],[FECHA DE DEFUNCIÓN]]-Tabla1[[#This Row],[FECHA_TRASPLANTE]])</f>
        <v>3696</v>
      </c>
      <c r="BW30" s="3">
        <f ca="1">IF(Tabla1[[#This Row],[FALLECIDO_COD]]=0,TODAY()-Tabla1[[#This Row],[FECHA_TRASPLANTE]],Tabla1[[#This Row],[FECHA DE DEFUNCIÓN]]-Tabla1[[#This Row],[FECHA_TRASPLANTE]])/30.4375</f>
        <v>121.42915811088295</v>
      </c>
      <c r="BX30" s="3">
        <f ca="1">IF(Tabla1[[#This Row],[FALLECIDO_COD]]=0,TODAY()-Tabla1[[#This Row],[FECHA_TRASPLANTE]],Tabla1[[#This Row],[FECHA DE DEFUNCIÓN]]-Tabla1[[#This Row],[FECHA_TRASPLANTE]])/365.25</f>
        <v>10.119096509240247</v>
      </c>
      <c r="BY30"/>
      <c r="BZ30"/>
    </row>
    <row r="31" spans="1:78" hidden="1" x14ac:dyDescent="0.35">
      <c r="A31" t="s">
        <v>377</v>
      </c>
      <c r="D31" t="s">
        <v>1129</v>
      </c>
      <c r="E31" t="s">
        <v>375</v>
      </c>
      <c r="I31">
        <v>115.81606039807825</v>
      </c>
      <c r="J31" t="s">
        <v>1160</v>
      </c>
      <c r="K31" t="s">
        <v>1196</v>
      </c>
      <c r="L31" t="s">
        <v>441</v>
      </c>
      <c r="M31" t="s">
        <v>109</v>
      </c>
      <c r="N31" s="11">
        <v>206670201</v>
      </c>
      <c r="O31" s="2">
        <v>42186</v>
      </c>
      <c r="P31" t="s">
        <v>81</v>
      </c>
      <c r="Q31" s="2">
        <v>32829</v>
      </c>
      <c r="R31" s="3">
        <f>(Tabla1[[#This Row],[FECHA_TRASPLANTE]]-Tabla1[[#This Row],[FECHA_NAC]])/365.25</f>
        <v>25.618069815195071</v>
      </c>
      <c r="S31" t="s">
        <v>210</v>
      </c>
      <c r="T31"/>
      <c r="W31" t="s">
        <v>82</v>
      </c>
      <c r="X31" t="s">
        <v>115</v>
      </c>
      <c r="Y31" t="s">
        <v>426</v>
      </c>
      <c r="Z31" t="s">
        <v>426</v>
      </c>
      <c r="AM31" t="s">
        <v>106</v>
      </c>
      <c r="AO31"/>
      <c r="AV31" s="2"/>
      <c r="AZ31"/>
      <c r="BT31" s="2">
        <f>Tabla1[[#This Row],[FECHA_TRASPLANTE]]</f>
        <v>42186</v>
      </c>
      <c r="BU31">
        <f>IF(Tabla1[[#This Row],[FALLECIDO SI/NO]]="NO",0,1)</f>
        <v>0</v>
      </c>
      <c r="BV31" s="3">
        <f ca="1">IF(Tabla1[[#This Row],[FALLECIDO_COD]]=0,TODAY()-Tabla1[[#This Row],[FECHA_TRASPLANTE]],Tabla1[[#This Row],[FECHA DE DEFUNCIÓN]]-Tabla1[[#This Row],[FECHA_TRASPLANTE]])</f>
        <v>3689</v>
      </c>
      <c r="BW31" s="3">
        <f ca="1">IF(Tabla1[[#This Row],[FALLECIDO_COD]]=0,TODAY()-Tabla1[[#This Row],[FECHA_TRASPLANTE]],Tabla1[[#This Row],[FECHA DE DEFUNCIÓN]]-Tabla1[[#This Row],[FECHA_TRASPLANTE]])/30.4375</f>
        <v>121.19917864476386</v>
      </c>
      <c r="BX31" s="3">
        <f ca="1">IF(Tabla1[[#This Row],[FALLECIDO_COD]]=0,TODAY()-Tabla1[[#This Row],[FECHA_TRASPLANTE]],Tabla1[[#This Row],[FECHA DE DEFUNCIÓN]]-Tabla1[[#This Row],[FECHA_TRASPLANTE]])/365.25</f>
        <v>10.099931553730322</v>
      </c>
      <c r="BY31"/>
      <c r="BZ31"/>
    </row>
    <row r="32" spans="1:78" hidden="1" x14ac:dyDescent="0.35">
      <c r="A32" t="s">
        <v>377</v>
      </c>
      <c r="D32" t="s">
        <v>1129</v>
      </c>
      <c r="E32" t="s">
        <v>375</v>
      </c>
      <c r="I32">
        <v>115.840768702814</v>
      </c>
      <c r="J32" t="s">
        <v>1197</v>
      </c>
      <c r="K32" t="s">
        <v>1198</v>
      </c>
      <c r="L32" t="s">
        <v>1080</v>
      </c>
      <c r="M32" t="s">
        <v>1067</v>
      </c>
      <c r="N32" s="11">
        <v>702330172</v>
      </c>
      <c r="O32" s="2">
        <v>42195</v>
      </c>
      <c r="P32" t="s">
        <v>81</v>
      </c>
      <c r="Q32" s="2">
        <v>34728</v>
      </c>
      <c r="R32" s="3">
        <f>(Tabla1[[#This Row],[FECHA_TRASPLANTE]]-Tabla1[[#This Row],[FECHA_NAC]])/365.25</f>
        <v>20.4435318275154</v>
      </c>
      <c r="S32" t="s">
        <v>205</v>
      </c>
      <c r="T32"/>
      <c r="W32" t="s">
        <v>82</v>
      </c>
      <c r="X32" t="s">
        <v>1136</v>
      </c>
      <c r="AM32" t="s">
        <v>106</v>
      </c>
      <c r="AO32"/>
      <c r="AV32" s="2"/>
      <c r="AZ32"/>
      <c r="BT32" s="2">
        <f>Tabla1[[#This Row],[FECHA_TRASPLANTE]]</f>
        <v>42195</v>
      </c>
      <c r="BU32">
        <f>IF(Tabla1[[#This Row],[FALLECIDO SI/NO]]="NO",0,1)</f>
        <v>0</v>
      </c>
      <c r="BV32" s="3">
        <f ca="1">IF(Tabla1[[#This Row],[FALLECIDO_COD]]=0,TODAY()-Tabla1[[#This Row],[FECHA_TRASPLANTE]],Tabla1[[#This Row],[FECHA DE DEFUNCIÓN]]-Tabla1[[#This Row],[FECHA_TRASPLANTE]])</f>
        <v>3680</v>
      </c>
      <c r="BW32" s="3">
        <f ca="1">IF(Tabla1[[#This Row],[FALLECIDO_COD]]=0,TODAY()-Tabla1[[#This Row],[FECHA_TRASPLANTE]],Tabla1[[#This Row],[FECHA DE DEFUNCIÓN]]-Tabla1[[#This Row],[FECHA_TRASPLANTE]])/30.4375</f>
        <v>120.90349075975359</v>
      </c>
      <c r="BX32" s="3">
        <f ca="1">IF(Tabla1[[#This Row],[FALLECIDO_COD]]=0,TODAY()-Tabla1[[#This Row],[FECHA_TRASPLANTE]],Tabla1[[#This Row],[FECHA DE DEFUNCIÓN]]-Tabla1[[#This Row],[FECHA_TRASPLANTE]])/365.25</f>
        <v>10.075290896646132</v>
      </c>
      <c r="BY32"/>
      <c r="BZ32"/>
    </row>
    <row r="33" spans="1:78" hidden="1" x14ac:dyDescent="0.35">
      <c r="A33" t="s">
        <v>377</v>
      </c>
      <c r="D33" t="s">
        <v>1129</v>
      </c>
      <c r="E33" t="s">
        <v>375</v>
      </c>
      <c r="I33">
        <v>115.87371310912835</v>
      </c>
      <c r="K33" t="s">
        <v>1199</v>
      </c>
      <c r="L33" t="s">
        <v>901</v>
      </c>
      <c r="M33" t="s">
        <v>1200</v>
      </c>
      <c r="N33" s="11">
        <v>700620664</v>
      </c>
      <c r="O33" s="2">
        <v>42207</v>
      </c>
      <c r="P33" t="s">
        <v>90</v>
      </c>
      <c r="Q33" s="2">
        <v>20989</v>
      </c>
      <c r="R33" s="3">
        <f>(Tabla1[[#This Row],[FECHA_TRASPLANTE]]-Tabla1[[#This Row],[FECHA_NAC]])/365.25</f>
        <v>58.091718001368925</v>
      </c>
      <c r="S33" t="s">
        <v>210</v>
      </c>
      <c r="T33"/>
      <c r="W33" t="s">
        <v>82</v>
      </c>
      <c r="X33" t="s">
        <v>1136</v>
      </c>
      <c r="AM33" t="s">
        <v>106</v>
      </c>
      <c r="AO33"/>
      <c r="AV33" s="2"/>
      <c r="AZ33"/>
      <c r="BT33" s="2">
        <f>Tabla1[[#This Row],[FECHA_TRASPLANTE]]</f>
        <v>42207</v>
      </c>
      <c r="BU33">
        <f>IF(Tabla1[[#This Row],[FALLECIDO SI/NO]]="NO",0,1)</f>
        <v>0</v>
      </c>
      <c r="BV33" s="3">
        <f ca="1">IF(Tabla1[[#This Row],[FALLECIDO_COD]]=0,TODAY()-Tabla1[[#This Row],[FECHA_TRASPLANTE]],Tabla1[[#This Row],[FECHA DE DEFUNCIÓN]]-Tabla1[[#This Row],[FECHA_TRASPLANTE]])</f>
        <v>3668</v>
      </c>
      <c r="BW33" s="3">
        <f ca="1">IF(Tabla1[[#This Row],[FALLECIDO_COD]]=0,TODAY()-Tabla1[[#This Row],[FECHA_TRASPLANTE]],Tabla1[[#This Row],[FECHA DE DEFUNCIÓN]]-Tabla1[[#This Row],[FECHA_TRASPLANTE]])/30.4375</f>
        <v>120.50924024640658</v>
      </c>
      <c r="BX33" s="3">
        <f ca="1">IF(Tabla1[[#This Row],[FALLECIDO_COD]]=0,TODAY()-Tabla1[[#This Row],[FECHA_TRASPLANTE]],Tabla1[[#This Row],[FECHA DE DEFUNCIÓN]]-Tabla1[[#This Row],[FECHA_TRASPLANTE]])/365.25</f>
        <v>10.042436687200547</v>
      </c>
      <c r="BY33"/>
      <c r="BZ33"/>
    </row>
    <row r="34" spans="1:78" hidden="1" x14ac:dyDescent="0.35">
      <c r="A34" t="s">
        <v>377</v>
      </c>
      <c r="D34" t="s">
        <v>1129</v>
      </c>
      <c r="E34" t="s">
        <v>77</v>
      </c>
      <c r="I34">
        <v>115.8764584763212</v>
      </c>
      <c r="K34" t="s">
        <v>1201</v>
      </c>
      <c r="L34" t="s">
        <v>99</v>
      </c>
      <c r="M34" t="s">
        <v>109</v>
      </c>
      <c r="N34" s="11">
        <v>401920063</v>
      </c>
      <c r="O34" s="2">
        <v>42208</v>
      </c>
      <c r="P34" t="s">
        <v>90</v>
      </c>
      <c r="Q34" s="2">
        <v>31643</v>
      </c>
      <c r="R34" s="3">
        <f>(Tabla1[[#This Row],[FECHA_TRASPLANTE]]-Tabla1[[#This Row],[FECHA_NAC]])/365.25</f>
        <v>28.925393566050651</v>
      </c>
      <c r="S34" t="s">
        <v>200</v>
      </c>
      <c r="T34"/>
      <c r="W34" t="s">
        <v>82</v>
      </c>
      <c r="X34" t="s">
        <v>1136</v>
      </c>
      <c r="AM34" t="s">
        <v>106</v>
      </c>
      <c r="AO34"/>
      <c r="AV34" s="2"/>
      <c r="AZ34"/>
      <c r="BT34" s="2">
        <f>Tabla1[[#This Row],[FECHA_TRASPLANTE]]</f>
        <v>42208</v>
      </c>
      <c r="BU34">
        <f>IF(Tabla1[[#This Row],[FALLECIDO SI/NO]]="NO",0,1)</f>
        <v>0</v>
      </c>
      <c r="BV34" s="3">
        <f ca="1">IF(Tabla1[[#This Row],[FALLECIDO_COD]]=0,TODAY()-Tabla1[[#This Row],[FECHA_TRASPLANTE]],Tabla1[[#This Row],[FECHA DE DEFUNCIÓN]]-Tabla1[[#This Row],[FECHA_TRASPLANTE]])</f>
        <v>3667</v>
      </c>
      <c r="BW34" s="3">
        <f ca="1">IF(Tabla1[[#This Row],[FALLECIDO_COD]]=0,TODAY()-Tabla1[[#This Row],[FECHA_TRASPLANTE]],Tabla1[[#This Row],[FECHA DE DEFUNCIÓN]]-Tabla1[[#This Row],[FECHA_TRASPLANTE]])/30.4375</f>
        <v>120.47638603696099</v>
      </c>
      <c r="BX34" s="3">
        <f ca="1">IF(Tabla1[[#This Row],[FALLECIDO_COD]]=0,TODAY()-Tabla1[[#This Row],[FECHA_TRASPLANTE]],Tabla1[[#This Row],[FECHA DE DEFUNCIÓN]]-Tabla1[[#This Row],[FECHA_TRASPLANTE]])/365.25</f>
        <v>10.039698836413416</v>
      </c>
      <c r="BY34"/>
      <c r="BZ34"/>
    </row>
    <row r="35" spans="1:78" hidden="1" x14ac:dyDescent="0.35">
      <c r="A35" t="s">
        <v>377</v>
      </c>
      <c r="D35" t="s">
        <v>1129</v>
      </c>
      <c r="E35" t="s">
        <v>375</v>
      </c>
      <c r="I35">
        <v>115.89293067947838</v>
      </c>
      <c r="J35" t="s">
        <v>1202</v>
      </c>
      <c r="K35" t="s">
        <v>1203</v>
      </c>
      <c r="L35" t="s">
        <v>1143</v>
      </c>
      <c r="M35" t="s">
        <v>479</v>
      </c>
      <c r="N35" s="11">
        <v>502030535</v>
      </c>
      <c r="O35" s="2">
        <v>42214</v>
      </c>
      <c r="P35" t="s">
        <v>81</v>
      </c>
      <c r="Q35" s="2">
        <v>22956</v>
      </c>
      <c r="R35" s="3">
        <f>(Tabla1[[#This Row],[FECHA_TRASPLANTE]]-Tabla1[[#This Row],[FECHA_NAC]])/365.25</f>
        <v>52.725530458590008</v>
      </c>
      <c r="S35" t="s">
        <v>200</v>
      </c>
      <c r="T35"/>
      <c r="W35" t="s">
        <v>82</v>
      </c>
      <c r="X35" t="s">
        <v>1145</v>
      </c>
      <c r="AM35" t="s">
        <v>106</v>
      </c>
      <c r="AO35"/>
      <c r="AV35" s="2"/>
      <c r="AZ35"/>
      <c r="BT35" s="2">
        <f>Tabla1[[#This Row],[FECHA_TRASPLANTE]]</f>
        <v>42214</v>
      </c>
      <c r="BU35">
        <f>IF(Tabla1[[#This Row],[FALLECIDO SI/NO]]="NO",0,1)</f>
        <v>0</v>
      </c>
      <c r="BV35" s="3">
        <f ca="1">IF(Tabla1[[#This Row],[FALLECIDO_COD]]=0,TODAY()-Tabla1[[#This Row],[FECHA_TRASPLANTE]],Tabla1[[#This Row],[FECHA DE DEFUNCIÓN]]-Tabla1[[#This Row],[FECHA_TRASPLANTE]])</f>
        <v>3661</v>
      </c>
      <c r="BW35" s="3">
        <f ca="1">IF(Tabla1[[#This Row],[FALLECIDO_COD]]=0,TODAY()-Tabla1[[#This Row],[FECHA_TRASPLANTE]],Tabla1[[#This Row],[FECHA DE DEFUNCIÓN]]-Tabla1[[#This Row],[FECHA_TRASPLANTE]])/30.4375</f>
        <v>120.27926078028747</v>
      </c>
      <c r="BX35" s="3">
        <f ca="1">IF(Tabla1[[#This Row],[FALLECIDO_COD]]=0,TODAY()-Tabla1[[#This Row],[FECHA_TRASPLANTE]],Tabla1[[#This Row],[FECHA DE DEFUNCIÓN]]-Tabla1[[#This Row],[FECHA_TRASPLANTE]])/365.25</f>
        <v>10.023271731690622</v>
      </c>
      <c r="BY35"/>
      <c r="BZ35"/>
    </row>
    <row r="36" spans="1:78" hidden="1" x14ac:dyDescent="0.35">
      <c r="A36" t="s">
        <v>377</v>
      </c>
      <c r="D36" t="s">
        <v>1129</v>
      </c>
      <c r="E36" t="s">
        <v>375</v>
      </c>
      <c r="I36">
        <v>115.89293067947838</v>
      </c>
      <c r="J36" t="s">
        <v>1202</v>
      </c>
      <c r="K36" t="s">
        <v>1203</v>
      </c>
      <c r="L36" t="s">
        <v>1143</v>
      </c>
      <c r="M36" t="s">
        <v>479</v>
      </c>
      <c r="N36" s="11">
        <v>502030535</v>
      </c>
      <c r="O36" s="2">
        <v>42214</v>
      </c>
      <c r="P36" t="s">
        <v>81</v>
      </c>
      <c r="Q36" s="2">
        <v>22956</v>
      </c>
      <c r="R36" s="3">
        <f>(Tabla1[[#This Row],[FECHA_TRASPLANTE]]-Tabla1[[#This Row],[FECHA_NAC]])/365.25</f>
        <v>52.725530458590008</v>
      </c>
      <c r="S36" t="s">
        <v>200</v>
      </c>
      <c r="T36"/>
      <c r="W36" t="s">
        <v>82</v>
      </c>
      <c r="X36" t="s">
        <v>125</v>
      </c>
      <c r="Y36" t="s">
        <v>1186</v>
      </c>
      <c r="Z36" t="s">
        <v>1186</v>
      </c>
      <c r="AM36" t="s">
        <v>106</v>
      </c>
      <c r="AO36"/>
      <c r="AV36" s="2"/>
      <c r="AZ36"/>
      <c r="BT36" s="2">
        <f>Tabla1[[#This Row],[FECHA_TRASPLANTE]]</f>
        <v>42214</v>
      </c>
      <c r="BU36">
        <f>IF(Tabla1[[#This Row],[FALLECIDO SI/NO]]="NO",0,1)</f>
        <v>0</v>
      </c>
      <c r="BV36" s="3">
        <f ca="1">IF(Tabla1[[#This Row],[FALLECIDO_COD]]=0,TODAY()-Tabla1[[#This Row],[FECHA_TRASPLANTE]],Tabla1[[#This Row],[FECHA DE DEFUNCIÓN]]-Tabla1[[#This Row],[FECHA_TRASPLANTE]])</f>
        <v>3661</v>
      </c>
      <c r="BW36" s="3">
        <f ca="1">IF(Tabla1[[#This Row],[FALLECIDO_COD]]=0,TODAY()-Tabla1[[#This Row],[FECHA_TRASPLANTE]],Tabla1[[#This Row],[FECHA DE DEFUNCIÓN]]-Tabla1[[#This Row],[FECHA_TRASPLANTE]])/30.4375</f>
        <v>120.27926078028747</v>
      </c>
      <c r="BX36" s="3">
        <f ca="1">IF(Tabla1[[#This Row],[FALLECIDO_COD]]=0,TODAY()-Tabla1[[#This Row],[FECHA_TRASPLANTE]],Tabla1[[#This Row],[FECHA DE DEFUNCIÓN]]-Tabla1[[#This Row],[FECHA_TRASPLANTE]])/365.25</f>
        <v>10.023271731690622</v>
      </c>
      <c r="BY36"/>
      <c r="BZ36"/>
    </row>
    <row r="37" spans="1:78" hidden="1" x14ac:dyDescent="0.35">
      <c r="A37" t="s">
        <v>377</v>
      </c>
      <c r="D37" t="s">
        <v>1129</v>
      </c>
      <c r="E37" t="s">
        <v>375</v>
      </c>
      <c r="I37">
        <v>115.90940288263555</v>
      </c>
      <c r="J37" t="s">
        <v>1180</v>
      </c>
      <c r="K37" t="s">
        <v>1204</v>
      </c>
      <c r="L37" t="s">
        <v>94</v>
      </c>
      <c r="M37" t="s">
        <v>692</v>
      </c>
      <c r="N37" s="11">
        <v>401600943</v>
      </c>
      <c r="O37" s="2">
        <v>42220</v>
      </c>
      <c r="P37" t="s">
        <v>81</v>
      </c>
      <c r="Q37" s="2">
        <v>27470</v>
      </c>
      <c r="R37" s="3">
        <f>(Tabla1[[#This Row],[FECHA_TRASPLANTE]]-Tabla1[[#This Row],[FECHA_NAC]])/365.25</f>
        <v>40.383299110198493</v>
      </c>
      <c r="S37" t="s">
        <v>210</v>
      </c>
      <c r="T37"/>
      <c r="W37" t="s">
        <v>82</v>
      </c>
      <c r="X37" t="s">
        <v>1136</v>
      </c>
      <c r="AM37" t="s">
        <v>106</v>
      </c>
      <c r="AO37"/>
      <c r="AV37" s="2"/>
      <c r="AZ37"/>
      <c r="BT37" s="2">
        <f>Tabla1[[#This Row],[FECHA_TRASPLANTE]]</f>
        <v>42220</v>
      </c>
      <c r="BU37">
        <f>IF(Tabla1[[#This Row],[FALLECIDO SI/NO]]="NO",0,1)</f>
        <v>0</v>
      </c>
      <c r="BV37" s="3">
        <f ca="1">IF(Tabla1[[#This Row],[FALLECIDO_COD]]=0,TODAY()-Tabla1[[#This Row],[FECHA_TRASPLANTE]],Tabla1[[#This Row],[FECHA DE DEFUNCIÓN]]-Tabla1[[#This Row],[FECHA_TRASPLANTE]])</f>
        <v>3655</v>
      </c>
      <c r="BW37" s="3">
        <f ca="1">IF(Tabla1[[#This Row],[FALLECIDO_COD]]=0,TODAY()-Tabla1[[#This Row],[FECHA_TRASPLANTE]],Tabla1[[#This Row],[FECHA DE DEFUNCIÓN]]-Tabla1[[#This Row],[FECHA_TRASPLANTE]])/30.4375</f>
        <v>120.08213552361396</v>
      </c>
      <c r="BX37" s="3">
        <f ca="1">IF(Tabla1[[#This Row],[FALLECIDO_COD]]=0,TODAY()-Tabla1[[#This Row],[FECHA_TRASPLANTE]],Tabla1[[#This Row],[FECHA DE DEFUNCIÓN]]-Tabla1[[#This Row],[FECHA_TRASPLANTE]])/365.25</f>
        <v>10.00684462696783</v>
      </c>
      <c r="BY37"/>
      <c r="BZ37"/>
    </row>
    <row r="38" spans="1:78" hidden="1" x14ac:dyDescent="0.35">
      <c r="A38" t="s">
        <v>377</v>
      </c>
      <c r="D38" t="s">
        <v>1129</v>
      </c>
      <c r="E38" t="s">
        <v>375</v>
      </c>
      <c r="I38">
        <v>115.95058339052848</v>
      </c>
      <c r="J38" t="s">
        <v>1205</v>
      </c>
      <c r="K38" t="s">
        <v>1206</v>
      </c>
      <c r="L38" t="s">
        <v>1207</v>
      </c>
      <c r="M38" t="s">
        <v>189</v>
      </c>
      <c r="N38" s="11">
        <v>1930102438</v>
      </c>
      <c r="O38" s="2">
        <v>42235</v>
      </c>
      <c r="P38" t="s">
        <v>81</v>
      </c>
      <c r="Q38" s="2">
        <v>34028</v>
      </c>
      <c r="R38" s="3">
        <f>(Tabla1[[#This Row],[FECHA_TRASPLANTE]]-Tabla1[[#This Row],[FECHA_NAC]])/365.25</f>
        <v>22.469541409993155</v>
      </c>
      <c r="S38" t="s">
        <v>200</v>
      </c>
      <c r="T38"/>
      <c r="W38" t="s">
        <v>146</v>
      </c>
      <c r="X38" t="s">
        <v>115</v>
      </c>
      <c r="Y38" t="s">
        <v>84</v>
      </c>
      <c r="Z38" t="s">
        <v>454</v>
      </c>
      <c r="AM38" t="s">
        <v>106</v>
      </c>
      <c r="AO38"/>
      <c r="AV38" s="2"/>
      <c r="AZ38"/>
      <c r="BT38" s="2">
        <f>Tabla1[[#This Row],[FECHA_TRASPLANTE]]</f>
        <v>42235</v>
      </c>
      <c r="BU38">
        <f>IF(Tabla1[[#This Row],[FALLECIDO SI/NO]]="NO",0,1)</f>
        <v>0</v>
      </c>
      <c r="BV38" s="3">
        <f ca="1">IF(Tabla1[[#This Row],[FALLECIDO_COD]]=0,TODAY()-Tabla1[[#This Row],[FECHA_TRASPLANTE]],Tabla1[[#This Row],[FECHA DE DEFUNCIÓN]]-Tabla1[[#This Row],[FECHA_TRASPLANTE]])</f>
        <v>3640</v>
      </c>
      <c r="BW38" s="3">
        <f ca="1">IF(Tabla1[[#This Row],[FALLECIDO_COD]]=0,TODAY()-Tabla1[[#This Row],[FECHA_TRASPLANTE]],Tabla1[[#This Row],[FECHA DE DEFUNCIÓN]]-Tabla1[[#This Row],[FECHA_TRASPLANTE]])/30.4375</f>
        <v>119.58932238193019</v>
      </c>
      <c r="BX38" s="3">
        <f ca="1">IF(Tabla1[[#This Row],[FALLECIDO_COD]]=0,TODAY()-Tabla1[[#This Row],[FECHA_TRASPLANTE]],Tabla1[[#This Row],[FECHA DE DEFUNCIÓN]]-Tabla1[[#This Row],[FECHA_TRASPLANTE]])/365.25</f>
        <v>9.9657768651608496</v>
      </c>
      <c r="BY38"/>
      <c r="BZ38"/>
    </row>
    <row r="39" spans="1:78" hidden="1" x14ac:dyDescent="0.35">
      <c r="A39" t="s">
        <v>377</v>
      </c>
      <c r="D39" t="s">
        <v>1129</v>
      </c>
      <c r="E39" t="s">
        <v>375</v>
      </c>
      <c r="I39">
        <v>116.01372683596431</v>
      </c>
      <c r="J39" t="s">
        <v>1160</v>
      </c>
      <c r="K39" t="s">
        <v>1208</v>
      </c>
      <c r="L39" t="s">
        <v>195</v>
      </c>
      <c r="M39" t="s">
        <v>592</v>
      </c>
      <c r="N39" s="11">
        <v>115510966</v>
      </c>
      <c r="O39" s="2">
        <v>42258</v>
      </c>
      <c r="P39" t="s">
        <v>81</v>
      </c>
      <c r="Q39" s="2">
        <v>31724</v>
      </c>
      <c r="R39" s="3">
        <f>(Tabla1[[#This Row],[FECHA_TRASPLANTE]]-Tabla1[[#This Row],[FECHA_NAC]])/365.25</f>
        <v>28.840520191649556</v>
      </c>
      <c r="S39" t="s">
        <v>200</v>
      </c>
      <c r="T39"/>
      <c r="W39" t="s">
        <v>82</v>
      </c>
      <c r="X39" t="s">
        <v>91</v>
      </c>
      <c r="Y39" t="s">
        <v>84</v>
      </c>
      <c r="Z39" t="s">
        <v>725</v>
      </c>
      <c r="AM39" t="s">
        <v>106</v>
      </c>
      <c r="AO39"/>
      <c r="AV39" s="2"/>
      <c r="AZ39"/>
      <c r="BT39" s="2">
        <f>Tabla1[[#This Row],[FECHA_TRASPLANTE]]</f>
        <v>42258</v>
      </c>
      <c r="BU39">
        <f>IF(Tabla1[[#This Row],[FALLECIDO SI/NO]]="NO",0,1)</f>
        <v>0</v>
      </c>
      <c r="BV39" s="3">
        <f ca="1">IF(Tabla1[[#This Row],[FALLECIDO_COD]]=0,TODAY()-Tabla1[[#This Row],[FECHA_TRASPLANTE]],Tabla1[[#This Row],[FECHA DE DEFUNCIÓN]]-Tabla1[[#This Row],[FECHA_TRASPLANTE]])</f>
        <v>3617</v>
      </c>
      <c r="BW39" s="3">
        <f ca="1">IF(Tabla1[[#This Row],[FALLECIDO_COD]]=0,TODAY()-Tabla1[[#This Row],[FECHA_TRASPLANTE]],Tabla1[[#This Row],[FECHA DE DEFUNCIÓN]]-Tabla1[[#This Row],[FECHA_TRASPLANTE]])/30.4375</f>
        <v>118.83367556468173</v>
      </c>
      <c r="BX39" s="3">
        <f ca="1">IF(Tabla1[[#This Row],[FALLECIDO_COD]]=0,TODAY()-Tabla1[[#This Row],[FECHA_TRASPLANTE]],Tabla1[[#This Row],[FECHA DE DEFUNCIÓN]]-Tabla1[[#This Row],[FECHA_TRASPLANTE]])/365.25</f>
        <v>9.9028062970568111</v>
      </c>
      <c r="BY39"/>
      <c r="BZ39"/>
    </row>
    <row r="40" spans="1:78" hidden="1" x14ac:dyDescent="0.35">
      <c r="A40" t="s">
        <v>377</v>
      </c>
      <c r="D40" t="s">
        <v>1129</v>
      </c>
      <c r="E40" t="s">
        <v>77</v>
      </c>
      <c r="I40">
        <v>116.01647220315718</v>
      </c>
      <c r="J40" t="s">
        <v>1209</v>
      </c>
      <c r="K40" t="s">
        <v>427</v>
      </c>
      <c r="L40" t="s">
        <v>753</v>
      </c>
      <c r="M40" t="s">
        <v>432</v>
      </c>
      <c r="N40" s="11">
        <v>205920661</v>
      </c>
      <c r="O40" s="2">
        <v>42259</v>
      </c>
      <c r="P40" t="s">
        <v>81</v>
      </c>
      <c r="Q40" s="2">
        <v>30749</v>
      </c>
      <c r="R40" s="3">
        <f>(Tabla1[[#This Row],[FECHA_TRASPLANTE]]-Tabla1[[#This Row],[FECHA_NAC]])/365.25</f>
        <v>31.512662559890487</v>
      </c>
      <c r="S40" t="s">
        <v>205</v>
      </c>
      <c r="T40"/>
      <c r="W40" t="s">
        <v>82</v>
      </c>
      <c r="X40" t="s">
        <v>822</v>
      </c>
      <c r="AM40" t="s">
        <v>86</v>
      </c>
      <c r="AN40" s="2">
        <v>42858</v>
      </c>
      <c r="AO40"/>
      <c r="AV40" s="2"/>
      <c r="AZ40"/>
      <c r="BT40" s="2">
        <f>Tabla1[[#This Row],[FECHA_TRASPLANTE]]</f>
        <v>42259</v>
      </c>
      <c r="BU40">
        <f>IF(Tabla1[[#This Row],[FALLECIDO SI/NO]]="NO",0,1)</f>
        <v>1</v>
      </c>
      <c r="BV40" s="3">
        <f ca="1">IF(Tabla1[[#This Row],[FALLECIDO_COD]]=0,TODAY()-Tabla1[[#This Row],[FECHA_TRASPLANTE]],Tabla1[[#This Row],[FECHA DE DEFUNCIÓN]]-Tabla1[[#This Row],[FECHA_TRASPLANTE]])</f>
        <v>599</v>
      </c>
      <c r="BW40" s="3">
        <f ca="1">IF(Tabla1[[#This Row],[FALLECIDO_COD]]=0,TODAY()-Tabla1[[#This Row],[FECHA_TRASPLANTE]],Tabla1[[#This Row],[FECHA DE DEFUNCIÓN]]-Tabla1[[#This Row],[FECHA_TRASPLANTE]])/30.4375</f>
        <v>19.679671457905545</v>
      </c>
      <c r="BX40" s="3">
        <f ca="1">IF(Tabla1[[#This Row],[FALLECIDO_COD]]=0,TODAY()-Tabla1[[#This Row],[FECHA_TRASPLANTE]],Tabla1[[#This Row],[FECHA DE DEFUNCIÓN]]-Tabla1[[#This Row],[FECHA_TRASPLANTE]])/365.25</f>
        <v>1.6399726214921286</v>
      </c>
      <c r="BY40"/>
      <c r="BZ40"/>
    </row>
    <row r="41" spans="1:78" hidden="1" x14ac:dyDescent="0.35">
      <c r="A41" t="s">
        <v>377</v>
      </c>
      <c r="D41" t="s">
        <v>1129</v>
      </c>
      <c r="E41" t="s">
        <v>77</v>
      </c>
      <c r="I41">
        <v>116.02470830473575</v>
      </c>
      <c r="J41" t="s">
        <v>1210</v>
      </c>
      <c r="K41" t="s">
        <v>1211</v>
      </c>
      <c r="L41" t="s">
        <v>94</v>
      </c>
      <c r="M41" t="s">
        <v>531</v>
      </c>
      <c r="N41" s="11">
        <v>900490039</v>
      </c>
      <c r="O41" s="2">
        <v>42262</v>
      </c>
      <c r="P41" t="s">
        <v>81</v>
      </c>
      <c r="Q41" s="2">
        <v>19386</v>
      </c>
      <c r="R41" s="3">
        <f>(Tabla1[[#This Row],[FECHA_TRASPLANTE]]-Tabla1[[#This Row],[FECHA_NAC]])/365.25</f>
        <v>62.631074606433948</v>
      </c>
      <c r="S41" t="s">
        <v>200</v>
      </c>
      <c r="T41"/>
      <c r="W41" t="s">
        <v>82</v>
      </c>
      <c r="X41" t="s">
        <v>261</v>
      </c>
      <c r="Y41" t="s">
        <v>84</v>
      </c>
      <c r="Z41" t="s">
        <v>261</v>
      </c>
      <c r="AM41" t="s">
        <v>106</v>
      </c>
      <c r="AO41"/>
      <c r="AV41" s="2"/>
      <c r="AZ41"/>
      <c r="BT41" s="2">
        <f>Tabla1[[#This Row],[FECHA_TRASPLANTE]]</f>
        <v>42262</v>
      </c>
      <c r="BU41">
        <f>IF(Tabla1[[#This Row],[FALLECIDO SI/NO]]="NO",0,1)</f>
        <v>0</v>
      </c>
      <c r="BV41" s="3">
        <f ca="1">IF(Tabla1[[#This Row],[FALLECIDO_COD]]=0,TODAY()-Tabla1[[#This Row],[FECHA_TRASPLANTE]],Tabla1[[#This Row],[FECHA DE DEFUNCIÓN]]-Tabla1[[#This Row],[FECHA_TRASPLANTE]])</f>
        <v>3613</v>
      </c>
      <c r="BW41" s="3">
        <f ca="1">IF(Tabla1[[#This Row],[FALLECIDO_COD]]=0,TODAY()-Tabla1[[#This Row],[FECHA_TRASPLANTE]],Tabla1[[#This Row],[FECHA DE DEFUNCIÓN]]-Tabla1[[#This Row],[FECHA_TRASPLANTE]])/30.4375</f>
        <v>118.70225872689939</v>
      </c>
      <c r="BX41" s="3">
        <f ca="1">IF(Tabla1[[#This Row],[FALLECIDO_COD]]=0,TODAY()-Tabla1[[#This Row],[FECHA_TRASPLANTE]],Tabla1[[#This Row],[FECHA DE DEFUNCIÓN]]-Tabla1[[#This Row],[FECHA_TRASPLANTE]])/365.25</f>
        <v>9.8918548939082829</v>
      </c>
      <c r="BY41"/>
      <c r="BZ41"/>
    </row>
    <row r="42" spans="1:78" hidden="1" x14ac:dyDescent="0.35">
      <c r="A42" t="s">
        <v>377</v>
      </c>
      <c r="D42" t="s">
        <v>1129</v>
      </c>
      <c r="E42" t="s">
        <v>77</v>
      </c>
      <c r="I42">
        <v>116.04392587508579</v>
      </c>
      <c r="J42" t="s">
        <v>1212</v>
      </c>
      <c r="N42" s="11">
        <v>15270893</v>
      </c>
      <c r="O42" s="2">
        <v>42269</v>
      </c>
      <c r="P42" t="s">
        <v>81</v>
      </c>
      <c r="R42" s="3">
        <f>(Tabla1[[#This Row],[FECHA_TRASPLANTE]]-Tabla1[[#This Row],[FECHA_NAC]])/365.25</f>
        <v>115.7262149212868</v>
      </c>
      <c r="S42" t="s">
        <v>344</v>
      </c>
      <c r="T42"/>
      <c r="X42" t="s">
        <v>1213</v>
      </c>
      <c r="AM42" t="s">
        <v>106</v>
      </c>
      <c r="AO42"/>
      <c r="AV42" s="2"/>
      <c r="AZ42"/>
      <c r="BT42" s="2">
        <f>Tabla1[[#This Row],[FECHA_TRASPLANTE]]</f>
        <v>42269</v>
      </c>
      <c r="BU42">
        <f>IF(Tabla1[[#This Row],[FALLECIDO SI/NO]]="NO",0,1)</f>
        <v>0</v>
      </c>
      <c r="BV42" s="3">
        <f ca="1">IF(Tabla1[[#This Row],[FALLECIDO_COD]]=0,TODAY()-Tabla1[[#This Row],[FECHA_TRASPLANTE]],Tabla1[[#This Row],[FECHA DE DEFUNCIÓN]]-Tabla1[[#This Row],[FECHA_TRASPLANTE]])</f>
        <v>3606</v>
      </c>
      <c r="BW42" s="3">
        <f ca="1">IF(Tabla1[[#This Row],[FALLECIDO_COD]]=0,TODAY()-Tabla1[[#This Row],[FECHA_TRASPLANTE]],Tabla1[[#This Row],[FECHA DE DEFUNCIÓN]]-Tabla1[[#This Row],[FECHA_TRASPLANTE]])/30.4375</f>
        <v>118.47227926078028</v>
      </c>
      <c r="BX42" s="3">
        <f ca="1">IF(Tabla1[[#This Row],[FALLECIDO_COD]]=0,TODAY()-Tabla1[[#This Row],[FECHA_TRASPLANTE]],Tabla1[[#This Row],[FECHA DE DEFUNCIÓN]]-Tabla1[[#This Row],[FECHA_TRASPLANTE]])/365.25</f>
        <v>9.8726899383983575</v>
      </c>
      <c r="BY42"/>
      <c r="BZ42"/>
    </row>
    <row r="43" spans="1:78" hidden="1" x14ac:dyDescent="0.35">
      <c r="A43" t="s">
        <v>377</v>
      </c>
      <c r="D43" t="s">
        <v>1129</v>
      </c>
      <c r="E43" t="s">
        <v>375</v>
      </c>
      <c r="I43">
        <v>116.04667124227865</v>
      </c>
      <c r="J43" t="s">
        <v>1160</v>
      </c>
      <c r="K43" t="s">
        <v>1214</v>
      </c>
      <c r="L43" t="s">
        <v>1215</v>
      </c>
      <c r="M43" t="s">
        <v>1216</v>
      </c>
      <c r="N43" s="11">
        <v>800550477</v>
      </c>
      <c r="O43" s="2">
        <v>42270</v>
      </c>
      <c r="P43" t="s">
        <v>81</v>
      </c>
      <c r="Q43" s="2">
        <v>23738</v>
      </c>
      <c r="R43" s="3">
        <f>(Tabla1[[#This Row],[FECHA_TRASPLANTE]]-Tabla1[[#This Row],[FECHA_NAC]])/365.25</f>
        <v>50.737850787132103</v>
      </c>
      <c r="S43" t="s">
        <v>200</v>
      </c>
      <c r="T43"/>
      <c r="W43" t="s">
        <v>82</v>
      </c>
      <c r="X43" t="s">
        <v>91</v>
      </c>
      <c r="Y43" t="s">
        <v>84</v>
      </c>
      <c r="Z43" t="s">
        <v>307</v>
      </c>
      <c r="AM43" t="s">
        <v>106</v>
      </c>
      <c r="AO43"/>
      <c r="AV43" s="2"/>
      <c r="AZ43"/>
      <c r="BT43" s="2">
        <f>Tabla1[[#This Row],[FECHA_TRASPLANTE]]</f>
        <v>42270</v>
      </c>
      <c r="BU43">
        <f>IF(Tabla1[[#This Row],[FALLECIDO SI/NO]]="NO",0,1)</f>
        <v>0</v>
      </c>
      <c r="BV43" s="3">
        <f ca="1">IF(Tabla1[[#This Row],[FALLECIDO_COD]]=0,TODAY()-Tabla1[[#This Row],[FECHA_TRASPLANTE]],Tabla1[[#This Row],[FECHA DE DEFUNCIÓN]]-Tabla1[[#This Row],[FECHA_TRASPLANTE]])</f>
        <v>3605</v>
      </c>
      <c r="BW43" s="3">
        <f ca="1">IF(Tabla1[[#This Row],[FALLECIDO_COD]]=0,TODAY()-Tabla1[[#This Row],[FECHA_TRASPLANTE]],Tabla1[[#This Row],[FECHA DE DEFUNCIÓN]]-Tabla1[[#This Row],[FECHA_TRASPLANTE]])/30.4375</f>
        <v>118.43942505133471</v>
      </c>
      <c r="BX43" s="3">
        <f ca="1">IF(Tabla1[[#This Row],[FALLECIDO_COD]]=0,TODAY()-Tabla1[[#This Row],[FECHA_TRASPLANTE]],Tabla1[[#This Row],[FECHA DE DEFUNCIÓN]]-Tabla1[[#This Row],[FECHA_TRASPLANTE]])/365.25</f>
        <v>9.8699520876112246</v>
      </c>
      <c r="BY43"/>
      <c r="BZ43"/>
    </row>
    <row r="44" spans="1:78" hidden="1" x14ac:dyDescent="0.35">
      <c r="A44" t="s">
        <v>377</v>
      </c>
      <c r="D44" t="s">
        <v>1129</v>
      </c>
      <c r="E44" t="s">
        <v>375</v>
      </c>
      <c r="I44">
        <v>116.06588881262869</v>
      </c>
      <c r="J44" t="s">
        <v>1180</v>
      </c>
      <c r="K44" t="s">
        <v>1217</v>
      </c>
      <c r="L44" t="s">
        <v>258</v>
      </c>
      <c r="M44" t="s">
        <v>501</v>
      </c>
      <c r="N44" s="11">
        <v>16864134</v>
      </c>
      <c r="O44" s="2">
        <v>42277</v>
      </c>
      <c r="P44" t="s">
        <v>81</v>
      </c>
      <c r="Q44" s="2">
        <v>25027</v>
      </c>
      <c r="R44" s="3">
        <f>(Tabla1[[#This Row],[FECHA_TRASPLANTE]]-Tabla1[[#This Row],[FECHA_NAC]])/365.25</f>
        <v>47.227926078028744</v>
      </c>
      <c r="S44" t="s">
        <v>200</v>
      </c>
      <c r="T44"/>
      <c r="W44" t="s">
        <v>597</v>
      </c>
      <c r="X44" t="s">
        <v>125</v>
      </c>
      <c r="Y44" t="s">
        <v>667</v>
      </c>
      <c r="Z44" t="s">
        <v>667</v>
      </c>
      <c r="AM44" t="s">
        <v>86</v>
      </c>
      <c r="AN44" s="2">
        <v>44490</v>
      </c>
      <c r="AO44"/>
      <c r="AV44" s="2"/>
      <c r="AZ44"/>
      <c r="BT44" s="2">
        <f>Tabla1[[#This Row],[FECHA_TRASPLANTE]]</f>
        <v>42277</v>
      </c>
      <c r="BU44">
        <f>IF(Tabla1[[#This Row],[FALLECIDO SI/NO]]="NO",0,1)</f>
        <v>1</v>
      </c>
      <c r="BV44" s="3">
        <f ca="1">IF(Tabla1[[#This Row],[FALLECIDO_COD]]=0,TODAY()-Tabla1[[#This Row],[FECHA_TRASPLANTE]],Tabla1[[#This Row],[FECHA DE DEFUNCIÓN]]-Tabla1[[#This Row],[FECHA_TRASPLANTE]])</f>
        <v>2213</v>
      </c>
      <c r="BW44" s="3">
        <f ca="1">IF(Tabla1[[#This Row],[FALLECIDO_COD]]=0,TODAY()-Tabla1[[#This Row],[FECHA_TRASPLANTE]],Tabla1[[#This Row],[FECHA DE DEFUNCIÓN]]-Tabla1[[#This Row],[FECHA_TRASPLANTE]])/30.4375</f>
        <v>72.706365503080079</v>
      </c>
      <c r="BX44" s="3">
        <f ca="1">IF(Tabla1[[#This Row],[FALLECIDO_COD]]=0,TODAY()-Tabla1[[#This Row],[FECHA_TRASPLANTE]],Tabla1[[#This Row],[FECHA DE DEFUNCIÓN]]-Tabla1[[#This Row],[FECHA_TRASPLANTE]])/365.25</f>
        <v>6.0588637919233399</v>
      </c>
      <c r="BY44"/>
      <c r="BZ44"/>
    </row>
    <row r="45" spans="1:78" hidden="1" x14ac:dyDescent="0.35">
      <c r="A45" t="s">
        <v>377</v>
      </c>
      <c r="D45" t="s">
        <v>1129</v>
      </c>
      <c r="E45" t="s">
        <v>375</v>
      </c>
      <c r="I45">
        <v>116.08236101578586</v>
      </c>
      <c r="J45" t="s">
        <v>1160</v>
      </c>
      <c r="K45" t="s">
        <v>1218</v>
      </c>
      <c r="L45" t="s">
        <v>209</v>
      </c>
      <c r="M45" t="s">
        <v>440</v>
      </c>
      <c r="N45" s="11">
        <v>502630980</v>
      </c>
      <c r="O45" s="2">
        <v>42283</v>
      </c>
      <c r="P45" t="s">
        <v>81</v>
      </c>
      <c r="Q45" s="2">
        <v>25732</v>
      </c>
      <c r="R45" s="3">
        <f>(Tabla1[[#This Row],[FECHA_TRASPLANTE]]-Tabla1[[#This Row],[FECHA_NAC]])/365.25</f>
        <v>45.314168377823407</v>
      </c>
      <c r="S45" t="s">
        <v>210</v>
      </c>
      <c r="T45"/>
      <c r="W45" t="s">
        <v>82</v>
      </c>
      <c r="X45" t="s">
        <v>125</v>
      </c>
      <c r="Y45" t="s">
        <v>667</v>
      </c>
      <c r="Z45" t="s">
        <v>1219</v>
      </c>
      <c r="AM45" t="s">
        <v>86</v>
      </c>
      <c r="AN45" s="2">
        <v>44787</v>
      </c>
      <c r="AO45"/>
      <c r="AV45" s="2"/>
      <c r="AZ45"/>
      <c r="BT45" s="2">
        <f>Tabla1[[#This Row],[FECHA_TRASPLANTE]]</f>
        <v>42283</v>
      </c>
      <c r="BU45">
        <f>IF(Tabla1[[#This Row],[FALLECIDO SI/NO]]="NO",0,1)</f>
        <v>1</v>
      </c>
      <c r="BV45" s="3">
        <f ca="1">IF(Tabla1[[#This Row],[FALLECIDO_COD]]=0,TODAY()-Tabla1[[#This Row],[FECHA_TRASPLANTE]],Tabla1[[#This Row],[FECHA DE DEFUNCIÓN]]-Tabla1[[#This Row],[FECHA_TRASPLANTE]])</f>
        <v>2504</v>
      </c>
      <c r="BW45" s="3">
        <f ca="1">IF(Tabla1[[#This Row],[FALLECIDO_COD]]=0,TODAY()-Tabla1[[#This Row],[FECHA_TRASPLANTE]],Tabla1[[#This Row],[FECHA DE DEFUNCIÓN]]-Tabla1[[#This Row],[FECHA_TRASPLANTE]])/30.4375</f>
        <v>82.266940451745384</v>
      </c>
      <c r="BX45" s="3">
        <f ca="1">IF(Tabla1[[#This Row],[FALLECIDO_COD]]=0,TODAY()-Tabla1[[#This Row],[FECHA_TRASPLANTE]],Tabla1[[#This Row],[FECHA DE DEFUNCIÓN]]-Tabla1[[#This Row],[FECHA_TRASPLANTE]])/365.25</f>
        <v>6.8555783709787814</v>
      </c>
      <c r="BY45"/>
      <c r="BZ45"/>
    </row>
    <row r="46" spans="1:78" hidden="1" x14ac:dyDescent="0.35">
      <c r="A46" t="s">
        <v>377</v>
      </c>
      <c r="D46" t="s">
        <v>1129</v>
      </c>
      <c r="E46" t="s">
        <v>77</v>
      </c>
      <c r="I46">
        <v>116.09059711736445</v>
      </c>
      <c r="J46" t="s">
        <v>1220</v>
      </c>
      <c r="K46" t="s">
        <v>1221</v>
      </c>
      <c r="L46" t="s">
        <v>717</v>
      </c>
      <c r="M46" t="s">
        <v>514</v>
      </c>
      <c r="N46" s="11">
        <v>113930616</v>
      </c>
      <c r="O46" s="2">
        <v>42286</v>
      </c>
      <c r="P46" t="s">
        <v>90</v>
      </c>
      <c r="Q46" s="2">
        <v>32674</v>
      </c>
      <c r="R46" s="3">
        <f>(Tabla1[[#This Row],[FECHA_TRASPLANTE]]-Tabla1[[#This Row],[FECHA_NAC]])/365.25</f>
        <v>26.316221765913756</v>
      </c>
      <c r="S46" t="s">
        <v>896</v>
      </c>
      <c r="T46"/>
      <c r="W46" t="s">
        <v>82</v>
      </c>
      <c r="X46" t="s">
        <v>1136</v>
      </c>
      <c r="AM46" t="s">
        <v>106</v>
      </c>
      <c r="AO46"/>
      <c r="AV46" s="2"/>
      <c r="AZ46"/>
      <c r="BT46" s="2">
        <f>Tabla1[[#This Row],[FECHA_TRASPLANTE]]</f>
        <v>42286</v>
      </c>
      <c r="BU46">
        <f>IF(Tabla1[[#This Row],[FALLECIDO SI/NO]]="NO",0,1)</f>
        <v>0</v>
      </c>
      <c r="BV46" s="3">
        <f ca="1">IF(Tabla1[[#This Row],[FALLECIDO_COD]]=0,TODAY()-Tabla1[[#This Row],[FECHA_TRASPLANTE]],Tabla1[[#This Row],[FECHA DE DEFUNCIÓN]]-Tabla1[[#This Row],[FECHA_TRASPLANTE]])</f>
        <v>3589</v>
      </c>
      <c r="BW46" s="3">
        <f ca="1">IF(Tabla1[[#This Row],[FALLECIDO_COD]]=0,TODAY()-Tabla1[[#This Row],[FECHA_TRASPLANTE]],Tabla1[[#This Row],[FECHA DE DEFUNCIÓN]]-Tabla1[[#This Row],[FECHA_TRASPLANTE]])/30.4375</f>
        <v>117.91375770020534</v>
      </c>
      <c r="BX46" s="3">
        <f ca="1">IF(Tabla1[[#This Row],[FALLECIDO_COD]]=0,TODAY()-Tabla1[[#This Row],[FECHA_TRASPLANTE]],Tabla1[[#This Row],[FECHA DE DEFUNCIÓN]]-Tabla1[[#This Row],[FECHA_TRASPLANTE]])/365.25</f>
        <v>9.8261464750171115</v>
      </c>
      <c r="BY46"/>
      <c r="BZ46"/>
    </row>
    <row r="47" spans="1:78" hidden="1" x14ac:dyDescent="0.35">
      <c r="A47" t="s">
        <v>377</v>
      </c>
      <c r="D47" t="s">
        <v>1129</v>
      </c>
      <c r="E47" t="s">
        <v>375</v>
      </c>
      <c r="I47">
        <v>116.10432395332876</v>
      </c>
      <c r="J47" t="s">
        <v>1180</v>
      </c>
      <c r="K47" t="s">
        <v>1222</v>
      </c>
      <c r="L47" t="s">
        <v>167</v>
      </c>
      <c r="M47" t="s">
        <v>592</v>
      </c>
      <c r="N47" s="11">
        <v>206170943</v>
      </c>
      <c r="O47" s="2">
        <v>42291</v>
      </c>
      <c r="P47" t="s">
        <v>81</v>
      </c>
      <c r="Q47" s="2">
        <v>31480</v>
      </c>
      <c r="R47" s="3">
        <f>(Tabla1[[#This Row],[FECHA_TRASPLANTE]]-Tabla1[[#This Row],[FECHA_NAC]])/365.25</f>
        <v>29.598904859685145</v>
      </c>
      <c r="S47" t="s">
        <v>205</v>
      </c>
      <c r="T47"/>
      <c r="W47" t="s">
        <v>82</v>
      </c>
      <c r="X47" t="s">
        <v>115</v>
      </c>
      <c r="Y47" t="s">
        <v>365</v>
      </c>
      <c r="Z47" t="s">
        <v>928</v>
      </c>
      <c r="AM47" t="s">
        <v>86</v>
      </c>
      <c r="AN47" s="2">
        <v>44285</v>
      </c>
      <c r="AO47"/>
      <c r="AV47" s="2"/>
      <c r="AZ47"/>
      <c r="BT47" s="2">
        <f>Tabla1[[#This Row],[FECHA_TRASPLANTE]]</f>
        <v>42291</v>
      </c>
      <c r="BU47">
        <f>IF(Tabla1[[#This Row],[FALLECIDO SI/NO]]="NO",0,1)</f>
        <v>1</v>
      </c>
      <c r="BV47" s="3">
        <f ca="1">IF(Tabla1[[#This Row],[FALLECIDO_COD]]=0,TODAY()-Tabla1[[#This Row],[FECHA_TRASPLANTE]],Tabla1[[#This Row],[FECHA DE DEFUNCIÓN]]-Tabla1[[#This Row],[FECHA_TRASPLANTE]])</f>
        <v>1994</v>
      </c>
      <c r="BW47" s="3">
        <f ca="1">IF(Tabla1[[#This Row],[FALLECIDO_COD]]=0,TODAY()-Tabla1[[#This Row],[FECHA_TRASPLANTE]],Tabla1[[#This Row],[FECHA DE DEFUNCIÓN]]-Tabla1[[#This Row],[FECHA_TRASPLANTE]])/30.4375</f>
        <v>65.511293634496923</v>
      </c>
      <c r="BX47" s="3">
        <f ca="1">IF(Tabla1[[#This Row],[FALLECIDO_COD]]=0,TODAY()-Tabla1[[#This Row],[FECHA_TRASPLANTE]],Tabla1[[#This Row],[FECHA DE DEFUNCIÓN]]-Tabla1[[#This Row],[FECHA_TRASPLANTE]])/365.25</f>
        <v>5.4592744695414099</v>
      </c>
      <c r="BY47"/>
      <c r="BZ47"/>
    </row>
    <row r="48" spans="1:78" hidden="1" x14ac:dyDescent="0.35">
      <c r="A48" t="s">
        <v>377</v>
      </c>
      <c r="D48" t="s">
        <v>1129</v>
      </c>
      <c r="E48" t="s">
        <v>77</v>
      </c>
      <c r="I48">
        <v>116.10706932052162</v>
      </c>
      <c r="J48" t="s">
        <v>1223</v>
      </c>
      <c r="K48" t="s">
        <v>1224</v>
      </c>
      <c r="L48" t="s">
        <v>348</v>
      </c>
      <c r="M48" t="s">
        <v>626</v>
      </c>
      <c r="N48" s="11">
        <v>205230474</v>
      </c>
      <c r="O48" s="2">
        <v>42292</v>
      </c>
      <c r="P48" t="s">
        <v>81</v>
      </c>
      <c r="Q48" s="2">
        <v>28399</v>
      </c>
      <c r="R48" s="3">
        <f>(Tabla1[[#This Row],[FECHA_TRASPLANTE]]-Tabla1[[#This Row],[FECHA_NAC]])/365.25</f>
        <v>38.036960985626287</v>
      </c>
      <c r="S48" t="s">
        <v>210</v>
      </c>
      <c r="T48"/>
      <c r="W48" t="s">
        <v>82</v>
      </c>
      <c r="X48" t="s">
        <v>115</v>
      </c>
      <c r="Y48" t="s">
        <v>84</v>
      </c>
      <c r="Z48" t="s">
        <v>115</v>
      </c>
      <c r="AM48" t="s">
        <v>106</v>
      </c>
      <c r="AO48"/>
      <c r="AV48" s="2"/>
      <c r="AZ48"/>
      <c r="BT48" s="2">
        <f>Tabla1[[#This Row],[FECHA_TRASPLANTE]]</f>
        <v>42292</v>
      </c>
      <c r="BU48">
        <f>IF(Tabla1[[#This Row],[FALLECIDO SI/NO]]="NO",0,1)</f>
        <v>0</v>
      </c>
      <c r="BV48" s="3">
        <f ca="1">IF(Tabla1[[#This Row],[FALLECIDO_COD]]=0,TODAY()-Tabla1[[#This Row],[FECHA_TRASPLANTE]],Tabla1[[#This Row],[FECHA DE DEFUNCIÓN]]-Tabla1[[#This Row],[FECHA_TRASPLANTE]])</f>
        <v>3583</v>
      </c>
      <c r="BW48" s="3">
        <f ca="1">IF(Tabla1[[#This Row],[FALLECIDO_COD]]=0,TODAY()-Tabla1[[#This Row],[FECHA_TRASPLANTE]],Tabla1[[#This Row],[FECHA DE DEFUNCIÓN]]-Tabla1[[#This Row],[FECHA_TRASPLANTE]])/30.4375</f>
        <v>117.71663244353182</v>
      </c>
      <c r="BX48" s="3">
        <f ca="1">IF(Tabla1[[#This Row],[FALLECIDO_COD]]=0,TODAY()-Tabla1[[#This Row],[FECHA_TRASPLANTE]],Tabla1[[#This Row],[FECHA DE DEFUNCIÓN]]-Tabla1[[#This Row],[FECHA_TRASPLANTE]])/365.25</f>
        <v>9.8097193702943191</v>
      </c>
      <c r="BY48"/>
      <c r="BZ48"/>
    </row>
    <row r="49" spans="1:78" hidden="1" x14ac:dyDescent="0.35">
      <c r="A49" t="s">
        <v>377</v>
      </c>
      <c r="D49" t="s">
        <v>1129</v>
      </c>
      <c r="E49" t="s">
        <v>77</v>
      </c>
      <c r="I49">
        <v>116.10706932052162</v>
      </c>
      <c r="J49" t="s">
        <v>1223</v>
      </c>
      <c r="K49" t="s">
        <v>1225</v>
      </c>
      <c r="L49" t="s">
        <v>479</v>
      </c>
      <c r="M49" t="s">
        <v>411</v>
      </c>
      <c r="N49" s="11">
        <v>503860682</v>
      </c>
      <c r="O49" s="2">
        <v>42292</v>
      </c>
      <c r="P49" t="s">
        <v>81</v>
      </c>
      <c r="Q49" s="2">
        <v>33686</v>
      </c>
      <c r="R49" s="3">
        <f>(Tabla1[[#This Row],[FECHA_TRASPLANTE]]-Tabla1[[#This Row],[FECHA_NAC]])/365.25</f>
        <v>23.561943874058862</v>
      </c>
      <c r="S49" t="s">
        <v>210</v>
      </c>
      <c r="T49"/>
      <c r="W49" t="s">
        <v>82</v>
      </c>
      <c r="X49" t="s">
        <v>1145</v>
      </c>
      <c r="AM49" t="s">
        <v>106</v>
      </c>
      <c r="AO49"/>
      <c r="AV49" s="2"/>
      <c r="AZ49"/>
      <c r="BT49" s="2">
        <f>Tabla1[[#This Row],[FECHA_TRASPLANTE]]</f>
        <v>42292</v>
      </c>
      <c r="BU49">
        <f>IF(Tabla1[[#This Row],[FALLECIDO SI/NO]]="NO",0,1)</f>
        <v>0</v>
      </c>
      <c r="BV49" s="3">
        <f ca="1">IF(Tabla1[[#This Row],[FALLECIDO_COD]]=0,TODAY()-Tabla1[[#This Row],[FECHA_TRASPLANTE]],Tabla1[[#This Row],[FECHA DE DEFUNCIÓN]]-Tabla1[[#This Row],[FECHA_TRASPLANTE]])</f>
        <v>3583</v>
      </c>
      <c r="BW49" s="3">
        <f ca="1">IF(Tabla1[[#This Row],[FALLECIDO_COD]]=0,TODAY()-Tabla1[[#This Row],[FECHA_TRASPLANTE]],Tabla1[[#This Row],[FECHA DE DEFUNCIÓN]]-Tabla1[[#This Row],[FECHA_TRASPLANTE]])/30.4375</f>
        <v>117.71663244353182</v>
      </c>
      <c r="BX49" s="3">
        <f ca="1">IF(Tabla1[[#This Row],[FALLECIDO_COD]]=0,TODAY()-Tabla1[[#This Row],[FECHA_TRASPLANTE]],Tabla1[[#This Row],[FECHA DE DEFUNCIÓN]]-Tabla1[[#This Row],[FECHA_TRASPLANTE]])/365.25</f>
        <v>9.8097193702943191</v>
      </c>
      <c r="BY49"/>
      <c r="BZ49"/>
    </row>
    <row r="50" spans="1:78" hidden="1" x14ac:dyDescent="0.35">
      <c r="A50" t="s">
        <v>377</v>
      </c>
      <c r="D50" t="s">
        <v>1129</v>
      </c>
      <c r="E50" t="s">
        <v>375</v>
      </c>
      <c r="I50">
        <v>116.12079615648592</v>
      </c>
      <c r="J50" t="s">
        <v>1174</v>
      </c>
      <c r="K50" t="s">
        <v>1226</v>
      </c>
      <c r="L50" t="s">
        <v>224</v>
      </c>
      <c r="M50" t="s">
        <v>155</v>
      </c>
      <c r="N50" s="11">
        <v>110220150</v>
      </c>
      <c r="O50" s="2">
        <v>42297</v>
      </c>
      <c r="P50" t="s">
        <v>81</v>
      </c>
      <c r="Q50" s="2">
        <v>28810</v>
      </c>
      <c r="R50" s="3">
        <f>(Tabla1[[#This Row],[FECHA_TRASPLANTE]]-Tabla1[[#This Row],[FECHA_NAC]])/365.25</f>
        <v>36.925393566050651</v>
      </c>
      <c r="S50" t="s">
        <v>210</v>
      </c>
      <c r="T50"/>
      <c r="W50" t="s">
        <v>82</v>
      </c>
      <c r="X50" t="s">
        <v>115</v>
      </c>
      <c r="Y50" t="s">
        <v>1059</v>
      </c>
      <c r="Z50" t="s">
        <v>1059</v>
      </c>
      <c r="AM50" t="s">
        <v>106</v>
      </c>
      <c r="AO50"/>
      <c r="AV50" s="2"/>
      <c r="AZ50"/>
      <c r="BT50" s="2">
        <f>Tabla1[[#This Row],[FECHA_TRASPLANTE]]</f>
        <v>42297</v>
      </c>
      <c r="BU50">
        <f>IF(Tabla1[[#This Row],[FALLECIDO SI/NO]]="NO",0,1)</f>
        <v>0</v>
      </c>
      <c r="BV50" s="3">
        <f ca="1">IF(Tabla1[[#This Row],[FALLECIDO_COD]]=0,TODAY()-Tabla1[[#This Row],[FECHA_TRASPLANTE]],Tabla1[[#This Row],[FECHA DE DEFUNCIÓN]]-Tabla1[[#This Row],[FECHA_TRASPLANTE]])</f>
        <v>3578</v>
      </c>
      <c r="BW50" s="3">
        <f ca="1">IF(Tabla1[[#This Row],[FALLECIDO_COD]]=0,TODAY()-Tabla1[[#This Row],[FECHA_TRASPLANTE]],Tabla1[[#This Row],[FECHA DE DEFUNCIÓN]]-Tabla1[[#This Row],[FECHA_TRASPLANTE]])/30.4375</f>
        <v>117.55236139630391</v>
      </c>
      <c r="BX50" s="3">
        <f ca="1">IF(Tabla1[[#This Row],[FALLECIDO_COD]]=0,TODAY()-Tabla1[[#This Row],[FECHA_TRASPLANTE]],Tabla1[[#This Row],[FECHA DE DEFUNCIÓN]]-Tabla1[[#This Row],[FECHA_TRASPLANTE]])/365.25</f>
        <v>9.7960301163586578</v>
      </c>
      <c r="BY50"/>
      <c r="BZ50"/>
    </row>
    <row r="51" spans="1:78" hidden="1" x14ac:dyDescent="0.35">
      <c r="A51" t="s">
        <v>377</v>
      </c>
      <c r="D51" t="s">
        <v>1129</v>
      </c>
      <c r="E51" t="s">
        <v>77</v>
      </c>
      <c r="I51">
        <v>116.13452299245024</v>
      </c>
      <c r="J51" t="s">
        <v>1227</v>
      </c>
      <c r="K51" t="s">
        <v>1228</v>
      </c>
      <c r="L51" t="s">
        <v>531</v>
      </c>
      <c r="M51" t="s">
        <v>274</v>
      </c>
      <c r="N51" s="11">
        <v>502090433</v>
      </c>
      <c r="O51" s="2">
        <v>42302</v>
      </c>
      <c r="P51" t="s">
        <v>81</v>
      </c>
      <c r="Q51" s="2">
        <v>23111</v>
      </c>
      <c r="R51" s="3">
        <f>(Tabla1[[#This Row],[FECHA_TRASPLANTE]]-Tabla1[[#This Row],[FECHA_NAC]])/365.25</f>
        <v>52.542094455852158</v>
      </c>
      <c r="S51" t="s">
        <v>200</v>
      </c>
      <c r="T51"/>
      <c r="W51" t="s">
        <v>82</v>
      </c>
      <c r="X51" t="s">
        <v>125</v>
      </c>
      <c r="Y51" t="s">
        <v>1186</v>
      </c>
      <c r="Z51" t="s">
        <v>1186</v>
      </c>
      <c r="AM51" t="s">
        <v>86</v>
      </c>
      <c r="AN51" s="2">
        <v>44194</v>
      </c>
      <c r="AO51"/>
      <c r="AV51" s="2"/>
      <c r="AZ51"/>
      <c r="BT51" s="2">
        <f>Tabla1[[#This Row],[FECHA_TRASPLANTE]]</f>
        <v>42302</v>
      </c>
      <c r="BU51">
        <f>IF(Tabla1[[#This Row],[FALLECIDO SI/NO]]="NO",0,1)</f>
        <v>1</v>
      </c>
      <c r="BV51" s="3">
        <f ca="1">IF(Tabla1[[#This Row],[FALLECIDO_COD]]=0,TODAY()-Tabla1[[#This Row],[FECHA_TRASPLANTE]],Tabla1[[#This Row],[FECHA DE DEFUNCIÓN]]-Tabla1[[#This Row],[FECHA_TRASPLANTE]])</f>
        <v>1892</v>
      </c>
      <c r="BW51" s="3">
        <f ca="1">IF(Tabla1[[#This Row],[FALLECIDO_COD]]=0,TODAY()-Tabla1[[#This Row],[FECHA_TRASPLANTE]],Tabla1[[#This Row],[FECHA DE DEFUNCIÓN]]-Tabla1[[#This Row],[FECHA_TRASPLANTE]])/30.4375</f>
        <v>62.160164271047229</v>
      </c>
      <c r="BX51" s="3">
        <f ca="1">IF(Tabla1[[#This Row],[FALLECIDO_COD]]=0,TODAY()-Tabla1[[#This Row],[FECHA_TRASPLANTE]],Tabla1[[#This Row],[FECHA DE DEFUNCIÓN]]-Tabla1[[#This Row],[FECHA_TRASPLANTE]])/365.25</f>
        <v>5.1800136892539355</v>
      </c>
      <c r="BY51"/>
      <c r="BZ51"/>
    </row>
    <row r="52" spans="1:78" hidden="1" x14ac:dyDescent="0.35">
      <c r="A52" t="s">
        <v>377</v>
      </c>
      <c r="D52" t="s">
        <v>1129</v>
      </c>
      <c r="E52" t="s">
        <v>77</v>
      </c>
      <c r="I52">
        <v>116.13452299245024</v>
      </c>
      <c r="J52" t="s">
        <v>1227</v>
      </c>
      <c r="K52" t="s">
        <v>1229</v>
      </c>
      <c r="L52" t="s">
        <v>150</v>
      </c>
      <c r="M52" t="s">
        <v>1230</v>
      </c>
      <c r="N52" s="11">
        <v>502500546</v>
      </c>
      <c r="O52" s="2">
        <v>42302</v>
      </c>
      <c r="P52" t="s">
        <v>90</v>
      </c>
      <c r="Q52" s="2">
        <v>25175</v>
      </c>
      <c r="R52" s="3">
        <f>(Tabla1[[#This Row],[FECHA_TRASPLANTE]]-Tabla1[[#This Row],[FECHA_NAC]])/365.25</f>
        <v>46.891170431211499</v>
      </c>
      <c r="S52" t="s">
        <v>200</v>
      </c>
      <c r="T52"/>
      <c r="W52" t="s">
        <v>82</v>
      </c>
      <c r="X52" t="s">
        <v>1145</v>
      </c>
      <c r="AM52" t="s">
        <v>86</v>
      </c>
      <c r="AN52" s="2">
        <v>44080</v>
      </c>
      <c r="AO52"/>
      <c r="AV52" s="2"/>
      <c r="AZ52"/>
      <c r="BT52" s="2">
        <f>Tabla1[[#This Row],[FECHA_TRASPLANTE]]</f>
        <v>42302</v>
      </c>
      <c r="BU52">
        <f>IF(Tabla1[[#This Row],[FALLECIDO SI/NO]]="NO",0,1)</f>
        <v>1</v>
      </c>
      <c r="BV52" s="3">
        <f ca="1">IF(Tabla1[[#This Row],[FALLECIDO_COD]]=0,TODAY()-Tabla1[[#This Row],[FECHA_TRASPLANTE]],Tabla1[[#This Row],[FECHA DE DEFUNCIÓN]]-Tabla1[[#This Row],[FECHA_TRASPLANTE]])</f>
        <v>1778</v>
      </c>
      <c r="BW52" s="3">
        <f ca="1">IF(Tabla1[[#This Row],[FALLECIDO_COD]]=0,TODAY()-Tabla1[[#This Row],[FECHA_TRASPLANTE]],Tabla1[[#This Row],[FECHA DE DEFUNCIÓN]]-Tabla1[[#This Row],[FECHA_TRASPLANTE]])/30.4375</f>
        <v>58.414784394250511</v>
      </c>
      <c r="BX52" s="3">
        <f ca="1">IF(Tabla1[[#This Row],[FALLECIDO_COD]]=0,TODAY()-Tabla1[[#This Row],[FECHA_TRASPLANTE]],Tabla1[[#This Row],[FECHA DE DEFUNCIÓN]]-Tabla1[[#This Row],[FECHA_TRASPLANTE]])/365.25</f>
        <v>4.8678986995208762</v>
      </c>
      <c r="BY52"/>
      <c r="BZ52"/>
    </row>
    <row r="53" spans="1:78" hidden="1" x14ac:dyDescent="0.35">
      <c r="A53" t="s">
        <v>377</v>
      </c>
      <c r="D53" t="s">
        <v>1129</v>
      </c>
      <c r="E53" t="s">
        <v>375</v>
      </c>
      <c r="I53">
        <v>116.14275909402883</v>
      </c>
      <c r="J53" t="s">
        <v>1152</v>
      </c>
      <c r="K53" t="s">
        <v>87</v>
      </c>
      <c r="L53" t="s">
        <v>613</v>
      </c>
      <c r="M53" t="s">
        <v>411</v>
      </c>
      <c r="N53" s="11">
        <v>501710638</v>
      </c>
      <c r="O53" s="2">
        <v>42305</v>
      </c>
      <c r="P53" t="s">
        <v>90</v>
      </c>
      <c r="Q53" s="2">
        <v>21278</v>
      </c>
      <c r="R53" s="3">
        <f>(Tabla1[[#This Row],[FECHA_TRASPLANTE]]-Tabla1[[#This Row],[FECHA_NAC]])/365.25</f>
        <v>57.568788501026695</v>
      </c>
      <c r="S53" t="s">
        <v>200</v>
      </c>
      <c r="T53"/>
      <c r="W53" t="s">
        <v>82</v>
      </c>
      <c r="X53" t="s">
        <v>1145</v>
      </c>
      <c r="AM53" t="s">
        <v>106</v>
      </c>
      <c r="AO53"/>
      <c r="AV53" s="2"/>
      <c r="AZ53"/>
      <c r="BT53" s="2">
        <f>Tabla1[[#This Row],[FECHA_TRASPLANTE]]</f>
        <v>42305</v>
      </c>
      <c r="BU53">
        <f>IF(Tabla1[[#This Row],[FALLECIDO SI/NO]]="NO",0,1)</f>
        <v>0</v>
      </c>
      <c r="BV53" s="3">
        <f ca="1">IF(Tabla1[[#This Row],[FALLECIDO_COD]]=0,TODAY()-Tabla1[[#This Row],[FECHA_TRASPLANTE]],Tabla1[[#This Row],[FECHA DE DEFUNCIÓN]]-Tabla1[[#This Row],[FECHA_TRASPLANTE]])</f>
        <v>3570</v>
      </c>
      <c r="BW53" s="3">
        <f ca="1">IF(Tabla1[[#This Row],[FALLECIDO_COD]]=0,TODAY()-Tabla1[[#This Row],[FECHA_TRASPLANTE]],Tabla1[[#This Row],[FECHA DE DEFUNCIÓN]]-Tabla1[[#This Row],[FECHA_TRASPLANTE]])/30.4375</f>
        <v>117.28952772073922</v>
      </c>
      <c r="BX53" s="3">
        <f ca="1">IF(Tabla1[[#This Row],[FALLECIDO_COD]]=0,TODAY()-Tabla1[[#This Row],[FECHA_TRASPLANTE]],Tabla1[[#This Row],[FECHA DE DEFUNCIÓN]]-Tabla1[[#This Row],[FECHA_TRASPLANTE]])/365.25</f>
        <v>9.7741273100616013</v>
      </c>
      <c r="BY53"/>
      <c r="BZ53"/>
    </row>
    <row r="54" spans="1:78" hidden="1" x14ac:dyDescent="0.35">
      <c r="A54" t="s">
        <v>377</v>
      </c>
      <c r="D54" t="s">
        <v>1129</v>
      </c>
      <c r="E54" t="s">
        <v>375</v>
      </c>
      <c r="I54">
        <v>116.15648592999314</v>
      </c>
      <c r="J54" t="s">
        <v>1160</v>
      </c>
      <c r="K54" t="s">
        <v>1231</v>
      </c>
      <c r="L54" t="s">
        <v>145</v>
      </c>
      <c r="M54" t="s">
        <v>246</v>
      </c>
      <c r="N54" s="11">
        <v>15218835</v>
      </c>
      <c r="O54" s="2">
        <v>42310</v>
      </c>
      <c r="P54" t="s">
        <v>81</v>
      </c>
      <c r="Q54" s="2">
        <v>19182</v>
      </c>
      <c r="R54" s="3">
        <f>(Tabla1[[#This Row],[FECHA_TRASPLANTE]]-Tabla1[[#This Row],[FECHA_NAC]])/365.25</f>
        <v>63.32101300479124</v>
      </c>
      <c r="S54" t="s">
        <v>200</v>
      </c>
      <c r="T54"/>
      <c r="W54" t="s">
        <v>1132</v>
      </c>
      <c r="X54" t="s">
        <v>125</v>
      </c>
      <c r="Y54" t="s">
        <v>667</v>
      </c>
      <c r="Z54" t="s">
        <v>667</v>
      </c>
      <c r="AM54" t="s">
        <v>86</v>
      </c>
      <c r="AN54" s="2">
        <v>42809</v>
      </c>
      <c r="AO54"/>
      <c r="AV54" s="2"/>
      <c r="AZ54"/>
      <c r="BT54" s="2">
        <f>Tabla1[[#This Row],[FECHA_TRASPLANTE]]</f>
        <v>42310</v>
      </c>
      <c r="BU54">
        <f>IF(Tabla1[[#This Row],[FALLECIDO SI/NO]]="NO",0,1)</f>
        <v>1</v>
      </c>
      <c r="BV54" s="3">
        <f ca="1">IF(Tabla1[[#This Row],[FALLECIDO_COD]]=0,TODAY()-Tabla1[[#This Row],[FECHA_TRASPLANTE]],Tabla1[[#This Row],[FECHA DE DEFUNCIÓN]]-Tabla1[[#This Row],[FECHA_TRASPLANTE]])</f>
        <v>499</v>
      </c>
      <c r="BW54" s="3">
        <f ca="1">IF(Tabla1[[#This Row],[FALLECIDO_COD]]=0,TODAY()-Tabla1[[#This Row],[FECHA_TRASPLANTE]],Tabla1[[#This Row],[FECHA DE DEFUNCIÓN]]-Tabla1[[#This Row],[FECHA_TRASPLANTE]])/30.4375</f>
        <v>16.394250513347021</v>
      </c>
      <c r="BX54" s="3">
        <f ca="1">IF(Tabla1[[#This Row],[FALLECIDO_COD]]=0,TODAY()-Tabla1[[#This Row],[FECHA_TRASPLANTE]],Tabla1[[#This Row],[FECHA DE DEFUNCIÓN]]-Tabla1[[#This Row],[FECHA_TRASPLANTE]])/365.25</f>
        <v>1.3661875427789185</v>
      </c>
      <c r="BY54"/>
      <c r="BZ54"/>
    </row>
    <row r="55" spans="1:78" hidden="1" x14ac:dyDescent="0.35">
      <c r="A55" t="s">
        <v>377</v>
      </c>
      <c r="D55" t="s">
        <v>1129</v>
      </c>
      <c r="E55" t="s">
        <v>375</v>
      </c>
      <c r="I55">
        <v>116.159231297186</v>
      </c>
      <c r="J55" t="s">
        <v>1180</v>
      </c>
      <c r="K55" t="s">
        <v>1232</v>
      </c>
      <c r="L55" t="s">
        <v>1233</v>
      </c>
      <c r="M55" t="s">
        <v>1230</v>
      </c>
      <c r="N55" s="11">
        <v>501810549</v>
      </c>
      <c r="O55" s="2">
        <v>42311</v>
      </c>
      <c r="P55" t="s">
        <v>81</v>
      </c>
      <c r="Q55" s="2">
        <v>21757</v>
      </c>
      <c r="R55" s="3">
        <f>(Tabla1[[#This Row],[FECHA_TRASPLANTE]]-Tabla1[[#This Row],[FECHA_NAC]])/365.25</f>
        <v>56.27378507871321</v>
      </c>
      <c r="S55" t="s">
        <v>210</v>
      </c>
      <c r="T55"/>
      <c r="W55" t="s">
        <v>82</v>
      </c>
      <c r="X55" t="s">
        <v>125</v>
      </c>
      <c r="Y55" t="s">
        <v>423</v>
      </c>
      <c r="Z55" t="s">
        <v>423</v>
      </c>
      <c r="AM55" t="s">
        <v>86</v>
      </c>
      <c r="AN55" s="2">
        <v>45106</v>
      </c>
      <c r="AO55"/>
      <c r="AV55" s="2"/>
      <c r="AZ55"/>
      <c r="BT55" s="2">
        <f>Tabla1[[#This Row],[FECHA_TRASPLANTE]]</f>
        <v>42311</v>
      </c>
      <c r="BU55">
        <f>IF(Tabla1[[#This Row],[FALLECIDO SI/NO]]="NO",0,1)</f>
        <v>1</v>
      </c>
      <c r="BV55" s="3">
        <f ca="1">IF(Tabla1[[#This Row],[FALLECIDO_COD]]=0,TODAY()-Tabla1[[#This Row],[FECHA_TRASPLANTE]],Tabla1[[#This Row],[FECHA DE DEFUNCIÓN]]-Tabla1[[#This Row],[FECHA_TRASPLANTE]])</f>
        <v>2795</v>
      </c>
      <c r="BW55" s="3">
        <f ca="1">IF(Tabla1[[#This Row],[FALLECIDO_COD]]=0,TODAY()-Tabla1[[#This Row],[FECHA_TRASPLANTE]],Tabla1[[#This Row],[FECHA DE DEFUNCIÓN]]-Tabla1[[#This Row],[FECHA_TRASPLANTE]])/30.4375</f>
        <v>91.827515400410675</v>
      </c>
      <c r="BX55" s="3">
        <f ca="1">IF(Tabla1[[#This Row],[FALLECIDO_COD]]=0,TODAY()-Tabla1[[#This Row],[FECHA_TRASPLANTE]],Tabla1[[#This Row],[FECHA DE DEFUNCIÓN]]-Tabla1[[#This Row],[FECHA_TRASPLANTE]])/365.25</f>
        <v>7.6522929500342229</v>
      </c>
      <c r="BY55"/>
      <c r="BZ55"/>
    </row>
    <row r="56" spans="1:78" hidden="1" x14ac:dyDescent="0.35">
      <c r="A56" t="s">
        <v>377</v>
      </c>
      <c r="D56" t="s">
        <v>1129</v>
      </c>
      <c r="E56" t="s">
        <v>77</v>
      </c>
      <c r="I56">
        <v>116.17570350034318</v>
      </c>
      <c r="J56" t="s">
        <v>1220</v>
      </c>
      <c r="K56" t="s">
        <v>1234</v>
      </c>
      <c r="L56" t="s">
        <v>1235</v>
      </c>
      <c r="M56" t="s">
        <v>109</v>
      </c>
      <c r="N56" s="11">
        <v>2910091403</v>
      </c>
      <c r="O56" s="2">
        <v>42317</v>
      </c>
      <c r="P56" t="s">
        <v>90</v>
      </c>
      <c r="Q56" s="2">
        <v>33241</v>
      </c>
      <c r="R56" s="3">
        <f>(Tabla1[[#This Row],[FECHA_TRASPLANTE]]-Tabla1[[#This Row],[FECHA_NAC]])/365.25</f>
        <v>24.84873374401095</v>
      </c>
      <c r="S56" t="s">
        <v>200</v>
      </c>
      <c r="T56"/>
      <c r="W56" t="s">
        <v>146</v>
      </c>
      <c r="X56" t="s">
        <v>822</v>
      </c>
      <c r="AM56" t="s">
        <v>106</v>
      </c>
      <c r="AO56"/>
      <c r="AV56" s="2"/>
      <c r="AZ56"/>
      <c r="BT56" s="2">
        <f>Tabla1[[#This Row],[FECHA_TRASPLANTE]]</f>
        <v>42317</v>
      </c>
      <c r="BU56">
        <f>IF(Tabla1[[#This Row],[FALLECIDO SI/NO]]="NO",0,1)</f>
        <v>0</v>
      </c>
      <c r="BV56" s="3">
        <f ca="1">IF(Tabla1[[#This Row],[FALLECIDO_COD]]=0,TODAY()-Tabla1[[#This Row],[FECHA_TRASPLANTE]],Tabla1[[#This Row],[FECHA DE DEFUNCIÓN]]-Tabla1[[#This Row],[FECHA_TRASPLANTE]])</f>
        <v>3558</v>
      </c>
      <c r="BW56" s="3">
        <f ca="1">IF(Tabla1[[#This Row],[FALLECIDO_COD]]=0,TODAY()-Tabla1[[#This Row],[FECHA_TRASPLANTE]],Tabla1[[#This Row],[FECHA DE DEFUNCIÓN]]-Tabla1[[#This Row],[FECHA_TRASPLANTE]])/30.4375</f>
        <v>116.8952772073922</v>
      </c>
      <c r="BX56" s="3">
        <f ca="1">IF(Tabla1[[#This Row],[FALLECIDO_COD]]=0,TODAY()-Tabla1[[#This Row],[FECHA_TRASPLANTE]],Tabla1[[#This Row],[FECHA DE DEFUNCIÓN]]-Tabla1[[#This Row],[FECHA_TRASPLANTE]])/365.25</f>
        <v>9.7412731006160165</v>
      </c>
      <c r="BY56"/>
      <c r="BZ56"/>
    </row>
    <row r="57" spans="1:78" hidden="1" x14ac:dyDescent="0.35">
      <c r="A57" t="s">
        <v>377</v>
      </c>
      <c r="D57" t="s">
        <v>1129</v>
      </c>
      <c r="E57" t="s">
        <v>375</v>
      </c>
      <c r="I57">
        <v>116.18119423472889</v>
      </c>
      <c r="J57" t="s">
        <v>1154</v>
      </c>
      <c r="K57" t="s">
        <v>1236</v>
      </c>
      <c r="L57" t="s">
        <v>1237</v>
      </c>
      <c r="M57" t="s">
        <v>411</v>
      </c>
      <c r="N57" s="11">
        <v>501580418</v>
      </c>
      <c r="O57" s="2">
        <v>42319</v>
      </c>
      <c r="P57" t="s">
        <v>81</v>
      </c>
      <c r="Q57" s="2">
        <v>20364</v>
      </c>
      <c r="R57" s="3">
        <f>(Tabla1[[#This Row],[FECHA_TRASPLANTE]]-Tabla1[[#This Row],[FECHA_NAC]])/365.25</f>
        <v>60.109514031485283</v>
      </c>
      <c r="S57" t="s">
        <v>910</v>
      </c>
      <c r="T57"/>
      <c r="W57" t="s">
        <v>82</v>
      </c>
      <c r="X57" t="s">
        <v>125</v>
      </c>
      <c r="Y57" t="s">
        <v>168</v>
      </c>
      <c r="Z57" t="s">
        <v>168</v>
      </c>
      <c r="AM57" t="s">
        <v>86</v>
      </c>
      <c r="AN57" s="2">
        <v>44625</v>
      </c>
      <c r="AO57"/>
      <c r="AV57" s="2"/>
      <c r="AZ57"/>
      <c r="BT57" s="2">
        <f>Tabla1[[#This Row],[FECHA_TRASPLANTE]]</f>
        <v>42319</v>
      </c>
      <c r="BU57">
        <f>IF(Tabla1[[#This Row],[FALLECIDO SI/NO]]="NO",0,1)</f>
        <v>1</v>
      </c>
      <c r="BV57" s="3">
        <f ca="1">IF(Tabla1[[#This Row],[FALLECIDO_COD]]=0,TODAY()-Tabla1[[#This Row],[FECHA_TRASPLANTE]],Tabla1[[#This Row],[FECHA DE DEFUNCIÓN]]-Tabla1[[#This Row],[FECHA_TRASPLANTE]])</f>
        <v>2306</v>
      </c>
      <c r="BW57" s="3">
        <f ca="1">IF(Tabla1[[#This Row],[FALLECIDO_COD]]=0,TODAY()-Tabla1[[#This Row],[FECHA_TRASPLANTE]],Tabla1[[#This Row],[FECHA DE DEFUNCIÓN]]-Tabla1[[#This Row],[FECHA_TRASPLANTE]])/30.4375</f>
        <v>75.761806981519513</v>
      </c>
      <c r="BX57" s="3">
        <f ca="1">IF(Tabla1[[#This Row],[FALLECIDO_COD]]=0,TODAY()-Tabla1[[#This Row],[FECHA_TRASPLANTE]],Tabla1[[#This Row],[FECHA DE DEFUNCIÓN]]-Tabla1[[#This Row],[FECHA_TRASPLANTE]])/365.25</f>
        <v>6.3134839151266258</v>
      </c>
      <c r="BY57"/>
      <c r="BZ57"/>
    </row>
    <row r="58" spans="1:78" hidden="1" x14ac:dyDescent="0.35">
      <c r="A58" t="s">
        <v>377</v>
      </c>
      <c r="D58" t="s">
        <v>1129</v>
      </c>
      <c r="E58" t="s">
        <v>375</v>
      </c>
      <c r="I58">
        <v>116.20041180507893</v>
      </c>
      <c r="J58" t="s">
        <v>1180</v>
      </c>
      <c r="K58" t="s">
        <v>1238</v>
      </c>
      <c r="L58" t="s">
        <v>149</v>
      </c>
      <c r="M58" t="s">
        <v>149</v>
      </c>
      <c r="N58" s="11">
        <v>401890726</v>
      </c>
      <c r="O58" s="2">
        <v>42326</v>
      </c>
      <c r="P58" t="s">
        <v>90</v>
      </c>
      <c r="Q58" s="2">
        <v>31381</v>
      </c>
      <c r="R58" s="3">
        <f>(Tabla1[[#This Row],[FECHA_TRASPLANTE]]-Tabla1[[#This Row],[FECHA_NAC]])/365.25</f>
        <v>29.965776865160848</v>
      </c>
      <c r="S58" t="s">
        <v>896</v>
      </c>
      <c r="T58"/>
      <c r="W58" t="s">
        <v>82</v>
      </c>
      <c r="X58" t="s">
        <v>261</v>
      </c>
      <c r="Y58" t="s">
        <v>84</v>
      </c>
      <c r="Z58" t="s">
        <v>212</v>
      </c>
      <c r="AM58" t="s">
        <v>106</v>
      </c>
      <c r="AO58"/>
      <c r="AV58" s="2"/>
      <c r="AZ58"/>
      <c r="BT58" s="2">
        <f>Tabla1[[#This Row],[FECHA_TRASPLANTE]]</f>
        <v>42326</v>
      </c>
      <c r="BU58">
        <f>IF(Tabla1[[#This Row],[FALLECIDO SI/NO]]="NO",0,1)</f>
        <v>0</v>
      </c>
      <c r="BV58" s="3">
        <f ca="1">IF(Tabla1[[#This Row],[FALLECIDO_COD]]=0,TODAY()-Tabla1[[#This Row],[FECHA_TRASPLANTE]],Tabla1[[#This Row],[FECHA DE DEFUNCIÓN]]-Tabla1[[#This Row],[FECHA_TRASPLANTE]])</f>
        <v>3549</v>
      </c>
      <c r="BW58" s="3">
        <f ca="1">IF(Tabla1[[#This Row],[FALLECIDO_COD]]=0,TODAY()-Tabla1[[#This Row],[FECHA_TRASPLANTE]],Tabla1[[#This Row],[FECHA DE DEFUNCIÓN]]-Tabla1[[#This Row],[FECHA_TRASPLANTE]])/30.4375</f>
        <v>116.59958932238193</v>
      </c>
      <c r="BX58" s="3">
        <f ca="1">IF(Tabla1[[#This Row],[FALLECIDO_COD]]=0,TODAY()-Tabla1[[#This Row],[FECHA_TRASPLANTE]],Tabla1[[#This Row],[FECHA DE DEFUNCIÓN]]-Tabla1[[#This Row],[FECHA_TRASPLANTE]])/365.25</f>
        <v>9.716632443531827</v>
      </c>
      <c r="BY58"/>
      <c r="BZ58"/>
    </row>
    <row r="59" spans="1:78" hidden="1" x14ac:dyDescent="0.35">
      <c r="A59" t="s">
        <v>377</v>
      </c>
      <c r="D59" t="s">
        <v>1129</v>
      </c>
      <c r="E59" t="s">
        <v>375</v>
      </c>
      <c r="I59">
        <v>116.21962937542897</v>
      </c>
      <c r="J59" t="s">
        <v>1180</v>
      </c>
      <c r="K59" t="s">
        <v>1239</v>
      </c>
      <c r="L59" t="s">
        <v>1240</v>
      </c>
      <c r="M59" t="s">
        <v>411</v>
      </c>
      <c r="N59" s="11">
        <v>109050088</v>
      </c>
      <c r="O59" s="2">
        <v>42333</v>
      </c>
      <c r="P59" t="s">
        <v>81</v>
      </c>
      <c r="Q59" s="2">
        <v>27415</v>
      </c>
      <c r="R59" s="3">
        <f>(Tabla1[[#This Row],[FECHA_TRASPLANTE]]-Tabla1[[#This Row],[FECHA_NAC]])/365.25</f>
        <v>40.843258042436688</v>
      </c>
      <c r="S59" t="s">
        <v>210</v>
      </c>
      <c r="T59"/>
      <c r="W59" t="s">
        <v>82</v>
      </c>
      <c r="X59" t="s">
        <v>115</v>
      </c>
      <c r="Y59" t="s">
        <v>1241</v>
      </c>
      <c r="Z59" t="s">
        <v>1241</v>
      </c>
      <c r="AM59" t="s">
        <v>106</v>
      </c>
      <c r="AO59"/>
      <c r="AV59" s="2"/>
      <c r="AZ59"/>
      <c r="BT59" s="2">
        <f>Tabla1[[#This Row],[FECHA_TRASPLANTE]]</f>
        <v>42333</v>
      </c>
      <c r="BU59">
        <f>IF(Tabla1[[#This Row],[FALLECIDO SI/NO]]="NO",0,1)</f>
        <v>0</v>
      </c>
      <c r="BV59" s="3">
        <f ca="1">IF(Tabla1[[#This Row],[FALLECIDO_COD]]=0,TODAY()-Tabla1[[#This Row],[FECHA_TRASPLANTE]],Tabla1[[#This Row],[FECHA DE DEFUNCIÓN]]-Tabla1[[#This Row],[FECHA_TRASPLANTE]])</f>
        <v>3542</v>
      </c>
      <c r="BW59" s="3">
        <f ca="1">IF(Tabla1[[#This Row],[FALLECIDO_COD]]=0,TODAY()-Tabla1[[#This Row],[FECHA_TRASPLANTE]],Tabla1[[#This Row],[FECHA DE DEFUNCIÓN]]-Tabla1[[#This Row],[FECHA_TRASPLANTE]])/30.4375</f>
        <v>116.36960985626284</v>
      </c>
      <c r="BX59" s="3">
        <f ca="1">IF(Tabla1[[#This Row],[FALLECIDO_COD]]=0,TODAY()-Tabla1[[#This Row],[FECHA_TRASPLANTE]],Tabla1[[#This Row],[FECHA DE DEFUNCIÓN]]-Tabla1[[#This Row],[FECHA_TRASPLANTE]])/365.25</f>
        <v>9.6974674880219034</v>
      </c>
      <c r="BY59"/>
      <c r="BZ59"/>
    </row>
    <row r="60" spans="1:78" hidden="1" x14ac:dyDescent="0.35">
      <c r="A60" t="s">
        <v>377</v>
      </c>
      <c r="D60" t="s">
        <v>1129</v>
      </c>
      <c r="E60" t="s">
        <v>375</v>
      </c>
      <c r="I60">
        <v>116.25531914893617</v>
      </c>
      <c r="J60" t="s">
        <v>1160</v>
      </c>
      <c r="K60" t="s">
        <v>1242</v>
      </c>
      <c r="L60" t="s">
        <v>99</v>
      </c>
      <c r="M60" t="s">
        <v>432</v>
      </c>
      <c r="N60" s="11">
        <v>204360765</v>
      </c>
      <c r="O60" s="2">
        <v>42346</v>
      </c>
      <c r="P60" t="s">
        <v>81</v>
      </c>
      <c r="Q60" s="2">
        <v>24894</v>
      </c>
      <c r="R60" s="3">
        <f>(Tabla1[[#This Row],[FECHA_TRASPLANTE]]-Tabla1[[#This Row],[FECHA_NAC]])/365.25</f>
        <v>47.780971937029435</v>
      </c>
      <c r="S60" t="s">
        <v>210</v>
      </c>
      <c r="T60"/>
      <c r="W60" t="s">
        <v>82</v>
      </c>
      <c r="X60" t="s">
        <v>822</v>
      </c>
      <c r="AM60" t="s">
        <v>86</v>
      </c>
      <c r="AN60" s="2">
        <v>42896</v>
      </c>
      <c r="AO60"/>
      <c r="AV60" s="2"/>
      <c r="AZ60"/>
      <c r="BT60" s="2">
        <f>Tabla1[[#This Row],[FECHA_TRASPLANTE]]</f>
        <v>42346</v>
      </c>
      <c r="BU60">
        <f>IF(Tabla1[[#This Row],[FALLECIDO SI/NO]]="NO",0,1)</f>
        <v>1</v>
      </c>
      <c r="BV60" s="3">
        <f ca="1">IF(Tabla1[[#This Row],[FALLECIDO_COD]]=0,TODAY()-Tabla1[[#This Row],[FECHA_TRASPLANTE]],Tabla1[[#This Row],[FECHA DE DEFUNCIÓN]]-Tabla1[[#This Row],[FECHA_TRASPLANTE]])</f>
        <v>550</v>
      </c>
      <c r="BW60" s="3">
        <f ca="1">IF(Tabla1[[#This Row],[FALLECIDO_COD]]=0,TODAY()-Tabla1[[#This Row],[FECHA_TRASPLANTE]],Tabla1[[#This Row],[FECHA DE DEFUNCIÓN]]-Tabla1[[#This Row],[FECHA_TRASPLANTE]])/30.4375</f>
        <v>18.069815195071868</v>
      </c>
      <c r="BX60" s="3">
        <f ca="1">IF(Tabla1[[#This Row],[FALLECIDO_COD]]=0,TODAY()-Tabla1[[#This Row],[FECHA_TRASPLANTE]],Tabla1[[#This Row],[FECHA DE DEFUNCIÓN]]-Tabla1[[#This Row],[FECHA_TRASPLANTE]])/365.25</f>
        <v>1.5058179329226558</v>
      </c>
      <c r="BY60"/>
      <c r="BZ60"/>
    </row>
    <row r="61" spans="1:78" hidden="1" x14ac:dyDescent="0.35">
      <c r="A61" t="s">
        <v>377</v>
      </c>
      <c r="D61" t="s">
        <v>1129</v>
      </c>
      <c r="E61" t="s">
        <v>375</v>
      </c>
      <c r="I61">
        <v>116.27728208647906</v>
      </c>
      <c r="J61" t="s">
        <v>1152</v>
      </c>
      <c r="K61" t="s">
        <v>1243</v>
      </c>
      <c r="L61" t="s">
        <v>399</v>
      </c>
      <c r="M61" t="s">
        <v>79</v>
      </c>
      <c r="N61" s="11">
        <v>601940092</v>
      </c>
      <c r="O61" s="2">
        <v>42354</v>
      </c>
      <c r="P61" t="s">
        <v>81</v>
      </c>
      <c r="Q61" s="2">
        <v>24043</v>
      </c>
      <c r="R61" s="3">
        <f>(Tabla1[[#This Row],[FECHA_TRASPLANTE]]-Tabla1[[#This Row],[FECHA_NAC]])/365.25</f>
        <v>50.13278576317591</v>
      </c>
      <c r="S61" t="s">
        <v>200</v>
      </c>
      <c r="T61"/>
      <c r="W61" t="s">
        <v>82</v>
      </c>
      <c r="X61" t="s">
        <v>1145</v>
      </c>
      <c r="AM61" t="s">
        <v>106</v>
      </c>
      <c r="AO61"/>
      <c r="AV61" s="2"/>
      <c r="AZ61"/>
      <c r="BT61" s="2">
        <f>Tabla1[[#This Row],[FECHA_TRASPLANTE]]</f>
        <v>42354</v>
      </c>
      <c r="BU61">
        <f>IF(Tabla1[[#This Row],[FALLECIDO SI/NO]]="NO",0,1)</f>
        <v>0</v>
      </c>
      <c r="BV61" s="3">
        <f ca="1">IF(Tabla1[[#This Row],[FALLECIDO_COD]]=0,TODAY()-Tabla1[[#This Row],[FECHA_TRASPLANTE]],Tabla1[[#This Row],[FECHA DE DEFUNCIÓN]]-Tabla1[[#This Row],[FECHA_TRASPLANTE]])</f>
        <v>3521</v>
      </c>
      <c r="BW61" s="3">
        <f ca="1">IF(Tabla1[[#This Row],[FALLECIDO_COD]]=0,TODAY()-Tabla1[[#This Row],[FECHA_TRASPLANTE]],Tabla1[[#This Row],[FECHA DE DEFUNCIÓN]]-Tabla1[[#This Row],[FECHA_TRASPLANTE]])/30.4375</f>
        <v>115.67967145790554</v>
      </c>
      <c r="BX61" s="3">
        <f ca="1">IF(Tabla1[[#This Row],[FALLECIDO_COD]]=0,TODAY()-Tabla1[[#This Row],[FECHA_TRASPLANTE]],Tabla1[[#This Row],[FECHA DE DEFUNCIÓN]]-Tabla1[[#This Row],[FECHA_TRASPLANTE]])/365.25</f>
        <v>9.6399726214921291</v>
      </c>
      <c r="BY61"/>
      <c r="BZ61"/>
    </row>
    <row r="62" spans="1:78" hidden="1" x14ac:dyDescent="0.35">
      <c r="A62" t="s">
        <v>377</v>
      </c>
      <c r="D62" t="s">
        <v>1129</v>
      </c>
      <c r="E62" t="s">
        <v>375</v>
      </c>
      <c r="I62">
        <v>116.33218943033631</v>
      </c>
      <c r="K62" t="s">
        <v>1244</v>
      </c>
      <c r="L62" t="s">
        <v>1245</v>
      </c>
      <c r="M62" t="s">
        <v>1246</v>
      </c>
      <c r="N62" s="11">
        <v>503610156</v>
      </c>
      <c r="O62" s="2">
        <v>42374</v>
      </c>
      <c r="P62" t="s">
        <v>90</v>
      </c>
      <c r="Q62" s="2">
        <v>32084</v>
      </c>
      <c r="R62" s="3">
        <f>(Tabla1[[#This Row],[FECHA_TRASPLANTE]]-Tabla1[[#This Row],[FECHA_NAC]])/365.25</f>
        <v>28.172484599589321</v>
      </c>
      <c r="S62" t="s">
        <v>210</v>
      </c>
      <c r="T62"/>
      <c r="W62" t="s">
        <v>82</v>
      </c>
      <c r="X62" t="s">
        <v>1145</v>
      </c>
      <c r="AM62" t="s">
        <v>106</v>
      </c>
      <c r="AO62"/>
      <c r="AV62" s="2"/>
      <c r="AZ62"/>
      <c r="BT62" s="2">
        <f>Tabla1[[#This Row],[FECHA_TRASPLANTE]]</f>
        <v>42374</v>
      </c>
      <c r="BU62">
        <f>IF(Tabla1[[#This Row],[FALLECIDO SI/NO]]="NO",0,1)</f>
        <v>0</v>
      </c>
      <c r="BV62" s="3">
        <f ca="1">IF(Tabla1[[#This Row],[FALLECIDO_COD]]=0,TODAY()-Tabla1[[#This Row],[FECHA_TRASPLANTE]],Tabla1[[#This Row],[FECHA DE DEFUNCIÓN]]-Tabla1[[#This Row],[FECHA_TRASPLANTE]])</f>
        <v>3501</v>
      </c>
      <c r="BW62" s="3">
        <f ca="1">IF(Tabla1[[#This Row],[FALLECIDO_COD]]=0,TODAY()-Tabla1[[#This Row],[FECHA_TRASPLANTE]],Tabla1[[#This Row],[FECHA DE DEFUNCIÓN]]-Tabla1[[#This Row],[FECHA_TRASPLANTE]])/30.4375</f>
        <v>115.02258726899385</v>
      </c>
      <c r="BX62" s="3">
        <f ca="1">IF(Tabla1[[#This Row],[FALLECIDO_COD]]=0,TODAY()-Tabla1[[#This Row],[FECHA_TRASPLANTE]],Tabla1[[#This Row],[FECHA DE DEFUNCIÓN]]-Tabla1[[#This Row],[FECHA_TRASPLANTE]])/365.25</f>
        <v>9.5852156057494859</v>
      </c>
      <c r="BY62"/>
      <c r="BZ62"/>
    </row>
    <row r="63" spans="1:78" hidden="1" x14ac:dyDescent="0.35">
      <c r="A63" t="s">
        <v>377</v>
      </c>
      <c r="D63" t="s">
        <v>1129</v>
      </c>
      <c r="E63" t="s">
        <v>375</v>
      </c>
      <c r="I63">
        <v>116.35415236787921</v>
      </c>
      <c r="J63" t="s">
        <v>1197</v>
      </c>
      <c r="K63" t="s">
        <v>1247</v>
      </c>
      <c r="L63" t="s">
        <v>390</v>
      </c>
      <c r="M63" t="s">
        <v>386</v>
      </c>
      <c r="N63" s="11">
        <v>207290134</v>
      </c>
      <c r="O63" s="2">
        <v>42382</v>
      </c>
      <c r="P63" t="s">
        <v>81</v>
      </c>
      <c r="Q63" s="2">
        <v>34568</v>
      </c>
      <c r="R63" s="3">
        <f>(Tabla1[[#This Row],[FECHA_TRASPLANTE]]-Tabla1[[#This Row],[FECHA_NAC]])/365.25</f>
        <v>21.393566050650239</v>
      </c>
      <c r="S63" t="s">
        <v>200</v>
      </c>
      <c r="T63"/>
      <c r="W63" t="s">
        <v>82</v>
      </c>
      <c r="X63" t="s">
        <v>822</v>
      </c>
      <c r="AM63" t="s">
        <v>86</v>
      </c>
      <c r="AN63" s="2">
        <v>42447</v>
      </c>
      <c r="AO63"/>
      <c r="AV63" s="2"/>
      <c r="AZ63"/>
      <c r="BT63" s="2">
        <f>Tabla1[[#This Row],[FECHA_TRASPLANTE]]</f>
        <v>42382</v>
      </c>
      <c r="BU63">
        <f>IF(Tabla1[[#This Row],[FALLECIDO SI/NO]]="NO",0,1)</f>
        <v>1</v>
      </c>
      <c r="BV63" s="3">
        <f ca="1">IF(Tabla1[[#This Row],[FALLECIDO_COD]]=0,TODAY()-Tabla1[[#This Row],[FECHA_TRASPLANTE]],Tabla1[[#This Row],[FECHA DE DEFUNCIÓN]]-Tabla1[[#This Row],[FECHA_TRASPLANTE]])</f>
        <v>65</v>
      </c>
      <c r="BW63" s="3">
        <f ca="1">IF(Tabla1[[#This Row],[FALLECIDO_COD]]=0,TODAY()-Tabla1[[#This Row],[FECHA_TRASPLANTE]],Tabla1[[#This Row],[FECHA DE DEFUNCIÓN]]-Tabla1[[#This Row],[FECHA_TRASPLANTE]])/30.4375</f>
        <v>2.1355236139630391</v>
      </c>
      <c r="BX63" s="3">
        <f ca="1">IF(Tabla1[[#This Row],[FALLECIDO_COD]]=0,TODAY()-Tabla1[[#This Row],[FECHA_TRASPLANTE]],Tabla1[[#This Row],[FECHA DE DEFUNCIÓN]]-Tabla1[[#This Row],[FECHA_TRASPLANTE]])/365.25</f>
        <v>0.17796030116358658</v>
      </c>
      <c r="BY63"/>
      <c r="BZ63"/>
    </row>
    <row r="64" spans="1:78" hidden="1" x14ac:dyDescent="0.35">
      <c r="A64" t="s">
        <v>377</v>
      </c>
      <c r="D64" t="s">
        <v>1129</v>
      </c>
      <c r="E64" t="s">
        <v>375</v>
      </c>
      <c r="I64">
        <v>116.39258750857927</v>
      </c>
      <c r="J64" t="s">
        <v>1248</v>
      </c>
      <c r="K64" t="s">
        <v>1249</v>
      </c>
      <c r="L64" t="s">
        <v>913</v>
      </c>
      <c r="M64" t="s">
        <v>1250</v>
      </c>
      <c r="N64" s="11">
        <v>603110105</v>
      </c>
      <c r="O64" s="2">
        <v>42396</v>
      </c>
      <c r="P64" t="s">
        <v>81</v>
      </c>
      <c r="Q64" s="2">
        <v>29571</v>
      </c>
      <c r="R64" s="3">
        <f>(Tabla1[[#This Row],[FECHA_TRASPLANTE]]-Tabla1[[#This Row],[FECHA_NAC]])/365.25</f>
        <v>35.112936344969199</v>
      </c>
      <c r="S64" t="s">
        <v>205</v>
      </c>
      <c r="T64"/>
      <c r="W64" t="s">
        <v>82</v>
      </c>
      <c r="X64" t="s">
        <v>125</v>
      </c>
      <c r="Y64" t="s">
        <v>667</v>
      </c>
      <c r="Z64" t="s">
        <v>667</v>
      </c>
      <c r="AM64" t="s">
        <v>106</v>
      </c>
      <c r="AO64"/>
      <c r="AV64" s="2"/>
      <c r="AZ64"/>
      <c r="BT64" s="2">
        <f>Tabla1[[#This Row],[FECHA_TRASPLANTE]]</f>
        <v>42396</v>
      </c>
      <c r="BU64">
        <f>IF(Tabla1[[#This Row],[FALLECIDO SI/NO]]="NO",0,1)</f>
        <v>0</v>
      </c>
      <c r="BV64" s="3">
        <f ca="1">IF(Tabla1[[#This Row],[FALLECIDO_COD]]=0,TODAY()-Tabla1[[#This Row],[FECHA_TRASPLANTE]],Tabla1[[#This Row],[FECHA DE DEFUNCIÓN]]-Tabla1[[#This Row],[FECHA_TRASPLANTE]])</f>
        <v>3479</v>
      </c>
      <c r="BW64" s="3">
        <f ca="1">IF(Tabla1[[#This Row],[FALLECIDO_COD]]=0,TODAY()-Tabla1[[#This Row],[FECHA_TRASPLANTE]],Tabla1[[#This Row],[FECHA DE DEFUNCIÓN]]-Tabla1[[#This Row],[FECHA_TRASPLANTE]])/30.4375</f>
        <v>114.29979466119096</v>
      </c>
      <c r="BX64" s="3">
        <f ca="1">IF(Tabla1[[#This Row],[FALLECIDO_COD]]=0,TODAY()-Tabla1[[#This Row],[FECHA_TRASPLANTE]],Tabla1[[#This Row],[FECHA DE DEFUNCIÓN]]-Tabla1[[#This Row],[FECHA_TRASPLANTE]])/365.25</f>
        <v>9.5249828884325805</v>
      </c>
      <c r="BY64"/>
      <c r="BZ64"/>
    </row>
    <row r="65" spans="1:78" hidden="1" x14ac:dyDescent="0.35">
      <c r="A65" t="s">
        <v>377</v>
      </c>
      <c r="D65" t="s">
        <v>1129</v>
      </c>
      <c r="E65" t="s">
        <v>375</v>
      </c>
      <c r="I65">
        <v>116.4337680164722</v>
      </c>
      <c r="J65" t="s">
        <v>1251</v>
      </c>
      <c r="K65" t="s">
        <v>1252</v>
      </c>
      <c r="L65" t="s">
        <v>233</v>
      </c>
      <c r="M65" t="s">
        <v>411</v>
      </c>
      <c r="N65" s="11">
        <v>602840547</v>
      </c>
      <c r="O65" s="2">
        <v>42411</v>
      </c>
      <c r="P65" t="s">
        <v>81</v>
      </c>
      <c r="Q65" s="2">
        <v>28358</v>
      </c>
      <c r="R65" s="3">
        <f>(Tabla1[[#This Row],[FECHA_TRASPLANTE]]-Tabla1[[#This Row],[FECHA_NAC]])/365.25</f>
        <v>38.475017111567418</v>
      </c>
      <c r="S65" t="s">
        <v>200</v>
      </c>
      <c r="T65"/>
      <c r="W65" t="s">
        <v>82</v>
      </c>
      <c r="X65" t="s">
        <v>83</v>
      </c>
      <c r="Y65" t="s">
        <v>84</v>
      </c>
      <c r="Z65" t="s">
        <v>85</v>
      </c>
      <c r="AM65" t="s">
        <v>106</v>
      </c>
      <c r="AO65"/>
      <c r="AV65" s="2"/>
      <c r="AZ65"/>
      <c r="BT65" s="2">
        <f>Tabla1[[#This Row],[FECHA_TRASPLANTE]]</f>
        <v>42411</v>
      </c>
      <c r="BU65">
        <f>IF(Tabla1[[#This Row],[FALLECIDO SI/NO]]="NO",0,1)</f>
        <v>0</v>
      </c>
      <c r="BV65" s="3">
        <f ca="1">IF(Tabla1[[#This Row],[FALLECIDO_COD]]=0,TODAY()-Tabla1[[#This Row],[FECHA_TRASPLANTE]],Tabla1[[#This Row],[FECHA DE DEFUNCIÓN]]-Tabla1[[#This Row],[FECHA_TRASPLANTE]])</f>
        <v>3464</v>
      </c>
      <c r="BW65" s="3">
        <f ca="1">IF(Tabla1[[#This Row],[FALLECIDO_COD]]=0,TODAY()-Tabla1[[#This Row],[FECHA_TRASPLANTE]],Tabla1[[#This Row],[FECHA DE DEFUNCIÓN]]-Tabla1[[#This Row],[FECHA_TRASPLANTE]])/30.4375</f>
        <v>113.80698151950719</v>
      </c>
      <c r="BX65" s="3">
        <f ca="1">IF(Tabla1[[#This Row],[FALLECIDO_COD]]=0,TODAY()-Tabla1[[#This Row],[FECHA_TRASPLANTE]],Tabla1[[#This Row],[FECHA DE DEFUNCIÓN]]-Tabla1[[#This Row],[FECHA_TRASPLANTE]])/365.25</f>
        <v>9.4839151266255985</v>
      </c>
      <c r="BY65"/>
      <c r="BZ65"/>
    </row>
    <row r="66" spans="1:78" hidden="1" x14ac:dyDescent="0.35">
      <c r="A66" t="s">
        <v>377</v>
      </c>
      <c r="D66" t="s">
        <v>1129</v>
      </c>
      <c r="E66" t="s">
        <v>375</v>
      </c>
      <c r="I66">
        <v>116.45024021962938</v>
      </c>
      <c r="J66" t="s">
        <v>1152</v>
      </c>
      <c r="K66" t="s">
        <v>1253</v>
      </c>
      <c r="L66" t="s">
        <v>1254</v>
      </c>
      <c r="M66" t="s">
        <v>329</v>
      </c>
      <c r="N66" s="11">
        <v>106180600</v>
      </c>
      <c r="O66" s="2">
        <v>42417</v>
      </c>
      <c r="P66" t="s">
        <v>81</v>
      </c>
      <c r="Q66" s="2">
        <v>23391</v>
      </c>
      <c r="R66" s="3">
        <f>(Tabla1[[#This Row],[FECHA_TRASPLANTE]]-Tabla1[[#This Row],[FECHA_NAC]])/365.25</f>
        <v>52.090349075975361</v>
      </c>
      <c r="S66" t="s">
        <v>210</v>
      </c>
      <c r="T66"/>
      <c r="W66" t="s">
        <v>82</v>
      </c>
      <c r="X66" t="s">
        <v>115</v>
      </c>
      <c r="Y66" t="s">
        <v>84</v>
      </c>
      <c r="Z66" t="s">
        <v>454</v>
      </c>
      <c r="AM66" t="s">
        <v>106</v>
      </c>
      <c r="AO66"/>
      <c r="AV66" s="2"/>
      <c r="AZ66"/>
      <c r="BT66" s="2">
        <f>Tabla1[[#This Row],[FECHA_TRASPLANTE]]</f>
        <v>42417</v>
      </c>
      <c r="BU66">
        <f>IF(Tabla1[[#This Row],[FALLECIDO SI/NO]]="NO",0,1)</f>
        <v>0</v>
      </c>
      <c r="BV66" s="3">
        <f ca="1">IF(Tabla1[[#This Row],[FALLECIDO_COD]]=0,TODAY()-Tabla1[[#This Row],[FECHA_TRASPLANTE]],Tabla1[[#This Row],[FECHA DE DEFUNCIÓN]]-Tabla1[[#This Row],[FECHA_TRASPLANTE]])</f>
        <v>3458</v>
      </c>
      <c r="BW66" s="3">
        <f ca="1">IF(Tabla1[[#This Row],[FALLECIDO_COD]]=0,TODAY()-Tabla1[[#This Row],[FECHA_TRASPLANTE]],Tabla1[[#This Row],[FECHA DE DEFUNCIÓN]]-Tabla1[[#This Row],[FECHA_TRASPLANTE]])/30.4375</f>
        <v>113.60985626283367</v>
      </c>
      <c r="BX66" s="3">
        <f ca="1">IF(Tabla1[[#This Row],[FALLECIDO_COD]]=0,TODAY()-Tabla1[[#This Row],[FECHA_TRASPLANTE]],Tabla1[[#This Row],[FECHA DE DEFUNCIÓN]]-Tabla1[[#This Row],[FECHA_TRASPLANTE]])/365.25</f>
        <v>9.4674880219028061</v>
      </c>
      <c r="BY66"/>
      <c r="BZ66"/>
    </row>
    <row r="67" spans="1:78" hidden="1" x14ac:dyDescent="0.35">
      <c r="A67" t="s">
        <v>377</v>
      </c>
      <c r="D67" t="s">
        <v>1129</v>
      </c>
      <c r="E67" t="s">
        <v>375</v>
      </c>
      <c r="I67">
        <v>116.46945778997942</v>
      </c>
      <c r="J67" t="s">
        <v>1152</v>
      </c>
      <c r="K67" t="s">
        <v>1255</v>
      </c>
      <c r="L67" t="s">
        <v>243</v>
      </c>
      <c r="M67" t="s">
        <v>243</v>
      </c>
      <c r="N67" s="11">
        <v>26522526</v>
      </c>
      <c r="O67" s="2">
        <v>42424</v>
      </c>
      <c r="P67" t="s">
        <v>90</v>
      </c>
      <c r="Q67" s="2">
        <v>23830</v>
      </c>
      <c r="R67" s="3">
        <f>(Tabla1[[#This Row],[FECHA_TRASPLANTE]]-Tabla1[[#This Row],[FECHA_NAC]])/365.25</f>
        <v>50.907597535934293</v>
      </c>
      <c r="S67" t="s">
        <v>210</v>
      </c>
      <c r="T67"/>
      <c r="W67" t="s">
        <v>597</v>
      </c>
      <c r="X67" t="s">
        <v>822</v>
      </c>
      <c r="AM67" t="s">
        <v>106</v>
      </c>
      <c r="AO67"/>
      <c r="AV67" s="2"/>
      <c r="AZ67"/>
      <c r="BT67" s="2">
        <f>Tabla1[[#This Row],[FECHA_TRASPLANTE]]</f>
        <v>42424</v>
      </c>
      <c r="BU67">
        <f>IF(Tabla1[[#This Row],[FALLECIDO SI/NO]]="NO",0,1)</f>
        <v>0</v>
      </c>
      <c r="BV67" s="3">
        <f ca="1">IF(Tabla1[[#This Row],[FALLECIDO_COD]]=0,TODAY()-Tabla1[[#This Row],[FECHA_TRASPLANTE]],Tabla1[[#This Row],[FECHA DE DEFUNCIÓN]]-Tabla1[[#This Row],[FECHA_TRASPLANTE]])</f>
        <v>3451</v>
      </c>
      <c r="BW67" s="3">
        <f ca="1">IF(Tabla1[[#This Row],[FALLECIDO_COD]]=0,TODAY()-Tabla1[[#This Row],[FECHA_TRASPLANTE]],Tabla1[[#This Row],[FECHA DE DEFUNCIÓN]]-Tabla1[[#This Row],[FECHA_TRASPLANTE]])/30.4375</f>
        <v>113.37987679671458</v>
      </c>
      <c r="BX67" s="3">
        <f ca="1">IF(Tabla1[[#This Row],[FALLECIDO_COD]]=0,TODAY()-Tabla1[[#This Row],[FECHA_TRASPLANTE]],Tabla1[[#This Row],[FECHA DE DEFUNCIÓN]]-Tabla1[[#This Row],[FECHA_TRASPLANTE]])/365.25</f>
        <v>9.4483230663928808</v>
      </c>
      <c r="BY67"/>
      <c r="BZ67"/>
    </row>
    <row r="68" spans="1:78" hidden="1" x14ac:dyDescent="0.35">
      <c r="A68" t="s">
        <v>377</v>
      </c>
      <c r="D68" t="s">
        <v>1129</v>
      </c>
      <c r="E68" t="s">
        <v>77</v>
      </c>
      <c r="I68">
        <v>116.49965682910089</v>
      </c>
      <c r="K68" t="s">
        <v>528</v>
      </c>
      <c r="L68" t="s">
        <v>390</v>
      </c>
      <c r="M68" t="s">
        <v>171</v>
      </c>
      <c r="N68" s="11">
        <v>501950170</v>
      </c>
      <c r="O68" s="2">
        <v>42435</v>
      </c>
      <c r="P68" t="s">
        <v>81</v>
      </c>
      <c r="Q68" s="2">
        <v>22487</v>
      </c>
      <c r="R68" s="3">
        <f>(Tabla1[[#This Row],[FECHA_TRASPLANTE]]-Tabla1[[#This Row],[FECHA_NAC]])/365.25</f>
        <v>54.614647501711154</v>
      </c>
      <c r="S68" t="s">
        <v>210</v>
      </c>
      <c r="T68"/>
      <c r="W68" t="s">
        <v>82</v>
      </c>
      <c r="X68" t="s">
        <v>125</v>
      </c>
      <c r="Y68" t="s">
        <v>1256</v>
      </c>
      <c r="Z68" t="s">
        <v>1257</v>
      </c>
      <c r="AM68" t="s">
        <v>86</v>
      </c>
      <c r="AN68" s="2">
        <v>42838</v>
      </c>
      <c r="AO68"/>
      <c r="AV68" s="2"/>
      <c r="AZ68"/>
      <c r="BT68" s="2">
        <f>Tabla1[[#This Row],[FECHA_TRASPLANTE]]</f>
        <v>42435</v>
      </c>
      <c r="BU68">
        <f>IF(Tabla1[[#This Row],[FALLECIDO SI/NO]]="NO",0,1)</f>
        <v>1</v>
      </c>
      <c r="BV68" s="3">
        <f ca="1">IF(Tabla1[[#This Row],[FALLECIDO_COD]]=0,TODAY()-Tabla1[[#This Row],[FECHA_TRASPLANTE]],Tabla1[[#This Row],[FECHA DE DEFUNCIÓN]]-Tabla1[[#This Row],[FECHA_TRASPLANTE]])</f>
        <v>403</v>
      </c>
      <c r="BW68" s="3">
        <f ca="1">IF(Tabla1[[#This Row],[FALLECIDO_COD]]=0,TODAY()-Tabla1[[#This Row],[FECHA_TRASPLANTE]],Tabla1[[#This Row],[FECHA DE DEFUNCIÓN]]-Tabla1[[#This Row],[FECHA_TRASPLANTE]])/30.4375</f>
        <v>13.240246406570842</v>
      </c>
      <c r="BX68" s="3">
        <f ca="1">IF(Tabla1[[#This Row],[FALLECIDO_COD]]=0,TODAY()-Tabla1[[#This Row],[FECHA_TRASPLANTE]],Tabla1[[#This Row],[FECHA DE DEFUNCIÓN]]-Tabla1[[#This Row],[FECHA_TRASPLANTE]])/365.25</f>
        <v>1.1033538672142369</v>
      </c>
      <c r="BY68"/>
      <c r="BZ68"/>
    </row>
    <row r="69" spans="1:78" hidden="1" x14ac:dyDescent="0.35">
      <c r="A69" t="s">
        <v>377</v>
      </c>
      <c r="D69" t="s">
        <v>1129</v>
      </c>
      <c r="E69" t="s">
        <v>77</v>
      </c>
      <c r="I69">
        <v>116.51338366506521</v>
      </c>
      <c r="J69" t="s">
        <v>1258</v>
      </c>
      <c r="K69" t="s">
        <v>1155</v>
      </c>
      <c r="L69" t="s">
        <v>263</v>
      </c>
      <c r="M69" t="s">
        <v>118</v>
      </c>
      <c r="N69" s="11">
        <v>204650891</v>
      </c>
      <c r="O69" s="2">
        <v>42440</v>
      </c>
      <c r="P69" t="s">
        <v>90</v>
      </c>
      <c r="Q69" s="2">
        <v>26013</v>
      </c>
      <c r="R69" s="3">
        <f>(Tabla1[[#This Row],[FECHA_TRASPLANTE]]-Tabla1[[#This Row],[FECHA_NAC]])/365.25</f>
        <v>44.974674880219027</v>
      </c>
      <c r="S69" t="s">
        <v>344</v>
      </c>
      <c r="T69"/>
      <c r="W69" t="s">
        <v>82</v>
      </c>
      <c r="X69" t="s">
        <v>115</v>
      </c>
      <c r="Y69" t="s">
        <v>84</v>
      </c>
      <c r="Z69" t="s">
        <v>91</v>
      </c>
      <c r="AM69" t="s">
        <v>106</v>
      </c>
      <c r="AO69"/>
      <c r="AV69" s="2"/>
      <c r="AZ69"/>
      <c r="BT69" s="2">
        <f>Tabla1[[#This Row],[FECHA_TRASPLANTE]]</f>
        <v>42440</v>
      </c>
      <c r="BU69">
        <f>IF(Tabla1[[#This Row],[FALLECIDO SI/NO]]="NO",0,1)</f>
        <v>0</v>
      </c>
      <c r="BV69" s="3">
        <f ca="1">IF(Tabla1[[#This Row],[FALLECIDO_COD]]=0,TODAY()-Tabla1[[#This Row],[FECHA_TRASPLANTE]],Tabla1[[#This Row],[FECHA DE DEFUNCIÓN]]-Tabla1[[#This Row],[FECHA_TRASPLANTE]])</f>
        <v>3435</v>
      </c>
      <c r="BW69" s="3">
        <f ca="1">IF(Tabla1[[#This Row],[FALLECIDO_COD]]=0,TODAY()-Tabla1[[#This Row],[FECHA_TRASPLANTE]],Tabla1[[#This Row],[FECHA DE DEFUNCIÓN]]-Tabla1[[#This Row],[FECHA_TRASPLANTE]])/30.4375</f>
        <v>112.85420944558521</v>
      </c>
      <c r="BX69" s="3">
        <f ca="1">IF(Tabla1[[#This Row],[FALLECIDO_COD]]=0,TODAY()-Tabla1[[#This Row],[FECHA_TRASPLANTE]],Tabla1[[#This Row],[FECHA DE DEFUNCIÓN]]-Tabla1[[#This Row],[FECHA_TRASPLANTE]])/365.25</f>
        <v>9.4045174537987677</v>
      </c>
      <c r="BY69"/>
      <c r="BZ69"/>
    </row>
    <row r="70" spans="1:78" hidden="1" x14ac:dyDescent="0.35">
      <c r="A70" t="s">
        <v>377</v>
      </c>
      <c r="D70" t="s">
        <v>1129</v>
      </c>
      <c r="E70" t="s">
        <v>375</v>
      </c>
      <c r="I70">
        <v>116.51887439945092</v>
      </c>
      <c r="J70" t="s">
        <v>1173</v>
      </c>
      <c r="K70" t="s">
        <v>1259</v>
      </c>
      <c r="L70" t="s">
        <v>1260</v>
      </c>
      <c r="M70" t="s">
        <v>592</v>
      </c>
      <c r="N70" s="11">
        <v>503920107</v>
      </c>
      <c r="O70" s="2">
        <v>42442</v>
      </c>
      <c r="P70" t="s">
        <v>81</v>
      </c>
      <c r="Q70" s="2">
        <v>34040</v>
      </c>
      <c r="R70" s="3">
        <f>(Tabla1[[#This Row],[FECHA_TRASPLANTE]]-Tabla1[[#This Row],[FECHA_NAC]])/365.25</f>
        <v>23.003422313483917</v>
      </c>
      <c r="S70" t="s">
        <v>200</v>
      </c>
      <c r="T70"/>
      <c r="W70" t="s">
        <v>82</v>
      </c>
      <c r="X70" t="s">
        <v>125</v>
      </c>
      <c r="Y70" t="s">
        <v>667</v>
      </c>
      <c r="Z70" t="s">
        <v>667</v>
      </c>
      <c r="AM70" t="s">
        <v>106</v>
      </c>
      <c r="AO70"/>
      <c r="AV70" s="2"/>
      <c r="AZ70"/>
      <c r="BT70" s="2">
        <f>Tabla1[[#This Row],[FECHA_TRASPLANTE]]</f>
        <v>42442</v>
      </c>
      <c r="BU70">
        <f>IF(Tabla1[[#This Row],[FALLECIDO SI/NO]]="NO",0,1)</f>
        <v>0</v>
      </c>
      <c r="BV70" s="3">
        <f ca="1">IF(Tabla1[[#This Row],[FALLECIDO_COD]]=0,TODAY()-Tabla1[[#This Row],[FECHA_TRASPLANTE]],Tabla1[[#This Row],[FECHA DE DEFUNCIÓN]]-Tabla1[[#This Row],[FECHA_TRASPLANTE]])</f>
        <v>3433</v>
      </c>
      <c r="BW70" s="3">
        <f ca="1">IF(Tabla1[[#This Row],[FALLECIDO_COD]]=0,TODAY()-Tabla1[[#This Row],[FECHA_TRASPLANTE]],Tabla1[[#This Row],[FECHA DE DEFUNCIÓN]]-Tabla1[[#This Row],[FECHA_TRASPLANTE]])/30.4375</f>
        <v>112.78850102669405</v>
      </c>
      <c r="BX70" s="3">
        <f ca="1">IF(Tabla1[[#This Row],[FALLECIDO_COD]]=0,TODAY()-Tabla1[[#This Row],[FECHA_TRASPLANTE]],Tabla1[[#This Row],[FECHA DE DEFUNCIÓN]]-Tabla1[[#This Row],[FECHA_TRASPLANTE]])/365.25</f>
        <v>9.3990417522245036</v>
      </c>
      <c r="BY70"/>
      <c r="BZ70"/>
    </row>
    <row r="71" spans="1:78" hidden="1" x14ac:dyDescent="0.35">
      <c r="A71" t="s">
        <v>377</v>
      </c>
      <c r="D71" t="s">
        <v>1129</v>
      </c>
      <c r="E71" t="s">
        <v>375</v>
      </c>
      <c r="I71">
        <v>116.52711050102951</v>
      </c>
      <c r="J71" t="s">
        <v>1180</v>
      </c>
      <c r="K71" t="s">
        <v>550</v>
      </c>
      <c r="L71" t="s">
        <v>240</v>
      </c>
      <c r="M71" t="s">
        <v>1143</v>
      </c>
      <c r="N71" s="11">
        <v>18551071</v>
      </c>
      <c r="O71" s="2">
        <v>42445</v>
      </c>
      <c r="P71" t="s">
        <v>81</v>
      </c>
      <c r="Q71" s="2">
        <v>31053</v>
      </c>
      <c r="R71" s="3">
        <f>(Tabla1[[#This Row],[FECHA_TRASPLANTE]]-Tabla1[[#This Row],[FECHA_NAC]])/365.25</f>
        <v>31.189596167008897</v>
      </c>
      <c r="S71" t="s">
        <v>200</v>
      </c>
      <c r="T71"/>
      <c r="W71" t="s">
        <v>146</v>
      </c>
      <c r="X71" t="s">
        <v>1136</v>
      </c>
      <c r="AM71" t="s">
        <v>106</v>
      </c>
      <c r="AO71"/>
      <c r="AV71" s="2"/>
      <c r="AZ71"/>
      <c r="BT71" s="2">
        <f>Tabla1[[#This Row],[FECHA_TRASPLANTE]]</f>
        <v>42445</v>
      </c>
      <c r="BU71">
        <f>IF(Tabla1[[#This Row],[FALLECIDO SI/NO]]="NO",0,1)</f>
        <v>0</v>
      </c>
      <c r="BV71" s="3">
        <f ca="1">IF(Tabla1[[#This Row],[FALLECIDO_COD]]=0,TODAY()-Tabla1[[#This Row],[FECHA_TRASPLANTE]],Tabla1[[#This Row],[FECHA DE DEFUNCIÓN]]-Tabla1[[#This Row],[FECHA_TRASPLANTE]])</f>
        <v>3430</v>
      </c>
      <c r="BW71" s="3">
        <f ca="1">IF(Tabla1[[#This Row],[FALLECIDO_COD]]=0,TODAY()-Tabla1[[#This Row],[FECHA_TRASPLANTE]],Tabla1[[#This Row],[FECHA DE DEFUNCIÓN]]-Tabla1[[#This Row],[FECHA_TRASPLANTE]])/30.4375</f>
        <v>112.68993839835728</v>
      </c>
      <c r="BX71" s="3">
        <f ca="1">IF(Tabla1[[#This Row],[FALLECIDO_COD]]=0,TODAY()-Tabla1[[#This Row],[FECHA_TRASPLANTE]],Tabla1[[#This Row],[FECHA DE DEFUNCIÓN]]-Tabla1[[#This Row],[FECHA_TRASPLANTE]])/365.25</f>
        <v>9.3908281998631082</v>
      </c>
      <c r="BY71"/>
      <c r="BZ71"/>
    </row>
    <row r="72" spans="1:78" hidden="1" x14ac:dyDescent="0.35">
      <c r="A72" t="s">
        <v>377</v>
      </c>
      <c r="D72" t="s">
        <v>1129</v>
      </c>
      <c r="E72" t="s">
        <v>375</v>
      </c>
      <c r="I72">
        <v>116.53809196980096</v>
      </c>
      <c r="J72" t="s">
        <v>1173</v>
      </c>
      <c r="K72" t="s">
        <v>1261</v>
      </c>
      <c r="L72" t="s">
        <v>880</v>
      </c>
      <c r="M72" t="s">
        <v>94</v>
      </c>
      <c r="N72" s="11">
        <v>109450197</v>
      </c>
      <c r="O72" s="2">
        <v>42449</v>
      </c>
      <c r="P72" t="s">
        <v>90</v>
      </c>
      <c r="Q72" s="2">
        <v>27965</v>
      </c>
      <c r="R72" s="3">
        <f>(Tabla1[[#This Row],[FECHA_TRASPLANTE]]-Tabla1[[#This Row],[FECHA_NAC]])/365.25</f>
        <v>39.655030800821358</v>
      </c>
      <c r="S72" t="s">
        <v>205</v>
      </c>
      <c r="T72"/>
      <c r="W72" t="s">
        <v>82</v>
      </c>
      <c r="X72" t="s">
        <v>115</v>
      </c>
      <c r="Y72" t="s">
        <v>365</v>
      </c>
      <c r="Z72" t="s">
        <v>366</v>
      </c>
      <c r="AM72" t="s">
        <v>106</v>
      </c>
      <c r="AO72"/>
      <c r="AV72" s="2"/>
      <c r="AZ72"/>
      <c r="BT72" s="2">
        <f>Tabla1[[#This Row],[FECHA_TRASPLANTE]]</f>
        <v>42449</v>
      </c>
      <c r="BU72">
        <f>IF(Tabla1[[#This Row],[FALLECIDO SI/NO]]="NO",0,1)</f>
        <v>0</v>
      </c>
      <c r="BV72" s="3">
        <f ca="1">IF(Tabla1[[#This Row],[FALLECIDO_COD]]=0,TODAY()-Tabla1[[#This Row],[FECHA_TRASPLANTE]],Tabla1[[#This Row],[FECHA DE DEFUNCIÓN]]-Tabla1[[#This Row],[FECHA_TRASPLANTE]])</f>
        <v>3426</v>
      </c>
      <c r="BW72" s="3">
        <f ca="1">IF(Tabla1[[#This Row],[FALLECIDO_COD]]=0,TODAY()-Tabla1[[#This Row],[FECHA_TRASPLANTE]],Tabla1[[#This Row],[FECHA DE DEFUNCIÓN]]-Tabla1[[#This Row],[FECHA_TRASPLANTE]])/30.4375</f>
        <v>112.55852156057495</v>
      </c>
      <c r="BX72" s="3">
        <f ca="1">IF(Tabla1[[#This Row],[FALLECIDO_COD]]=0,TODAY()-Tabla1[[#This Row],[FECHA_TRASPLANTE]],Tabla1[[#This Row],[FECHA DE DEFUNCIÓN]]-Tabla1[[#This Row],[FECHA_TRASPLANTE]])/365.25</f>
        <v>9.3798767967145782</v>
      </c>
      <c r="BY72"/>
      <c r="BZ72"/>
    </row>
    <row r="73" spans="1:78" hidden="1" x14ac:dyDescent="0.35">
      <c r="A73" t="s">
        <v>377</v>
      </c>
      <c r="D73" t="s">
        <v>1129</v>
      </c>
      <c r="E73" t="s">
        <v>375</v>
      </c>
      <c r="I73">
        <v>116.56554564172959</v>
      </c>
      <c r="K73" t="s">
        <v>166</v>
      </c>
      <c r="L73" t="s">
        <v>240</v>
      </c>
      <c r="M73" t="s">
        <v>118</v>
      </c>
      <c r="N73" s="11">
        <v>1610100799</v>
      </c>
      <c r="O73" s="2">
        <v>42459</v>
      </c>
      <c r="P73" t="s">
        <v>81</v>
      </c>
      <c r="Q73" s="2">
        <v>22525</v>
      </c>
      <c r="R73" s="3">
        <f>(Tabla1[[#This Row],[FECHA_TRASPLANTE]]-Tabla1[[#This Row],[FECHA_NAC]])/365.25</f>
        <v>54.57631759069131</v>
      </c>
      <c r="S73" t="s">
        <v>200</v>
      </c>
      <c r="T73"/>
      <c r="W73" t="s">
        <v>146</v>
      </c>
      <c r="X73" t="s">
        <v>1145</v>
      </c>
      <c r="AM73" t="s">
        <v>106</v>
      </c>
      <c r="AO73"/>
      <c r="AV73" s="2"/>
      <c r="AZ73"/>
      <c r="BT73" s="2">
        <f>Tabla1[[#This Row],[FECHA_TRASPLANTE]]</f>
        <v>42459</v>
      </c>
      <c r="BU73">
        <f>IF(Tabla1[[#This Row],[FALLECIDO SI/NO]]="NO",0,1)</f>
        <v>0</v>
      </c>
      <c r="BV73" s="3">
        <f ca="1">IF(Tabla1[[#This Row],[FALLECIDO_COD]]=0,TODAY()-Tabla1[[#This Row],[FECHA_TRASPLANTE]],Tabla1[[#This Row],[FECHA DE DEFUNCIÓN]]-Tabla1[[#This Row],[FECHA_TRASPLANTE]])</f>
        <v>3416</v>
      </c>
      <c r="BW73" s="3">
        <f ca="1">IF(Tabla1[[#This Row],[FALLECIDO_COD]]=0,TODAY()-Tabla1[[#This Row],[FECHA_TRASPLANTE]],Tabla1[[#This Row],[FECHA DE DEFUNCIÓN]]-Tabla1[[#This Row],[FECHA_TRASPLANTE]])/30.4375</f>
        <v>112.22997946611909</v>
      </c>
      <c r="BX73" s="3">
        <f ca="1">IF(Tabla1[[#This Row],[FALLECIDO_COD]]=0,TODAY()-Tabla1[[#This Row],[FECHA_TRASPLANTE]],Tabla1[[#This Row],[FECHA DE DEFUNCIÓN]]-Tabla1[[#This Row],[FECHA_TRASPLANTE]])/365.25</f>
        <v>9.3524982888432575</v>
      </c>
      <c r="BY73"/>
      <c r="BZ73"/>
    </row>
    <row r="74" spans="1:78" hidden="1" x14ac:dyDescent="0.35">
      <c r="A74" t="s">
        <v>377</v>
      </c>
      <c r="D74" t="s">
        <v>1129</v>
      </c>
      <c r="E74" t="s">
        <v>77</v>
      </c>
      <c r="I74">
        <v>116.57378174330817</v>
      </c>
      <c r="J74" t="s">
        <v>1262</v>
      </c>
      <c r="K74" t="s">
        <v>1263</v>
      </c>
      <c r="L74" t="s">
        <v>1264</v>
      </c>
      <c r="M74" t="s">
        <v>1264</v>
      </c>
      <c r="N74" s="11">
        <v>113000465</v>
      </c>
      <c r="O74" s="2">
        <v>42462</v>
      </c>
      <c r="P74" t="s">
        <v>90</v>
      </c>
      <c r="Q74" s="2">
        <v>31753</v>
      </c>
      <c r="R74" s="3">
        <f>(Tabla1[[#This Row],[FECHA_TRASPLANTE]]-Tabla1[[#This Row],[FECHA_NAC]])/365.25</f>
        <v>29.319644079397673</v>
      </c>
      <c r="S74" t="s">
        <v>200</v>
      </c>
      <c r="T74"/>
      <c r="W74" t="s">
        <v>82</v>
      </c>
      <c r="X74" t="s">
        <v>261</v>
      </c>
      <c r="Y74" t="s">
        <v>84</v>
      </c>
      <c r="Z74" t="s">
        <v>261</v>
      </c>
      <c r="AM74" t="s">
        <v>106</v>
      </c>
      <c r="AO74"/>
      <c r="AV74" s="2"/>
      <c r="AZ74"/>
      <c r="BT74" s="2">
        <f>Tabla1[[#This Row],[FECHA_TRASPLANTE]]</f>
        <v>42462</v>
      </c>
      <c r="BU74">
        <f>IF(Tabla1[[#This Row],[FALLECIDO SI/NO]]="NO",0,1)</f>
        <v>0</v>
      </c>
      <c r="BV74" s="3">
        <f ca="1">IF(Tabla1[[#This Row],[FALLECIDO_COD]]=0,TODAY()-Tabla1[[#This Row],[FECHA_TRASPLANTE]],Tabla1[[#This Row],[FECHA DE DEFUNCIÓN]]-Tabla1[[#This Row],[FECHA_TRASPLANTE]])</f>
        <v>3413</v>
      </c>
      <c r="BW74" s="3">
        <f ca="1">IF(Tabla1[[#This Row],[FALLECIDO_COD]]=0,TODAY()-Tabla1[[#This Row],[FECHA_TRASPLANTE]],Tabla1[[#This Row],[FECHA DE DEFUNCIÓN]]-Tabla1[[#This Row],[FECHA_TRASPLANTE]])/30.4375</f>
        <v>112.13141683778234</v>
      </c>
      <c r="BX74" s="3">
        <f ca="1">IF(Tabla1[[#This Row],[FALLECIDO_COD]]=0,TODAY()-Tabla1[[#This Row],[FECHA_TRASPLANTE]],Tabla1[[#This Row],[FECHA DE DEFUNCIÓN]]-Tabla1[[#This Row],[FECHA_TRASPLANTE]])/365.25</f>
        <v>9.3442847364818622</v>
      </c>
      <c r="BY74"/>
      <c r="BZ74"/>
    </row>
    <row r="75" spans="1:78" hidden="1" x14ac:dyDescent="0.35">
      <c r="A75" t="s">
        <v>377</v>
      </c>
      <c r="D75" t="s">
        <v>1129</v>
      </c>
      <c r="E75" t="s">
        <v>375</v>
      </c>
      <c r="I75">
        <v>116.58201784488675</v>
      </c>
      <c r="J75" t="s">
        <v>1265</v>
      </c>
      <c r="K75" t="s">
        <v>1266</v>
      </c>
      <c r="L75" t="s">
        <v>652</v>
      </c>
      <c r="M75" t="s">
        <v>592</v>
      </c>
      <c r="N75" s="11">
        <v>113760435</v>
      </c>
      <c r="O75" s="2">
        <v>42465</v>
      </c>
      <c r="P75" t="s">
        <v>81</v>
      </c>
      <c r="Q75" s="2">
        <v>32507</v>
      </c>
      <c r="R75" s="3">
        <f>(Tabla1[[#This Row],[FECHA_TRASPLANTE]]-Tabla1[[#This Row],[FECHA_NAC]])/365.25</f>
        <v>27.263518138261464</v>
      </c>
      <c r="S75" t="s">
        <v>200</v>
      </c>
      <c r="T75"/>
      <c r="W75" t="s">
        <v>82</v>
      </c>
      <c r="X75" t="s">
        <v>110</v>
      </c>
      <c r="Y75" t="s">
        <v>196</v>
      </c>
      <c r="Z75" t="s">
        <v>702</v>
      </c>
      <c r="AM75" t="s">
        <v>106</v>
      </c>
      <c r="AO75"/>
      <c r="AV75" s="2"/>
      <c r="AZ75"/>
      <c r="BT75" s="2">
        <f>Tabla1[[#This Row],[FECHA_TRASPLANTE]]</f>
        <v>42465</v>
      </c>
      <c r="BU75">
        <f>IF(Tabla1[[#This Row],[FALLECIDO SI/NO]]="NO",0,1)</f>
        <v>0</v>
      </c>
      <c r="BV75" s="3">
        <f ca="1">IF(Tabla1[[#This Row],[FALLECIDO_COD]]=0,TODAY()-Tabla1[[#This Row],[FECHA_TRASPLANTE]],Tabla1[[#This Row],[FECHA DE DEFUNCIÓN]]-Tabla1[[#This Row],[FECHA_TRASPLANTE]])</f>
        <v>3410</v>
      </c>
      <c r="BW75" s="3">
        <f ca="1">IF(Tabla1[[#This Row],[FALLECIDO_COD]]=0,TODAY()-Tabla1[[#This Row],[FECHA_TRASPLANTE]],Tabla1[[#This Row],[FECHA DE DEFUNCIÓN]]-Tabla1[[#This Row],[FECHA_TRASPLANTE]])/30.4375</f>
        <v>112.03285420944559</v>
      </c>
      <c r="BX75" s="3">
        <f ca="1">IF(Tabla1[[#This Row],[FALLECIDO_COD]]=0,TODAY()-Tabla1[[#This Row],[FECHA_TRASPLANTE]],Tabla1[[#This Row],[FECHA DE DEFUNCIÓN]]-Tabla1[[#This Row],[FECHA_TRASPLANTE]])/365.25</f>
        <v>9.3360711841204651</v>
      </c>
      <c r="BY75"/>
      <c r="BZ75"/>
    </row>
    <row r="76" spans="1:78" hidden="1" x14ac:dyDescent="0.35">
      <c r="A76" t="s">
        <v>377</v>
      </c>
      <c r="D76" t="s">
        <v>1129</v>
      </c>
      <c r="E76" t="s">
        <v>77</v>
      </c>
      <c r="I76">
        <v>116.65065202470831</v>
      </c>
      <c r="J76" t="s">
        <v>1267</v>
      </c>
      <c r="K76" t="s">
        <v>1268</v>
      </c>
      <c r="L76" t="s">
        <v>496</v>
      </c>
      <c r="M76" t="s">
        <v>1080</v>
      </c>
      <c r="N76" s="11">
        <v>17711962</v>
      </c>
      <c r="O76" s="2">
        <v>42490</v>
      </c>
      <c r="P76" t="s">
        <v>81</v>
      </c>
      <c r="Q76" s="2">
        <v>28170</v>
      </c>
      <c r="R76" s="3">
        <f>(Tabla1[[#This Row],[FECHA_TRASPLANTE]]-Tabla1[[#This Row],[FECHA_NAC]])/365.25</f>
        <v>39.206023271731688</v>
      </c>
      <c r="S76" t="s">
        <v>200</v>
      </c>
      <c r="T76"/>
      <c r="W76" t="s">
        <v>146</v>
      </c>
      <c r="X76" t="s">
        <v>120</v>
      </c>
      <c r="Y76" t="s">
        <v>1269</v>
      </c>
      <c r="Z76" t="s">
        <v>1270</v>
      </c>
      <c r="AM76" t="s">
        <v>106</v>
      </c>
      <c r="AO76"/>
      <c r="AV76" s="2"/>
      <c r="AZ76"/>
      <c r="BT76" s="2">
        <f>Tabla1[[#This Row],[FECHA_TRASPLANTE]]</f>
        <v>42490</v>
      </c>
      <c r="BU76">
        <f>IF(Tabla1[[#This Row],[FALLECIDO SI/NO]]="NO",0,1)</f>
        <v>0</v>
      </c>
      <c r="BV76" s="3">
        <f ca="1">IF(Tabla1[[#This Row],[FALLECIDO_COD]]=0,TODAY()-Tabla1[[#This Row],[FECHA_TRASPLANTE]],Tabla1[[#This Row],[FECHA DE DEFUNCIÓN]]-Tabla1[[#This Row],[FECHA_TRASPLANTE]])</f>
        <v>3385</v>
      </c>
      <c r="BW76" s="3">
        <f ca="1">IF(Tabla1[[#This Row],[FALLECIDO_COD]]=0,TODAY()-Tabla1[[#This Row],[FECHA_TRASPLANTE]],Tabla1[[#This Row],[FECHA DE DEFUNCIÓN]]-Tabla1[[#This Row],[FECHA_TRASPLANTE]])/30.4375</f>
        <v>111.21149897330595</v>
      </c>
      <c r="BX76" s="3">
        <f ca="1">IF(Tabla1[[#This Row],[FALLECIDO_COD]]=0,TODAY()-Tabla1[[#This Row],[FECHA_TRASPLANTE]],Tabla1[[#This Row],[FECHA DE DEFUNCIÓN]]-Tabla1[[#This Row],[FECHA_TRASPLANTE]])/365.25</f>
        <v>9.2676249144421625</v>
      </c>
      <c r="BY76"/>
      <c r="BZ76"/>
    </row>
    <row r="77" spans="1:78" hidden="1" x14ac:dyDescent="0.35">
      <c r="A77" t="s">
        <v>377</v>
      </c>
      <c r="D77" t="s">
        <v>1129</v>
      </c>
      <c r="E77" t="s">
        <v>77</v>
      </c>
      <c r="I77">
        <v>116.65065202470831</v>
      </c>
      <c r="J77" t="s">
        <v>1267</v>
      </c>
      <c r="K77" t="s">
        <v>1271</v>
      </c>
      <c r="L77" t="s">
        <v>764</v>
      </c>
      <c r="M77" t="s">
        <v>1158</v>
      </c>
      <c r="N77" s="11">
        <v>701140251</v>
      </c>
      <c r="O77" s="2">
        <v>42490</v>
      </c>
      <c r="P77" t="s">
        <v>81</v>
      </c>
      <c r="Q77" s="2">
        <v>27463</v>
      </c>
      <c r="R77" s="3">
        <f>(Tabla1[[#This Row],[FECHA_TRASPLANTE]]-Tabla1[[#This Row],[FECHA_NAC]])/365.25</f>
        <v>41.141683778234089</v>
      </c>
      <c r="S77" t="s">
        <v>200</v>
      </c>
      <c r="T77"/>
      <c r="W77" t="s">
        <v>82</v>
      </c>
      <c r="X77" t="s">
        <v>120</v>
      </c>
      <c r="Y77" t="s">
        <v>84</v>
      </c>
      <c r="Z77" t="s">
        <v>120</v>
      </c>
      <c r="AM77" t="s">
        <v>86</v>
      </c>
      <c r="AN77" s="2">
        <v>45314</v>
      </c>
      <c r="AO77"/>
      <c r="AV77" s="2"/>
      <c r="AZ77"/>
      <c r="BT77" s="2">
        <f>Tabla1[[#This Row],[FECHA_TRASPLANTE]]</f>
        <v>42490</v>
      </c>
      <c r="BU77">
        <f>IF(Tabla1[[#This Row],[FALLECIDO SI/NO]]="NO",0,1)</f>
        <v>1</v>
      </c>
      <c r="BV77" s="3">
        <f ca="1">IF(Tabla1[[#This Row],[FALLECIDO_COD]]=0,TODAY()-Tabla1[[#This Row],[FECHA_TRASPLANTE]],Tabla1[[#This Row],[FECHA DE DEFUNCIÓN]]-Tabla1[[#This Row],[FECHA_TRASPLANTE]])</f>
        <v>2824</v>
      </c>
      <c r="BW77" s="3">
        <f ca="1">IF(Tabla1[[#This Row],[FALLECIDO_COD]]=0,TODAY()-Tabla1[[#This Row],[FECHA_TRASPLANTE]],Tabla1[[#This Row],[FECHA DE DEFUNCIÓN]]-Tabla1[[#This Row],[FECHA_TRASPLANTE]])/30.4375</f>
        <v>92.780287474332653</v>
      </c>
      <c r="BX77" s="3">
        <f ca="1">IF(Tabla1[[#This Row],[FALLECIDO_COD]]=0,TODAY()-Tabla1[[#This Row],[FECHA_TRASPLANTE]],Tabla1[[#This Row],[FECHA DE DEFUNCIÓN]]-Tabla1[[#This Row],[FECHA_TRASPLANTE]])/365.25</f>
        <v>7.7316906228610538</v>
      </c>
      <c r="BY77"/>
      <c r="BZ77"/>
    </row>
    <row r="78" spans="1:78" hidden="1" x14ac:dyDescent="0.35">
      <c r="A78" t="s">
        <v>377</v>
      </c>
      <c r="D78" t="s">
        <v>1129</v>
      </c>
      <c r="E78" t="s">
        <v>375</v>
      </c>
      <c r="I78">
        <v>116.67810569663692</v>
      </c>
      <c r="J78" t="s">
        <v>1197</v>
      </c>
      <c r="K78" t="s">
        <v>1272</v>
      </c>
      <c r="L78" t="s">
        <v>203</v>
      </c>
      <c r="M78" t="s">
        <v>185</v>
      </c>
      <c r="N78" s="11">
        <v>207010426</v>
      </c>
      <c r="O78" s="2">
        <v>42500</v>
      </c>
      <c r="P78" t="s">
        <v>81</v>
      </c>
      <c r="Q78" s="2">
        <v>33791</v>
      </c>
      <c r="R78" s="3">
        <f>(Tabla1[[#This Row],[FECHA_TRASPLANTE]]-Tabla1[[#This Row],[FECHA_NAC]])/365.25</f>
        <v>23.843942505133469</v>
      </c>
      <c r="S78" t="s">
        <v>210</v>
      </c>
      <c r="T78"/>
      <c r="W78" t="s">
        <v>82</v>
      </c>
      <c r="X78" t="s">
        <v>822</v>
      </c>
      <c r="AM78" t="s">
        <v>106</v>
      </c>
      <c r="AO78"/>
      <c r="AV78" s="2"/>
      <c r="AZ78"/>
      <c r="BT78" s="2">
        <f>Tabla1[[#This Row],[FECHA_TRASPLANTE]]</f>
        <v>42500</v>
      </c>
      <c r="BU78">
        <f>IF(Tabla1[[#This Row],[FALLECIDO SI/NO]]="NO",0,1)</f>
        <v>0</v>
      </c>
      <c r="BV78" s="3">
        <f ca="1">IF(Tabla1[[#This Row],[FALLECIDO_COD]]=0,TODAY()-Tabla1[[#This Row],[FECHA_TRASPLANTE]],Tabla1[[#This Row],[FECHA DE DEFUNCIÓN]]-Tabla1[[#This Row],[FECHA_TRASPLANTE]])</f>
        <v>3375</v>
      </c>
      <c r="BW78" s="3">
        <f ca="1">IF(Tabla1[[#This Row],[FALLECIDO_COD]]=0,TODAY()-Tabla1[[#This Row],[FECHA_TRASPLANTE]],Tabla1[[#This Row],[FECHA DE DEFUNCIÓN]]-Tabla1[[#This Row],[FECHA_TRASPLANTE]])/30.4375</f>
        <v>110.88295687885011</v>
      </c>
      <c r="BX78" s="3">
        <f ca="1">IF(Tabla1[[#This Row],[FALLECIDO_COD]]=0,TODAY()-Tabla1[[#This Row],[FECHA_TRASPLANTE]],Tabla1[[#This Row],[FECHA DE DEFUNCIÓN]]-Tabla1[[#This Row],[FECHA_TRASPLANTE]])/365.25</f>
        <v>9.2402464065708418</v>
      </c>
      <c r="BY78"/>
      <c r="BZ78"/>
    </row>
    <row r="79" spans="1:78" hidden="1" x14ac:dyDescent="0.35">
      <c r="A79" t="s">
        <v>377</v>
      </c>
      <c r="D79" t="s">
        <v>1129</v>
      </c>
      <c r="E79" t="s">
        <v>77</v>
      </c>
      <c r="I79">
        <v>116.68085106382979</v>
      </c>
      <c r="J79" t="s">
        <v>1258</v>
      </c>
      <c r="K79" t="s">
        <v>1150</v>
      </c>
      <c r="L79" t="s">
        <v>1090</v>
      </c>
      <c r="M79" t="s">
        <v>1151</v>
      </c>
      <c r="N79" s="11">
        <v>109990611</v>
      </c>
      <c r="O79" s="2">
        <v>42501</v>
      </c>
      <c r="P79" t="s">
        <v>81</v>
      </c>
      <c r="Q79" s="2">
        <v>28605</v>
      </c>
      <c r="R79" s="3">
        <f>(Tabla1[[#This Row],[FECHA_TRASPLANTE]]-Tabla1[[#This Row],[FECHA_NAC]])/365.25</f>
        <v>38.045174537987677</v>
      </c>
      <c r="S79" t="s">
        <v>205</v>
      </c>
      <c r="T79"/>
      <c r="W79" t="s">
        <v>82</v>
      </c>
      <c r="X79" t="s">
        <v>261</v>
      </c>
      <c r="Y79" t="s">
        <v>84</v>
      </c>
      <c r="Z79" t="s">
        <v>302</v>
      </c>
      <c r="AM79" t="s">
        <v>86</v>
      </c>
      <c r="AN79" s="2">
        <v>43749</v>
      </c>
      <c r="AO79"/>
      <c r="AV79" s="2"/>
      <c r="AZ79"/>
      <c r="BT79" s="2">
        <f>Tabla1[[#This Row],[FECHA_TRASPLANTE]]</f>
        <v>42501</v>
      </c>
      <c r="BU79">
        <f>IF(Tabla1[[#This Row],[FALLECIDO SI/NO]]="NO",0,1)</f>
        <v>1</v>
      </c>
      <c r="BV79" s="3">
        <f ca="1">IF(Tabla1[[#This Row],[FALLECIDO_COD]]=0,TODAY()-Tabla1[[#This Row],[FECHA_TRASPLANTE]],Tabla1[[#This Row],[FECHA DE DEFUNCIÓN]]-Tabla1[[#This Row],[FECHA_TRASPLANTE]])</f>
        <v>1248</v>
      </c>
      <c r="BW79" s="3">
        <f ca="1">IF(Tabla1[[#This Row],[FALLECIDO_COD]]=0,TODAY()-Tabla1[[#This Row],[FECHA_TRASPLANTE]],Tabla1[[#This Row],[FECHA DE DEFUNCIÓN]]-Tabla1[[#This Row],[FECHA_TRASPLANTE]])/30.4375</f>
        <v>41.002053388090346</v>
      </c>
      <c r="BX79" s="3">
        <f ca="1">IF(Tabla1[[#This Row],[FALLECIDO_COD]]=0,TODAY()-Tabla1[[#This Row],[FECHA_TRASPLANTE]],Tabla1[[#This Row],[FECHA DE DEFUNCIÓN]]-Tabla1[[#This Row],[FECHA_TRASPLANTE]])/365.25</f>
        <v>3.4168377823408624</v>
      </c>
      <c r="BY79"/>
      <c r="BZ79"/>
    </row>
    <row r="80" spans="1:78" hidden="1" x14ac:dyDescent="0.35">
      <c r="A80" t="s">
        <v>377</v>
      </c>
      <c r="D80" t="s">
        <v>1129</v>
      </c>
      <c r="E80" t="s">
        <v>375</v>
      </c>
      <c r="I80">
        <v>116.70006863417983</v>
      </c>
      <c r="J80" t="s">
        <v>1152</v>
      </c>
      <c r="K80" t="s">
        <v>1273</v>
      </c>
      <c r="L80" t="s">
        <v>479</v>
      </c>
      <c r="M80" t="s">
        <v>98</v>
      </c>
      <c r="N80" s="11">
        <v>602480089</v>
      </c>
      <c r="O80" s="2">
        <v>42508</v>
      </c>
      <c r="P80" t="s">
        <v>90</v>
      </c>
      <c r="Q80" s="2">
        <v>26539</v>
      </c>
      <c r="R80" s="3">
        <f>(Tabla1[[#This Row],[FECHA_TRASPLANTE]]-Tabla1[[#This Row],[FECHA_NAC]])/365.25</f>
        <v>43.720739219712527</v>
      </c>
      <c r="S80" t="s">
        <v>200</v>
      </c>
      <c r="T80"/>
      <c r="W80" t="s">
        <v>82</v>
      </c>
      <c r="X80" t="s">
        <v>1274</v>
      </c>
      <c r="AM80" t="s">
        <v>106</v>
      </c>
      <c r="AO80"/>
      <c r="AV80" s="2"/>
      <c r="AZ80"/>
      <c r="BT80" s="2">
        <f>Tabla1[[#This Row],[FECHA_TRASPLANTE]]</f>
        <v>42508</v>
      </c>
      <c r="BU80">
        <f>IF(Tabla1[[#This Row],[FALLECIDO SI/NO]]="NO",0,1)</f>
        <v>0</v>
      </c>
      <c r="BV80" s="3">
        <f ca="1">IF(Tabla1[[#This Row],[FALLECIDO_COD]]=0,TODAY()-Tabla1[[#This Row],[FECHA_TRASPLANTE]],Tabla1[[#This Row],[FECHA DE DEFUNCIÓN]]-Tabla1[[#This Row],[FECHA_TRASPLANTE]])</f>
        <v>3367</v>
      </c>
      <c r="BW80" s="3">
        <f ca="1">IF(Tabla1[[#This Row],[FALLECIDO_COD]]=0,TODAY()-Tabla1[[#This Row],[FECHA_TRASPLANTE]],Tabla1[[#This Row],[FECHA DE DEFUNCIÓN]]-Tabla1[[#This Row],[FECHA_TRASPLANTE]])/30.4375</f>
        <v>110.62012320328542</v>
      </c>
      <c r="BX80" s="3">
        <f ca="1">IF(Tabla1[[#This Row],[FALLECIDO_COD]]=0,TODAY()-Tabla1[[#This Row],[FECHA_TRASPLANTE]],Tabla1[[#This Row],[FECHA DE DEFUNCIÓN]]-Tabla1[[#This Row],[FECHA_TRASPLANTE]])/365.25</f>
        <v>9.2183436002737853</v>
      </c>
      <c r="BY80"/>
      <c r="BZ80"/>
    </row>
    <row r="81" spans="1:78" hidden="1" x14ac:dyDescent="0.35">
      <c r="A81" t="s">
        <v>377</v>
      </c>
      <c r="D81" t="s">
        <v>1129</v>
      </c>
      <c r="E81" t="s">
        <v>77</v>
      </c>
      <c r="I81">
        <v>116.71379547014413</v>
      </c>
      <c r="J81" t="s">
        <v>1275</v>
      </c>
      <c r="K81" t="s">
        <v>1276</v>
      </c>
      <c r="L81" t="s">
        <v>1235</v>
      </c>
      <c r="M81" t="s">
        <v>636</v>
      </c>
      <c r="N81" s="11">
        <v>205870097</v>
      </c>
      <c r="O81" s="2">
        <v>42513</v>
      </c>
      <c r="P81" t="s">
        <v>90</v>
      </c>
      <c r="Q81" s="2">
        <v>30566</v>
      </c>
      <c r="R81" s="3">
        <f>(Tabla1[[#This Row],[FECHA_TRASPLANTE]]-Tabla1[[#This Row],[FECHA_NAC]])/365.25</f>
        <v>32.709103353867214</v>
      </c>
      <c r="S81" t="s">
        <v>200</v>
      </c>
      <c r="T81"/>
      <c r="W81" t="s">
        <v>82</v>
      </c>
      <c r="X81" t="s">
        <v>115</v>
      </c>
      <c r="Y81" t="s">
        <v>84</v>
      </c>
      <c r="Z81" t="s">
        <v>115</v>
      </c>
      <c r="AM81" t="s">
        <v>86</v>
      </c>
      <c r="AN81" s="2">
        <v>44649</v>
      </c>
      <c r="AO81"/>
      <c r="AV81" s="2"/>
      <c r="AZ81"/>
      <c r="BT81" s="2">
        <f>Tabla1[[#This Row],[FECHA_TRASPLANTE]]</f>
        <v>42513</v>
      </c>
      <c r="BU81">
        <f>IF(Tabla1[[#This Row],[FALLECIDO SI/NO]]="NO",0,1)</f>
        <v>1</v>
      </c>
      <c r="BV81" s="3">
        <f ca="1">IF(Tabla1[[#This Row],[FALLECIDO_COD]]=0,TODAY()-Tabla1[[#This Row],[FECHA_TRASPLANTE]],Tabla1[[#This Row],[FECHA DE DEFUNCIÓN]]-Tabla1[[#This Row],[FECHA_TRASPLANTE]])</f>
        <v>2136</v>
      </c>
      <c r="BW81" s="3">
        <f ca="1">IF(Tabla1[[#This Row],[FALLECIDO_COD]]=0,TODAY()-Tabla1[[#This Row],[FECHA_TRASPLANTE]],Tabla1[[#This Row],[FECHA DE DEFUNCIÓN]]-Tabla1[[#This Row],[FECHA_TRASPLANTE]])/30.4375</f>
        <v>70.176591375770016</v>
      </c>
      <c r="BX81" s="3">
        <f ca="1">IF(Tabla1[[#This Row],[FALLECIDO_COD]]=0,TODAY()-Tabla1[[#This Row],[FECHA_TRASPLANTE]],Tabla1[[#This Row],[FECHA DE DEFUNCIÓN]]-Tabla1[[#This Row],[FECHA_TRASPLANTE]])/365.25</f>
        <v>5.848049281314168</v>
      </c>
      <c r="BY81"/>
      <c r="BZ81"/>
    </row>
    <row r="82" spans="1:78" hidden="1" x14ac:dyDescent="0.35">
      <c r="A82" t="s">
        <v>377</v>
      </c>
      <c r="D82" t="s">
        <v>1129</v>
      </c>
      <c r="E82" t="s">
        <v>77</v>
      </c>
      <c r="I82">
        <v>116.71379547014413</v>
      </c>
      <c r="J82" t="s">
        <v>1275</v>
      </c>
      <c r="K82" t="s">
        <v>1277</v>
      </c>
      <c r="L82" t="s">
        <v>98</v>
      </c>
      <c r="M82" t="s">
        <v>805</v>
      </c>
      <c r="N82" s="11">
        <v>603500737</v>
      </c>
      <c r="O82" s="2">
        <v>42513</v>
      </c>
      <c r="P82" t="s">
        <v>90</v>
      </c>
      <c r="Q82" s="2">
        <v>31353</v>
      </c>
      <c r="R82" s="3">
        <f>(Tabla1[[#This Row],[FECHA_TRASPLANTE]]-Tabla1[[#This Row],[FECHA_NAC]])/365.25</f>
        <v>30.55441478439425</v>
      </c>
      <c r="S82" t="s">
        <v>210</v>
      </c>
      <c r="T82"/>
      <c r="W82" t="s">
        <v>82</v>
      </c>
      <c r="X82" t="s">
        <v>261</v>
      </c>
      <c r="Y82" t="s">
        <v>311</v>
      </c>
      <c r="Z82" t="s">
        <v>311</v>
      </c>
      <c r="AM82" t="s">
        <v>106</v>
      </c>
      <c r="AO82"/>
      <c r="AV82" s="2"/>
      <c r="AZ82"/>
      <c r="BT82" s="2">
        <f>Tabla1[[#This Row],[FECHA_TRASPLANTE]]</f>
        <v>42513</v>
      </c>
      <c r="BU82">
        <f>IF(Tabla1[[#This Row],[FALLECIDO SI/NO]]="NO",0,1)</f>
        <v>0</v>
      </c>
      <c r="BV82" s="3">
        <f ca="1">IF(Tabla1[[#This Row],[FALLECIDO_COD]]=0,TODAY()-Tabla1[[#This Row],[FECHA_TRASPLANTE]],Tabla1[[#This Row],[FECHA DE DEFUNCIÓN]]-Tabla1[[#This Row],[FECHA_TRASPLANTE]])</f>
        <v>3362</v>
      </c>
      <c r="BW82" s="3">
        <f ca="1">IF(Tabla1[[#This Row],[FALLECIDO_COD]]=0,TODAY()-Tabla1[[#This Row],[FECHA_TRASPLANTE]],Tabla1[[#This Row],[FECHA DE DEFUNCIÓN]]-Tabla1[[#This Row],[FECHA_TRASPLANTE]])/30.4375</f>
        <v>110.45585215605749</v>
      </c>
      <c r="BX82" s="3">
        <f ca="1">IF(Tabla1[[#This Row],[FALLECIDO_COD]]=0,TODAY()-Tabla1[[#This Row],[FECHA_TRASPLANTE]],Tabla1[[#This Row],[FECHA DE DEFUNCIÓN]]-Tabla1[[#This Row],[FECHA_TRASPLANTE]])/365.25</f>
        <v>9.2046543463381241</v>
      </c>
      <c r="BY82"/>
      <c r="BZ82"/>
    </row>
    <row r="83" spans="1:78" hidden="1" x14ac:dyDescent="0.35">
      <c r="A83" t="s">
        <v>377</v>
      </c>
      <c r="D83" t="s">
        <v>1129</v>
      </c>
      <c r="E83" t="s">
        <v>375</v>
      </c>
      <c r="I83">
        <v>116.71928620452985</v>
      </c>
      <c r="J83" t="s">
        <v>1202</v>
      </c>
      <c r="K83" t="s">
        <v>1278</v>
      </c>
      <c r="L83" t="s">
        <v>289</v>
      </c>
      <c r="M83" t="s">
        <v>1279</v>
      </c>
      <c r="N83" s="11">
        <v>501960613</v>
      </c>
      <c r="O83" s="2">
        <v>42515</v>
      </c>
      <c r="P83" t="s">
        <v>81</v>
      </c>
      <c r="Q83" s="2">
        <v>22555</v>
      </c>
      <c r="R83" s="3">
        <f>(Tabla1[[#This Row],[FECHA_TRASPLANTE]]-Tabla1[[#This Row],[FECHA_NAC]])/365.25</f>
        <v>54.647501711156742</v>
      </c>
      <c r="S83" t="s">
        <v>200</v>
      </c>
      <c r="T83"/>
      <c r="W83" t="s">
        <v>82</v>
      </c>
      <c r="X83" t="s">
        <v>1145</v>
      </c>
      <c r="AM83" t="s">
        <v>86</v>
      </c>
      <c r="AN83" s="2">
        <v>42659</v>
      </c>
      <c r="AO83"/>
      <c r="AV83" s="2"/>
      <c r="AZ83"/>
      <c r="BT83" s="2">
        <f>Tabla1[[#This Row],[FECHA_TRASPLANTE]]</f>
        <v>42515</v>
      </c>
      <c r="BU83">
        <f>IF(Tabla1[[#This Row],[FALLECIDO SI/NO]]="NO",0,1)</f>
        <v>1</v>
      </c>
      <c r="BV83" s="3">
        <f ca="1">IF(Tabla1[[#This Row],[FALLECIDO_COD]]=0,TODAY()-Tabla1[[#This Row],[FECHA_TRASPLANTE]],Tabla1[[#This Row],[FECHA DE DEFUNCIÓN]]-Tabla1[[#This Row],[FECHA_TRASPLANTE]])</f>
        <v>144</v>
      </c>
      <c r="BW83" s="3">
        <f ca="1">IF(Tabla1[[#This Row],[FALLECIDO_COD]]=0,TODAY()-Tabla1[[#This Row],[FECHA_TRASPLANTE]],Tabla1[[#This Row],[FECHA DE DEFUNCIÓN]]-Tabla1[[#This Row],[FECHA_TRASPLANTE]])/30.4375</f>
        <v>4.731006160164271</v>
      </c>
      <c r="BX83" s="3">
        <f ca="1">IF(Tabla1[[#This Row],[FALLECIDO_COD]]=0,TODAY()-Tabla1[[#This Row],[FECHA_TRASPLANTE]],Tabla1[[#This Row],[FECHA DE DEFUNCIÓN]]-Tabla1[[#This Row],[FECHA_TRASPLANTE]])/365.25</f>
        <v>0.3942505133470226</v>
      </c>
      <c r="BY83"/>
      <c r="BZ83"/>
    </row>
    <row r="84" spans="1:78" hidden="1" x14ac:dyDescent="0.35">
      <c r="A84" t="s">
        <v>377</v>
      </c>
      <c r="D84" t="s">
        <v>1129</v>
      </c>
      <c r="E84" t="s">
        <v>77</v>
      </c>
      <c r="I84">
        <v>116.73575840768703</v>
      </c>
      <c r="J84" t="s">
        <v>1280</v>
      </c>
      <c r="K84" t="s">
        <v>1281</v>
      </c>
      <c r="L84" t="s">
        <v>204</v>
      </c>
      <c r="M84" t="s">
        <v>1282</v>
      </c>
      <c r="N84" s="11">
        <v>114630180</v>
      </c>
      <c r="O84" s="2">
        <v>42521</v>
      </c>
      <c r="P84" t="s">
        <v>90</v>
      </c>
      <c r="Q84" s="2">
        <v>33351</v>
      </c>
      <c r="R84" s="3">
        <f>(Tabla1[[#This Row],[FECHA_TRASPLANTE]]-Tabla1[[#This Row],[FECHA_NAC]])/365.25</f>
        <v>25.10609171800137</v>
      </c>
      <c r="S84" t="s">
        <v>200</v>
      </c>
      <c r="T84"/>
      <c r="W84" t="s">
        <v>82</v>
      </c>
      <c r="X84" t="s">
        <v>91</v>
      </c>
      <c r="Y84" t="s">
        <v>179</v>
      </c>
      <c r="Z84" t="s">
        <v>621</v>
      </c>
      <c r="AM84" t="s">
        <v>106</v>
      </c>
      <c r="AO84"/>
      <c r="AV84" s="2"/>
      <c r="AZ84"/>
      <c r="BT84" s="2">
        <f>Tabla1[[#This Row],[FECHA_TRASPLANTE]]</f>
        <v>42521</v>
      </c>
      <c r="BU84">
        <f>IF(Tabla1[[#This Row],[FALLECIDO SI/NO]]="NO",0,1)</f>
        <v>0</v>
      </c>
      <c r="BV84" s="3">
        <f ca="1">IF(Tabla1[[#This Row],[FALLECIDO_COD]]=0,TODAY()-Tabla1[[#This Row],[FECHA_TRASPLANTE]],Tabla1[[#This Row],[FECHA DE DEFUNCIÓN]]-Tabla1[[#This Row],[FECHA_TRASPLANTE]])</f>
        <v>3354</v>
      </c>
      <c r="BW84" s="3">
        <f ca="1">IF(Tabla1[[#This Row],[FALLECIDO_COD]]=0,TODAY()-Tabla1[[#This Row],[FECHA_TRASPLANTE]],Tabla1[[#This Row],[FECHA DE DEFUNCIÓN]]-Tabla1[[#This Row],[FECHA_TRASPLANTE]])/30.4375</f>
        <v>110.19301848049281</v>
      </c>
      <c r="BX84" s="3">
        <f ca="1">IF(Tabla1[[#This Row],[FALLECIDO_COD]]=0,TODAY()-Tabla1[[#This Row],[FECHA_TRASPLANTE]],Tabla1[[#This Row],[FECHA DE DEFUNCIÓN]]-Tabla1[[#This Row],[FECHA_TRASPLANTE]])/365.25</f>
        <v>9.1827515400410675</v>
      </c>
      <c r="BY84"/>
      <c r="BZ84"/>
    </row>
    <row r="85" spans="1:78" hidden="1" x14ac:dyDescent="0.35">
      <c r="A85" t="s">
        <v>377</v>
      </c>
      <c r="D85" t="s">
        <v>1129</v>
      </c>
      <c r="E85" t="s">
        <v>77</v>
      </c>
      <c r="I85">
        <v>116.73575840768703</v>
      </c>
      <c r="J85" t="s">
        <v>1280</v>
      </c>
      <c r="K85" t="s">
        <v>1283</v>
      </c>
      <c r="L85" t="s">
        <v>1284</v>
      </c>
      <c r="M85" t="s">
        <v>652</v>
      </c>
      <c r="N85" s="11">
        <v>17886021</v>
      </c>
      <c r="O85" s="2">
        <v>42521</v>
      </c>
      <c r="P85" t="s">
        <v>81</v>
      </c>
      <c r="Q85" s="2">
        <v>28642</v>
      </c>
      <c r="R85" s="3">
        <f>(Tabla1[[#This Row],[FECHA_TRASPLANTE]]-Tabla1[[#This Row],[FECHA_NAC]])/365.25</f>
        <v>37.998631074606436</v>
      </c>
      <c r="S85" t="s">
        <v>200</v>
      </c>
      <c r="T85"/>
      <c r="W85" t="s">
        <v>146</v>
      </c>
      <c r="X85" t="s">
        <v>125</v>
      </c>
      <c r="Y85" t="s">
        <v>441</v>
      </c>
      <c r="Z85" t="s">
        <v>549</v>
      </c>
      <c r="AM85" t="s">
        <v>106</v>
      </c>
      <c r="AO85"/>
      <c r="AV85" s="2"/>
      <c r="AZ85"/>
      <c r="BT85" s="2">
        <f>Tabla1[[#This Row],[FECHA_TRASPLANTE]]</f>
        <v>42521</v>
      </c>
      <c r="BU85">
        <f>IF(Tabla1[[#This Row],[FALLECIDO SI/NO]]="NO",0,1)</f>
        <v>0</v>
      </c>
      <c r="BV85" s="3">
        <f ca="1">IF(Tabla1[[#This Row],[FALLECIDO_COD]]=0,TODAY()-Tabla1[[#This Row],[FECHA_TRASPLANTE]],Tabla1[[#This Row],[FECHA DE DEFUNCIÓN]]-Tabla1[[#This Row],[FECHA_TRASPLANTE]])</f>
        <v>3354</v>
      </c>
      <c r="BW85" s="3">
        <f ca="1">IF(Tabla1[[#This Row],[FALLECIDO_COD]]=0,TODAY()-Tabla1[[#This Row],[FECHA_TRASPLANTE]],Tabla1[[#This Row],[FECHA DE DEFUNCIÓN]]-Tabla1[[#This Row],[FECHA_TRASPLANTE]])/30.4375</f>
        <v>110.19301848049281</v>
      </c>
      <c r="BX85" s="3">
        <f ca="1">IF(Tabla1[[#This Row],[FALLECIDO_COD]]=0,TODAY()-Tabla1[[#This Row],[FECHA_TRASPLANTE]],Tabla1[[#This Row],[FECHA DE DEFUNCIÓN]]-Tabla1[[#This Row],[FECHA_TRASPLANTE]])/365.25</f>
        <v>9.1827515400410675</v>
      </c>
      <c r="BY85"/>
      <c r="BZ85"/>
    </row>
    <row r="86" spans="1:78" hidden="1" x14ac:dyDescent="0.35">
      <c r="A86" t="s">
        <v>377</v>
      </c>
      <c r="D86" t="s">
        <v>1129</v>
      </c>
      <c r="E86" t="s">
        <v>375</v>
      </c>
      <c r="I86">
        <v>116.73850377487989</v>
      </c>
      <c r="J86" t="s">
        <v>1152</v>
      </c>
      <c r="K86" t="s">
        <v>1285</v>
      </c>
      <c r="L86" t="s">
        <v>348</v>
      </c>
      <c r="M86" t="s">
        <v>79</v>
      </c>
      <c r="N86" s="11">
        <v>204700223</v>
      </c>
      <c r="O86" s="2">
        <v>42522</v>
      </c>
      <c r="P86" t="s">
        <v>90</v>
      </c>
      <c r="Q86" s="2">
        <v>26160</v>
      </c>
      <c r="R86" s="3">
        <f>(Tabla1[[#This Row],[FECHA_TRASPLANTE]]-Tabla1[[#This Row],[FECHA_NAC]])/365.25</f>
        <v>44.79671457905544</v>
      </c>
      <c r="S86" t="s">
        <v>205</v>
      </c>
      <c r="T86"/>
      <c r="W86" t="s">
        <v>82</v>
      </c>
      <c r="X86" t="s">
        <v>115</v>
      </c>
      <c r="Y86" t="s">
        <v>84</v>
      </c>
      <c r="Z86" t="s">
        <v>115</v>
      </c>
      <c r="AM86" t="s">
        <v>106</v>
      </c>
      <c r="AO86"/>
      <c r="AV86" s="2"/>
      <c r="AZ86"/>
      <c r="BT86" s="2">
        <f>Tabla1[[#This Row],[FECHA_TRASPLANTE]]</f>
        <v>42522</v>
      </c>
      <c r="BU86">
        <f>IF(Tabla1[[#This Row],[FALLECIDO SI/NO]]="NO",0,1)</f>
        <v>0</v>
      </c>
      <c r="BV86" s="3">
        <f ca="1">IF(Tabla1[[#This Row],[FALLECIDO_COD]]=0,TODAY()-Tabla1[[#This Row],[FECHA_TRASPLANTE]],Tabla1[[#This Row],[FECHA DE DEFUNCIÓN]]-Tabla1[[#This Row],[FECHA_TRASPLANTE]])</f>
        <v>3353</v>
      </c>
      <c r="BW86" s="3">
        <f ca="1">IF(Tabla1[[#This Row],[FALLECIDO_COD]]=0,TODAY()-Tabla1[[#This Row],[FECHA_TRASPLANTE]],Tabla1[[#This Row],[FECHA DE DEFUNCIÓN]]-Tabla1[[#This Row],[FECHA_TRASPLANTE]])/30.4375</f>
        <v>110.16016427104722</v>
      </c>
      <c r="BX86" s="3">
        <f ca="1">IF(Tabla1[[#This Row],[FALLECIDO_COD]]=0,TODAY()-Tabla1[[#This Row],[FECHA_TRASPLANTE]],Tabla1[[#This Row],[FECHA DE DEFUNCIÓN]]-Tabla1[[#This Row],[FECHA_TRASPLANTE]])/365.25</f>
        <v>9.1800136892539363</v>
      </c>
      <c r="BY86"/>
      <c r="BZ86"/>
    </row>
    <row r="87" spans="1:78" hidden="1" x14ac:dyDescent="0.35">
      <c r="A87" t="s">
        <v>377</v>
      </c>
      <c r="D87" t="s">
        <v>1129</v>
      </c>
      <c r="E87" t="s">
        <v>375</v>
      </c>
      <c r="I87">
        <v>116.77693891557996</v>
      </c>
      <c r="J87" t="s">
        <v>1180</v>
      </c>
      <c r="K87" t="s">
        <v>253</v>
      </c>
      <c r="L87" t="s">
        <v>141</v>
      </c>
      <c r="M87" t="s">
        <v>204</v>
      </c>
      <c r="N87" s="11">
        <v>502660042</v>
      </c>
      <c r="O87" s="2">
        <v>42536</v>
      </c>
      <c r="P87" t="s">
        <v>81</v>
      </c>
      <c r="Q87" s="2">
        <v>25837</v>
      </c>
      <c r="R87" s="3">
        <f>(Tabla1[[#This Row],[FECHA_TRASPLANTE]]-Tabla1[[#This Row],[FECHA_NAC]])/365.25</f>
        <v>45.719370294318956</v>
      </c>
      <c r="S87" t="s">
        <v>200</v>
      </c>
      <c r="T87"/>
      <c r="W87" t="s">
        <v>82</v>
      </c>
      <c r="X87" t="s">
        <v>1145</v>
      </c>
      <c r="AM87" t="s">
        <v>86</v>
      </c>
      <c r="AN87" s="2">
        <v>44813</v>
      </c>
      <c r="AO87"/>
      <c r="AV87" s="2"/>
      <c r="AZ87"/>
      <c r="BT87" s="2">
        <f>Tabla1[[#This Row],[FECHA_TRASPLANTE]]</f>
        <v>42536</v>
      </c>
      <c r="BU87">
        <f>IF(Tabla1[[#This Row],[FALLECIDO SI/NO]]="NO",0,1)</f>
        <v>1</v>
      </c>
      <c r="BV87" s="3">
        <f ca="1">IF(Tabla1[[#This Row],[FALLECIDO_COD]]=0,TODAY()-Tabla1[[#This Row],[FECHA_TRASPLANTE]],Tabla1[[#This Row],[FECHA DE DEFUNCIÓN]]-Tabla1[[#This Row],[FECHA_TRASPLANTE]])</f>
        <v>2277</v>
      </c>
      <c r="BW87" s="3">
        <f ca="1">IF(Tabla1[[#This Row],[FALLECIDO_COD]]=0,TODAY()-Tabla1[[#This Row],[FECHA_TRASPLANTE]],Tabla1[[#This Row],[FECHA DE DEFUNCIÓN]]-Tabla1[[#This Row],[FECHA_TRASPLANTE]])/30.4375</f>
        <v>74.809034907597535</v>
      </c>
      <c r="BX87" s="3">
        <f ca="1">IF(Tabla1[[#This Row],[FALLECIDO_COD]]=0,TODAY()-Tabla1[[#This Row],[FECHA_TRASPLANTE]],Tabla1[[#This Row],[FECHA DE DEFUNCIÓN]]-Tabla1[[#This Row],[FECHA_TRASPLANTE]])/365.25</f>
        <v>6.2340862422997949</v>
      </c>
      <c r="BY87"/>
      <c r="BZ87"/>
    </row>
    <row r="88" spans="1:78" hidden="1" x14ac:dyDescent="0.35">
      <c r="A88" t="s">
        <v>377</v>
      </c>
      <c r="D88" t="s">
        <v>1129</v>
      </c>
      <c r="E88" t="s">
        <v>77</v>
      </c>
      <c r="I88">
        <v>116.77968428277282</v>
      </c>
      <c r="J88" t="s">
        <v>1286</v>
      </c>
      <c r="K88" t="s">
        <v>1287</v>
      </c>
      <c r="L88" t="s">
        <v>619</v>
      </c>
      <c r="M88" t="s">
        <v>1288</v>
      </c>
      <c r="N88" s="11">
        <v>108090345</v>
      </c>
      <c r="O88" s="2">
        <v>42537</v>
      </c>
      <c r="P88" t="s">
        <v>81</v>
      </c>
      <c r="Q88" s="2">
        <v>26191</v>
      </c>
      <c r="R88" s="3">
        <f>(Tabla1[[#This Row],[FECHA_TRASPLANTE]]-Tabla1[[#This Row],[FECHA_NAC]])/365.25</f>
        <v>44.752908966461327</v>
      </c>
      <c r="S88" t="s">
        <v>205</v>
      </c>
      <c r="T88"/>
      <c r="W88" t="s">
        <v>82</v>
      </c>
      <c r="X88" t="s">
        <v>1289</v>
      </c>
      <c r="AM88" t="s">
        <v>86</v>
      </c>
      <c r="AN88" s="2">
        <v>44345</v>
      </c>
      <c r="AO88"/>
      <c r="AV88" s="2"/>
      <c r="AZ88"/>
      <c r="BT88" s="2">
        <f>Tabla1[[#This Row],[FECHA_TRASPLANTE]]</f>
        <v>42537</v>
      </c>
      <c r="BU88">
        <f>IF(Tabla1[[#This Row],[FALLECIDO SI/NO]]="NO",0,1)</f>
        <v>1</v>
      </c>
      <c r="BV88" s="3">
        <f ca="1">IF(Tabla1[[#This Row],[FALLECIDO_COD]]=0,TODAY()-Tabla1[[#This Row],[FECHA_TRASPLANTE]],Tabla1[[#This Row],[FECHA DE DEFUNCIÓN]]-Tabla1[[#This Row],[FECHA_TRASPLANTE]])</f>
        <v>1808</v>
      </c>
      <c r="BW88" s="3">
        <f ca="1">IF(Tabla1[[#This Row],[FALLECIDO_COD]]=0,TODAY()-Tabla1[[#This Row],[FECHA_TRASPLANTE]],Tabla1[[#This Row],[FECHA DE DEFUNCIÓN]]-Tabla1[[#This Row],[FECHA_TRASPLANTE]])/30.4375</f>
        <v>59.400410677618069</v>
      </c>
      <c r="BX88" s="3">
        <f ca="1">IF(Tabla1[[#This Row],[FALLECIDO_COD]]=0,TODAY()-Tabla1[[#This Row],[FECHA_TRASPLANTE]],Tabla1[[#This Row],[FECHA DE DEFUNCIÓN]]-Tabla1[[#This Row],[FECHA_TRASPLANTE]])/365.25</f>
        <v>4.9500342231348391</v>
      </c>
      <c r="BY88"/>
      <c r="BZ88"/>
    </row>
    <row r="89" spans="1:78" hidden="1" x14ac:dyDescent="0.35">
      <c r="A89" t="s">
        <v>377</v>
      </c>
      <c r="D89" t="s">
        <v>1129</v>
      </c>
      <c r="E89" t="s">
        <v>375</v>
      </c>
      <c r="I89">
        <v>116.84282772820865</v>
      </c>
      <c r="J89" t="s">
        <v>1160</v>
      </c>
      <c r="N89" s="11">
        <v>11660027</v>
      </c>
      <c r="O89" s="2">
        <v>42560</v>
      </c>
      <c r="P89" t="s">
        <v>81</v>
      </c>
      <c r="R89" s="3">
        <f>(Tabla1[[#This Row],[FECHA_TRASPLANTE]]-Tabla1[[#This Row],[FECHA_NAC]])/365.25</f>
        <v>116.52292950034223</v>
      </c>
      <c r="S89" t="s">
        <v>200</v>
      </c>
      <c r="T89"/>
      <c r="X89" t="s">
        <v>1290</v>
      </c>
      <c r="AM89" t="s">
        <v>106</v>
      </c>
      <c r="AO89"/>
      <c r="AV89" s="2"/>
      <c r="AZ89"/>
      <c r="BT89" s="2">
        <f>Tabla1[[#This Row],[FECHA_TRASPLANTE]]</f>
        <v>42560</v>
      </c>
      <c r="BU89">
        <f>IF(Tabla1[[#This Row],[FALLECIDO SI/NO]]="NO",0,1)</f>
        <v>0</v>
      </c>
      <c r="BV89" s="3">
        <f ca="1">IF(Tabla1[[#This Row],[FALLECIDO_COD]]=0,TODAY()-Tabla1[[#This Row],[FECHA_TRASPLANTE]],Tabla1[[#This Row],[FECHA DE DEFUNCIÓN]]-Tabla1[[#This Row],[FECHA_TRASPLANTE]])</f>
        <v>3315</v>
      </c>
      <c r="BW89" s="3">
        <f ca="1">IF(Tabla1[[#This Row],[FALLECIDO_COD]]=0,TODAY()-Tabla1[[#This Row],[FECHA_TRASPLANTE]],Tabla1[[#This Row],[FECHA DE DEFUNCIÓN]]-Tabla1[[#This Row],[FECHA_TRASPLANTE]])/30.4375</f>
        <v>108.91170431211499</v>
      </c>
      <c r="BX89" s="3">
        <f ca="1">IF(Tabla1[[#This Row],[FALLECIDO_COD]]=0,TODAY()-Tabla1[[#This Row],[FECHA_TRASPLANTE]],Tabla1[[#This Row],[FECHA DE DEFUNCIÓN]]-Tabla1[[#This Row],[FECHA_TRASPLANTE]])/365.25</f>
        <v>9.075975359342916</v>
      </c>
      <c r="BY89"/>
      <c r="BZ89"/>
    </row>
    <row r="90" spans="1:78" hidden="1" x14ac:dyDescent="0.35">
      <c r="A90" t="s">
        <v>377</v>
      </c>
      <c r="D90" t="s">
        <v>1129</v>
      </c>
      <c r="E90" t="s">
        <v>375</v>
      </c>
      <c r="I90">
        <v>116.85106382978724</v>
      </c>
      <c r="K90" t="s">
        <v>1291</v>
      </c>
      <c r="L90" t="s">
        <v>133</v>
      </c>
      <c r="M90" t="s">
        <v>305</v>
      </c>
      <c r="N90" s="11">
        <v>110470481</v>
      </c>
      <c r="O90" s="2">
        <v>42563</v>
      </c>
      <c r="P90" t="s">
        <v>81</v>
      </c>
      <c r="Q90" s="2">
        <v>29091</v>
      </c>
      <c r="R90" s="3">
        <f>(Tabla1[[#This Row],[FECHA_TRASPLANTE]]-Tabla1[[#This Row],[FECHA_NAC]])/365.25</f>
        <v>36.884325804243666</v>
      </c>
      <c r="S90" t="s">
        <v>210</v>
      </c>
      <c r="T90"/>
      <c r="W90" t="s">
        <v>82</v>
      </c>
      <c r="X90" t="s">
        <v>110</v>
      </c>
      <c r="Y90" t="s">
        <v>111</v>
      </c>
      <c r="Z90" t="s">
        <v>454</v>
      </c>
      <c r="AM90" t="s">
        <v>106</v>
      </c>
      <c r="AO90"/>
      <c r="AV90" s="2"/>
      <c r="AZ90"/>
      <c r="BT90" s="2">
        <f>Tabla1[[#This Row],[FECHA_TRASPLANTE]]</f>
        <v>42563</v>
      </c>
      <c r="BU90">
        <f>IF(Tabla1[[#This Row],[FALLECIDO SI/NO]]="NO",0,1)</f>
        <v>0</v>
      </c>
      <c r="BV90" s="3">
        <f ca="1">IF(Tabla1[[#This Row],[FALLECIDO_COD]]=0,TODAY()-Tabla1[[#This Row],[FECHA_TRASPLANTE]],Tabla1[[#This Row],[FECHA DE DEFUNCIÓN]]-Tabla1[[#This Row],[FECHA_TRASPLANTE]])</f>
        <v>3312</v>
      </c>
      <c r="BW90" s="3">
        <f ca="1">IF(Tabla1[[#This Row],[FALLECIDO_COD]]=0,TODAY()-Tabla1[[#This Row],[FECHA_TRASPLANTE]],Tabla1[[#This Row],[FECHA DE DEFUNCIÓN]]-Tabla1[[#This Row],[FECHA_TRASPLANTE]])/30.4375</f>
        <v>108.81314168377824</v>
      </c>
      <c r="BX90" s="3">
        <f ca="1">IF(Tabla1[[#This Row],[FALLECIDO_COD]]=0,TODAY()-Tabla1[[#This Row],[FECHA_TRASPLANTE]],Tabla1[[#This Row],[FECHA DE DEFUNCIÓN]]-Tabla1[[#This Row],[FECHA_TRASPLANTE]])/365.25</f>
        <v>9.0677618069815189</v>
      </c>
      <c r="BY90"/>
      <c r="BZ90"/>
    </row>
    <row r="91" spans="1:78" hidden="1" x14ac:dyDescent="0.35">
      <c r="A91" t="s">
        <v>377</v>
      </c>
      <c r="D91" t="s">
        <v>1129</v>
      </c>
      <c r="E91" t="s">
        <v>375</v>
      </c>
      <c r="I91">
        <v>116.85380919698009</v>
      </c>
      <c r="J91" t="s">
        <v>1180</v>
      </c>
      <c r="K91" t="s">
        <v>1056</v>
      </c>
      <c r="L91" t="s">
        <v>283</v>
      </c>
      <c r="M91" t="s">
        <v>730</v>
      </c>
      <c r="N91" s="11">
        <v>601270789</v>
      </c>
      <c r="O91" s="2">
        <v>42564</v>
      </c>
      <c r="P91" t="s">
        <v>81</v>
      </c>
      <c r="Q91" s="2">
        <v>20749</v>
      </c>
      <c r="R91" s="3">
        <f>(Tabla1[[#This Row],[FECHA_TRASPLANTE]]-Tabla1[[#This Row],[FECHA_NAC]])/365.25</f>
        <v>59.72621492128679</v>
      </c>
      <c r="S91" t="s">
        <v>210</v>
      </c>
      <c r="T91"/>
      <c r="W91" t="s">
        <v>82</v>
      </c>
      <c r="X91" t="s">
        <v>1292</v>
      </c>
      <c r="AM91" t="s">
        <v>106</v>
      </c>
      <c r="AO91"/>
      <c r="AV91" s="2"/>
      <c r="AZ91"/>
      <c r="BT91" s="2">
        <f>Tabla1[[#This Row],[FECHA_TRASPLANTE]]</f>
        <v>42564</v>
      </c>
      <c r="BU91">
        <f>IF(Tabla1[[#This Row],[FALLECIDO SI/NO]]="NO",0,1)</f>
        <v>0</v>
      </c>
      <c r="BV91" s="3">
        <f ca="1">IF(Tabla1[[#This Row],[FALLECIDO_COD]]=0,TODAY()-Tabla1[[#This Row],[FECHA_TRASPLANTE]],Tabla1[[#This Row],[FECHA DE DEFUNCIÓN]]-Tabla1[[#This Row],[FECHA_TRASPLANTE]])</f>
        <v>3311</v>
      </c>
      <c r="BW91" s="3">
        <f ca="1">IF(Tabla1[[#This Row],[FALLECIDO_COD]]=0,TODAY()-Tabla1[[#This Row],[FECHA_TRASPLANTE]],Tabla1[[#This Row],[FECHA DE DEFUNCIÓN]]-Tabla1[[#This Row],[FECHA_TRASPLANTE]])/30.4375</f>
        <v>108.78028747433265</v>
      </c>
      <c r="BX91" s="3">
        <f ca="1">IF(Tabla1[[#This Row],[FALLECIDO_COD]]=0,TODAY()-Tabla1[[#This Row],[FECHA_TRASPLANTE]],Tabla1[[#This Row],[FECHA DE DEFUNCIÓN]]-Tabla1[[#This Row],[FECHA_TRASPLANTE]])/365.25</f>
        <v>9.0650239561943877</v>
      </c>
      <c r="BY91"/>
      <c r="BZ91"/>
    </row>
    <row r="92" spans="1:78" hidden="1" x14ac:dyDescent="0.35">
      <c r="A92" t="s">
        <v>377</v>
      </c>
      <c r="D92" t="s">
        <v>1129</v>
      </c>
      <c r="E92" t="s">
        <v>77</v>
      </c>
      <c r="I92">
        <v>116.86204529855868</v>
      </c>
      <c r="J92" t="s">
        <v>1293</v>
      </c>
      <c r="K92" t="s">
        <v>1294</v>
      </c>
      <c r="L92" t="s">
        <v>393</v>
      </c>
      <c r="M92" t="s">
        <v>1295</v>
      </c>
      <c r="N92" s="11">
        <v>109130296</v>
      </c>
      <c r="O92" s="2">
        <v>42567</v>
      </c>
      <c r="P92" t="s">
        <v>81</v>
      </c>
      <c r="Q92" s="2">
        <v>27564</v>
      </c>
      <c r="R92" s="3">
        <f>(Tabla1[[#This Row],[FECHA_TRASPLANTE]]-Tabla1[[#This Row],[FECHA_NAC]])/365.25</f>
        <v>41.075975359342912</v>
      </c>
      <c r="S92" t="s">
        <v>205</v>
      </c>
      <c r="T92"/>
      <c r="W92" t="s">
        <v>82</v>
      </c>
      <c r="X92" t="s">
        <v>83</v>
      </c>
      <c r="Y92" t="s">
        <v>95</v>
      </c>
      <c r="Z92" t="s">
        <v>95</v>
      </c>
      <c r="AM92" t="s">
        <v>106</v>
      </c>
      <c r="AO92"/>
      <c r="AV92" s="2"/>
      <c r="AZ92"/>
      <c r="BT92" s="2">
        <f>Tabla1[[#This Row],[FECHA_TRASPLANTE]]</f>
        <v>42567</v>
      </c>
      <c r="BU92">
        <f>IF(Tabla1[[#This Row],[FALLECIDO SI/NO]]="NO",0,1)</f>
        <v>0</v>
      </c>
      <c r="BV92" s="3">
        <f ca="1">IF(Tabla1[[#This Row],[FALLECIDO_COD]]=0,TODAY()-Tabla1[[#This Row],[FECHA_TRASPLANTE]],Tabla1[[#This Row],[FECHA DE DEFUNCIÓN]]-Tabla1[[#This Row],[FECHA_TRASPLANTE]])</f>
        <v>3308</v>
      </c>
      <c r="BW92" s="3">
        <f ca="1">IF(Tabla1[[#This Row],[FALLECIDO_COD]]=0,TODAY()-Tabla1[[#This Row],[FECHA_TRASPLANTE]],Tabla1[[#This Row],[FECHA DE DEFUNCIÓN]]-Tabla1[[#This Row],[FECHA_TRASPLANTE]])/30.4375</f>
        <v>108.68172484599589</v>
      </c>
      <c r="BX92" s="3">
        <f ca="1">IF(Tabla1[[#This Row],[FALLECIDO_COD]]=0,TODAY()-Tabla1[[#This Row],[FECHA_TRASPLANTE]],Tabla1[[#This Row],[FECHA DE DEFUNCIÓN]]-Tabla1[[#This Row],[FECHA_TRASPLANTE]])/365.25</f>
        <v>9.0568104038329906</v>
      </c>
      <c r="BY92"/>
      <c r="BZ92"/>
    </row>
    <row r="93" spans="1:78" hidden="1" x14ac:dyDescent="0.35">
      <c r="A93" t="s">
        <v>377</v>
      </c>
      <c r="D93" t="s">
        <v>1129</v>
      </c>
      <c r="E93" t="s">
        <v>77</v>
      </c>
      <c r="I93">
        <v>116.86204529855868</v>
      </c>
      <c r="J93" t="s">
        <v>1293</v>
      </c>
      <c r="K93" t="s">
        <v>231</v>
      </c>
      <c r="L93" t="s">
        <v>141</v>
      </c>
      <c r="M93" t="s">
        <v>1046</v>
      </c>
      <c r="N93" s="11">
        <v>304120490</v>
      </c>
      <c r="O93" s="2">
        <v>42567</v>
      </c>
      <c r="P93" t="s">
        <v>81</v>
      </c>
      <c r="Q93" s="2">
        <v>31594</v>
      </c>
      <c r="R93" s="3">
        <f>(Tabla1[[#This Row],[FECHA_TRASPLANTE]]-Tabla1[[#This Row],[FECHA_NAC]])/365.25</f>
        <v>30.042436687200549</v>
      </c>
      <c r="S93" t="s">
        <v>205</v>
      </c>
      <c r="T93"/>
      <c r="W93" t="s">
        <v>82</v>
      </c>
      <c r="X93" t="s">
        <v>125</v>
      </c>
      <c r="Y93" t="s">
        <v>667</v>
      </c>
      <c r="Z93" t="s">
        <v>667</v>
      </c>
      <c r="AM93" t="s">
        <v>106</v>
      </c>
      <c r="AO93"/>
      <c r="AV93" s="2"/>
      <c r="AZ93"/>
      <c r="BT93" s="2">
        <f>Tabla1[[#This Row],[FECHA_TRASPLANTE]]</f>
        <v>42567</v>
      </c>
      <c r="BU93">
        <f>IF(Tabla1[[#This Row],[FALLECIDO SI/NO]]="NO",0,1)</f>
        <v>0</v>
      </c>
      <c r="BV93" s="3">
        <f ca="1">IF(Tabla1[[#This Row],[FALLECIDO_COD]]=0,TODAY()-Tabla1[[#This Row],[FECHA_TRASPLANTE]],Tabla1[[#This Row],[FECHA DE DEFUNCIÓN]]-Tabla1[[#This Row],[FECHA_TRASPLANTE]])</f>
        <v>3308</v>
      </c>
      <c r="BW93" s="3">
        <f ca="1">IF(Tabla1[[#This Row],[FALLECIDO_COD]]=0,TODAY()-Tabla1[[#This Row],[FECHA_TRASPLANTE]],Tabla1[[#This Row],[FECHA DE DEFUNCIÓN]]-Tabla1[[#This Row],[FECHA_TRASPLANTE]])/30.4375</f>
        <v>108.68172484599589</v>
      </c>
      <c r="BX93" s="3">
        <f ca="1">IF(Tabla1[[#This Row],[FALLECIDO_COD]]=0,TODAY()-Tabla1[[#This Row],[FECHA_TRASPLANTE]],Tabla1[[#This Row],[FECHA DE DEFUNCIÓN]]-Tabla1[[#This Row],[FECHA_TRASPLANTE]])/365.25</f>
        <v>9.0568104038329906</v>
      </c>
      <c r="BY93"/>
      <c r="BZ93"/>
    </row>
    <row r="94" spans="1:78" hidden="1" x14ac:dyDescent="0.35">
      <c r="A94" t="s">
        <v>377</v>
      </c>
      <c r="D94" t="s">
        <v>1129</v>
      </c>
      <c r="E94" t="s">
        <v>77</v>
      </c>
      <c r="I94">
        <v>116.86204529855868</v>
      </c>
      <c r="J94" t="s">
        <v>1296</v>
      </c>
      <c r="K94" t="s">
        <v>1297</v>
      </c>
      <c r="L94" t="s">
        <v>1143</v>
      </c>
      <c r="M94" t="s">
        <v>626</v>
      </c>
      <c r="N94" s="11">
        <v>503320059</v>
      </c>
      <c r="O94" s="2">
        <v>42567</v>
      </c>
      <c r="P94" t="s">
        <v>81</v>
      </c>
      <c r="Q94" s="2">
        <v>30343</v>
      </c>
      <c r="R94" s="3">
        <f>(Tabla1[[#This Row],[FECHA_TRASPLANTE]]-Tabla1[[#This Row],[FECHA_NAC]])/365.25</f>
        <v>33.46748802190281</v>
      </c>
      <c r="S94" t="s">
        <v>344</v>
      </c>
      <c r="T94"/>
      <c r="W94" t="s">
        <v>82</v>
      </c>
      <c r="X94" t="s">
        <v>1298</v>
      </c>
      <c r="AM94" t="s">
        <v>106</v>
      </c>
      <c r="AO94"/>
      <c r="AV94" s="2"/>
      <c r="AZ94"/>
      <c r="BT94" s="2">
        <f>Tabla1[[#This Row],[FECHA_TRASPLANTE]]</f>
        <v>42567</v>
      </c>
      <c r="BU94">
        <f>IF(Tabla1[[#This Row],[FALLECIDO SI/NO]]="NO",0,1)</f>
        <v>0</v>
      </c>
      <c r="BV94" s="3">
        <f ca="1">IF(Tabla1[[#This Row],[FALLECIDO_COD]]=0,TODAY()-Tabla1[[#This Row],[FECHA_TRASPLANTE]],Tabla1[[#This Row],[FECHA DE DEFUNCIÓN]]-Tabla1[[#This Row],[FECHA_TRASPLANTE]])</f>
        <v>3308</v>
      </c>
      <c r="BW94" s="3">
        <f ca="1">IF(Tabla1[[#This Row],[FALLECIDO_COD]]=0,TODAY()-Tabla1[[#This Row],[FECHA_TRASPLANTE]],Tabla1[[#This Row],[FECHA DE DEFUNCIÓN]]-Tabla1[[#This Row],[FECHA_TRASPLANTE]])/30.4375</f>
        <v>108.68172484599589</v>
      </c>
      <c r="BX94" s="3">
        <f ca="1">IF(Tabla1[[#This Row],[FALLECIDO_COD]]=0,TODAY()-Tabla1[[#This Row],[FECHA_TRASPLANTE]],Tabla1[[#This Row],[FECHA DE DEFUNCIÓN]]-Tabla1[[#This Row],[FECHA_TRASPLANTE]])/365.25</f>
        <v>9.0568104038329906</v>
      </c>
      <c r="BY94"/>
      <c r="BZ94"/>
    </row>
    <row r="95" spans="1:78" hidden="1" x14ac:dyDescent="0.35">
      <c r="A95" t="s">
        <v>377</v>
      </c>
      <c r="D95" t="s">
        <v>1129</v>
      </c>
      <c r="E95" t="s">
        <v>77</v>
      </c>
      <c r="I95">
        <v>116.86204529855868</v>
      </c>
      <c r="J95" t="s">
        <v>1296</v>
      </c>
      <c r="K95" t="s">
        <v>1299</v>
      </c>
      <c r="L95" t="s">
        <v>765</v>
      </c>
      <c r="M95" t="s">
        <v>79</v>
      </c>
      <c r="N95" s="11">
        <v>1840105462</v>
      </c>
      <c r="O95" s="2">
        <v>42567</v>
      </c>
      <c r="P95" t="s">
        <v>81</v>
      </c>
      <c r="Q95" s="2">
        <v>30944</v>
      </c>
      <c r="R95" s="3">
        <f>(Tabla1[[#This Row],[FECHA_TRASPLANTE]]-Tabla1[[#This Row],[FECHA_NAC]])/365.25</f>
        <v>31.822039698836413</v>
      </c>
      <c r="S95" t="s">
        <v>210</v>
      </c>
      <c r="T95"/>
      <c r="W95" t="s">
        <v>146</v>
      </c>
      <c r="X95" t="s">
        <v>125</v>
      </c>
      <c r="Y95" t="s">
        <v>1300</v>
      </c>
      <c r="Z95" t="s">
        <v>1300</v>
      </c>
      <c r="AM95" t="s">
        <v>106</v>
      </c>
      <c r="AO95"/>
      <c r="AV95" s="2"/>
      <c r="AZ95"/>
      <c r="BT95" s="2">
        <f>Tabla1[[#This Row],[FECHA_TRASPLANTE]]</f>
        <v>42567</v>
      </c>
      <c r="BU95">
        <f>IF(Tabla1[[#This Row],[FALLECIDO SI/NO]]="NO",0,1)</f>
        <v>0</v>
      </c>
      <c r="BV95" s="3">
        <f ca="1">IF(Tabla1[[#This Row],[FALLECIDO_COD]]=0,TODAY()-Tabla1[[#This Row],[FECHA_TRASPLANTE]],Tabla1[[#This Row],[FECHA DE DEFUNCIÓN]]-Tabla1[[#This Row],[FECHA_TRASPLANTE]])</f>
        <v>3308</v>
      </c>
      <c r="BW95" s="3">
        <f ca="1">IF(Tabla1[[#This Row],[FALLECIDO_COD]]=0,TODAY()-Tabla1[[#This Row],[FECHA_TRASPLANTE]],Tabla1[[#This Row],[FECHA DE DEFUNCIÓN]]-Tabla1[[#This Row],[FECHA_TRASPLANTE]])/30.4375</f>
        <v>108.68172484599589</v>
      </c>
      <c r="BX95" s="3">
        <f ca="1">IF(Tabla1[[#This Row],[FALLECIDO_COD]]=0,TODAY()-Tabla1[[#This Row],[FECHA_TRASPLANTE]],Tabla1[[#This Row],[FECHA DE DEFUNCIÓN]]-Tabla1[[#This Row],[FECHA_TRASPLANTE]])/365.25</f>
        <v>9.0568104038329906</v>
      </c>
      <c r="BY95"/>
      <c r="BZ95"/>
    </row>
    <row r="96" spans="1:78" hidden="1" x14ac:dyDescent="0.35">
      <c r="A96" t="s">
        <v>377</v>
      </c>
      <c r="D96" t="s">
        <v>1129</v>
      </c>
      <c r="E96" t="s">
        <v>375</v>
      </c>
      <c r="I96">
        <v>116.89224433768017</v>
      </c>
      <c r="J96" t="s">
        <v>1180</v>
      </c>
      <c r="K96" t="s">
        <v>1301</v>
      </c>
      <c r="L96" t="s">
        <v>1302</v>
      </c>
      <c r="M96" t="s">
        <v>99</v>
      </c>
      <c r="N96" s="11">
        <v>104740485</v>
      </c>
      <c r="O96" s="2">
        <v>42578</v>
      </c>
      <c r="P96" t="s">
        <v>81</v>
      </c>
      <c r="Q96" s="2">
        <v>20922</v>
      </c>
      <c r="R96" s="3">
        <f>(Tabla1[[#This Row],[FECHA_TRASPLANTE]]-Tabla1[[#This Row],[FECHA_NAC]])/365.25</f>
        <v>59.290896646132786</v>
      </c>
      <c r="S96" t="s">
        <v>210</v>
      </c>
      <c r="T96"/>
      <c r="W96" t="s">
        <v>82</v>
      </c>
      <c r="X96" t="s">
        <v>91</v>
      </c>
      <c r="Y96" t="s">
        <v>157</v>
      </c>
      <c r="Z96" t="s">
        <v>158</v>
      </c>
      <c r="AM96" t="s">
        <v>106</v>
      </c>
      <c r="AO96"/>
      <c r="AV96" s="2"/>
      <c r="AZ96"/>
      <c r="BT96" s="2">
        <f>Tabla1[[#This Row],[FECHA_TRASPLANTE]]</f>
        <v>42578</v>
      </c>
      <c r="BU96">
        <f>IF(Tabla1[[#This Row],[FALLECIDO SI/NO]]="NO",0,1)</f>
        <v>0</v>
      </c>
      <c r="BV96" s="3">
        <f ca="1">IF(Tabla1[[#This Row],[FALLECIDO_COD]]=0,TODAY()-Tabla1[[#This Row],[FECHA_TRASPLANTE]],Tabla1[[#This Row],[FECHA DE DEFUNCIÓN]]-Tabla1[[#This Row],[FECHA_TRASPLANTE]])</f>
        <v>3297</v>
      </c>
      <c r="BW96" s="3">
        <f ca="1">IF(Tabla1[[#This Row],[FALLECIDO_COD]]=0,TODAY()-Tabla1[[#This Row],[FECHA_TRASPLANTE]],Tabla1[[#This Row],[FECHA DE DEFUNCIÓN]]-Tabla1[[#This Row],[FECHA_TRASPLANTE]])/30.4375</f>
        <v>108.32032854209446</v>
      </c>
      <c r="BX96" s="3">
        <f ca="1">IF(Tabla1[[#This Row],[FALLECIDO_COD]]=0,TODAY()-Tabla1[[#This Row],[FECHA_TRASPLANTE]],Tabla1[[#This Row],[FECHA DE DEFUNCIÓN]]-Tabla1[[#This Row],[FECHA_TRASPLANTE]])/365.25</f>
        <v>9.0266940451745388</v>
      </c>
      <c r="BY96"/>
      <c r="BZ96"/>
    </row>
    <row r="97" spans="1:78" hidden="1" x14ac:dyDescent="0.35">
      <c r="A97" t="s">
        <v>377</v>
      </c>
      <c r="D97" t="s">
        <v>1129</v>
      </c>
      <c r="E97" t="s">
        <v>375</v>
      </c>
      <c r="I97">
        <v>116.91969800960878</v>
      </c>
      <c r="J97" t="s">
        <v>1197</v>
      </c>
      <c r="K97" t="s">
        <v>427</v>
      </c>
      <c r="L97" t="s">
        <v>155</v>
      </c>
      <c r="M97" t="s">
        <v>167</v>
      </c>
      <c r="N97" s="11">
        <v>114340297</v>
      </c>
      <c r="O97" s="2">
        <v>42588</v>
      </c>
      <c r="P97" t="s">
        <v>81</v>
      </c>
      <c r="Q97" s="2">
        <v>32982</v>
      </c>
      <c r="R97" s="3">
        <f>(Tabla1[[#This Row],[FECHA_TRASPLANTE]]-Tabla1[[#This Row],[FECHA_NAC]])/365.25</f>
        <v>26.299794661190965</v>
      </c>
      <c r="S97" t="s">
        <v>210</v>
      </c>
      <c r="T97"/>
      <c r="W97" t="s">
        <v>82</v>
      </c>
      <c r="X97" t="s">
        <v>91</v>
      </c>
      <c r="Y97" t="s">
        <v>179</v>
      </c>
      <c r="Z97" t="s">
        <v>621</v>
      </c>
      <c r="AM97" t="s">
        <v>106</v>
      </c>
      <c r="AO97"/>
      <c r="AV97" s="2"/>
      <c r="AZ97"/>
      <c r="BT97" s="2">
        <f>Tabla1[[#This Row],[FECHA_TRASPLANTE]]</f>
        <v>42588</v>
      </c>
      <c r="BU97">
        <f>IF(Tabla1[[#This Row],[FALLECIDO SI/NO]]="NO",0,1)</f>
        <v>0</v>
      </c>
      <c r="BV97" s="3">
        <f ca="1">IF(Tabla1[[#This Row],[FALLECIDO_COD]]=0,TODAY()-Tabla1[[#This Row],[FECHA_TRASPLANTE]],Tabla1[[#This Row],[FECHA DE DEFUNCIÓN]]-Tabla1[[#This Row],[FECHA_TRASPLANTE]])</f>
        <v>3287</v>
      </c>
      <c r="BW97" s="3">
        <f ca="1">IF(Tabla1[[#This Row],[FALLECIDO_COD]]=0,TODAY()-Tabla1[[#This Row],[FECHA_TRASPLANTE]],Tabla1[[#This Row],[FECHA DE DEFUNCIÓN]]-Tabla1[[#This Row],[FECHA_TRASPLANTE]])/30.4375</f>
        <v>107.9917864476386</v>
      </c>
      <c r="BX97" s="3">
        <f ca="1">IF(Tabla1[[#This Row],[FALLECIDO_COD]]=0,TODAY()-Tabla1[[#This Row],[FECHA_TRASPLANTE]],Tabla1[[#This Row],[FECHA DE DEFUNCIÓN]]-Tabla1[[#This Row],[FECHA_TRASPLANTE]])/365.25</f>
        <v>8.9993155373032163</v>
      </c>
      <c r="BY97"/>
      <c r="BZ97"/>
    </row>
    <row r="98" spans="1:78" hidden="1" x14ac:dyDescent="0.35">
      <c r="A98" t="s">
        <v>377</v>
      </c>
      <c r="D98" t="s">
        <v>1129</v>
      </c>
      <c r="E98" t="s">
        <v>375</v>
      </c>
      <c r="I98">
        <v>116.94989704873026</v>
      </c>
      <c r="J98" t="s">
        <v>1160</v>
      </c>
      <c r="K98" t="s">
        <v>1303</v>
      </c>
      <c r="L98" t="s">
        <v>473</v>
      </c>
      <c r="M98" t="s">
        <v>642</v>
      </c>
      <c r="N98" s="11">
        <v>206170508</v>
      </c>
      <c r="O98" s="2">
        <v>42599</v>
      </c>
      <c r="P98" t="s">
        <v>81</v>
      </c>
      <c r="Q98" s="2">
        <v>31453</v>
      </c>
      <c r="R98" s="3">
        <f>(Tabla1[[#This Row],[FECHA_TRASPLANTE]]-Tabla1[[#This Row],[FECHA_NAC]])/365.25</f>
        <v>30.5160848733744</v>
      </c>
      <c r="S98" t="s">
        <v>200</v>
      </c>
      <c r="T98"/>
      <c r="W98" t="s">
        <v>82</v>
      </c>
      <c r="X98" t="s">
        <v>115</v>
      </c>
      <c r="Y98" t="s">
        <v>1304</v>
      </c>
      <c r="Z98" t="s">
        <v>639</v>
      </c>
      <c r="AM98" t="s">
        <v>106</v>
      </c>
      <c r="AO98"/>
      <c r="AV98" s="2"/>
      <c r="AZ98"/>
      <c r="BT98" s="2">
        <f>Tabla1[[#This Row],[FECHA_TRASPLANTE]]</f>
        <v>42599</v>
      </c>
      <c r="BU98">
        <f>IF(Tabla1[[#This Row],[FALLECIDO SI/NO]]="NO",0,1)</f>
        <v>0</v>
      </c>
      <c r="BV98" s="3">
        <f ca="1">IF(Tabla1[[#This Row],[FALLECIDO_COD]]=0,TODAY()-Tabla1[[#This Row],[FECHA_TRASPLANTE]],Tabla1[[#This Row],[FECHA DE DEFUNCIÓN]]-Tabla1[[#This Row],[FECHA_TRASPLANTE]])</f>
        <v>3276</v>
      </c>
      <c r="BW98" s="3">
        <f ca="1">IF(Tabla1[[#This Row],[FALLECIDO_COD]]=0,TODAY()-Tabla1[[#This Row],[FECHA_TRASPLANTE]],Tabla1[[#This Row],[FECHA DE DEFUNCIÓN]]-Tabla1[[#This Row],[FECHA_TRASPLANTE]])/30.4375</f>
        <v>107.63039014373716</v>
      </c>
      <c r="BX98" s="3">
        <f ca="1">IF(Tabla1[[#This Row],[FALLECIDO_COD]]=0,TODAY()-Tabla1[[#This Row],[FECHA_TRASPLANTE]],Tabla1[[#This Row],[FECHA DE DEFUNCIÓN]]-Tabla1[[#This Row],[FECHA_TRASPLANTE]])/365.25</f>
        <v>8.9691991786447645</v>
      </c>
      <c r="BY98"/>
      <c r="BZ98"/>
    </row>
    <row r="99" spans="1:78" hidden="1" x14ac:dyDescent="0.35">
      <c r="A99" t="s">
        <v>377</v>
      </c>
      <c r="D99" t="s">
        <v>1129</v>
      </c>
      <c r="E99" t="s">
        <v>375</v>
      </c>
      <c r="I99">
        <v>116.9691146190803</v>
      </c>
      <c r="J99" t="s">
        <v>1160</v>
      </c>
      <c r="K99" t="s">
        <v>1305</v>
      </c>
      <c r="L99" t="s">
        <v>386</v>
      </c>
      <c r="M99" t="s">
        <v>448</v>
      </c>
      <c r="N99" s="11">
        <v>110030793</v>
      </c>
      <c r="O99" s="2">
        <v>42606</v>
      </c>
      <c r="P99" t="s">
        <v>81</v>
      </c>
      <c r="Q99" s="2">
        <v>28643</v>
      </c>
      <c r="R99" s="3">
        <f>(Tabla1[[#This Row],[FECHA_TRASPLANTE]]-Tabla1[[#This Row],[FECHA_NAC]])/365.25</f>
        <v>38.228610540725533</v>
      </c>
      <c r="S99" t="s">
        <v>200</v>
      </c>
      <c r="T99"/>
      <c r="W99" t="s">
        <v>82</v>
      </c>
      <c r="X99" t="s">
        <v>261</v>
      </c>
      <c r="Y99" t="s">
        <v>84</v>
      </c>
      <c r="Z99" t="s">
        <v>261</v>
      </c>
      <c r="AM99" t="s">
        <v>86</v>
      </c>
      <c r="AN99" s="2">
        <v>44701</v>
      </c>
      <c r="AO99"/>
      <c r="AV99" s="2"/>
      <c r="AZ99"/>
      <c r="BT99" s="2">
        <f>Tabla1[[#This Row],[FECHA_TRASPLANTE]]</f>
        <v>42606</v>
      </c>
      <c r="BU99">
        <f>IF(Tabla1[[#This Row],[FALLECIDO SI/NO]]="NO",0,1)</f>
        <v>1</v>
      </c>
      <c r="BV99" s="3">
        <f ca="1">IF(Tabla1[[#This Row],[FALLECIDO_COD]]=0,TODAY()-Tabla1[[#This Row],[FECHA_TRASPLANTE]],Tabla1[[#This Row],[FECHA DE DEFUNCIÓN]]-Tabla1[[#This Row],[FECHA_TRASPLANTE]])</f>
        <v>2095</v>
      </c>
      <c r="BW99" s="3">
        <f ca="1">IF(Tabla1[[#This Row],[FALLECIDO_COD]]=0,TODAY()-Tabla1[[#This Row],[FECHA_TRASPLANTE]],Tabla1[[#This Row],[FECHA DE DEFUNCIÓN]]-Tabla1[[#This Row],[FECHA_TRASPLANTE]])/30.4375</f>
        <v>68.829568788501021</v>
      </c>
      <c r="BX99" s="3">
        <f ca="1">IF(Tabla1[[#This Row],[FALLECIDO_COD]]=0,TODAY()-Tabla1[[#This Row],[FECHA_TRASPLANTE]],Tabla1[[#This Row],[FECHA DE DEFUNCIÓN]]-Tabla1[[#This Row],[FECHA_TRASPLANTE]])/365.25</f>
        <v>5.7357973990417523</v>
      </c>
      <c r="BY99"/>
      <c r="BZ99"/>
    </row>
    <row r="100" spans="1:78" hidden="1" x14ac:dyDescent="0.35">
      <c r="A100" t="s">
        <v>377</v>
      </c>
      <c r="D100" t="s">
        <v>1129</v>
      </c>
      <c r="E100" t="s">
        <v>375</v>
      </c>
      <c r="I100">
        <v>117.01853122855182</v>
      </c>
      <c r="J100" t="s">
        <v>1152</v>
      </c>
      <c r="K100" t="s">
        <v>1306</v>
      </c>
      <c r="L100" t="s">
        <v>140</v>
      </c>
      <c r="M100" t="s">
        <v>80</v>
      </c>
      <c r="N100" s="11">
        <v>502440280</v>
      </c>
      <c r="O100" s="2">
        <v>42624</v>
      </c>
      <c r="P100" t="s">
        <v>81</v>
      </c>
      <c r="Q100" s="2">
        <v>24803</v>
      </c>
      <c r="R100" s="3">
        <f>(Tabla1[[#This Row],[FECHA_TRASPLANTE]]-Tabla1[[#This Row],[FECHA_NAC]])/365.25</f>
        <v>48.791238877481177</v>
      </c>
      <c r="S100" t="s">
        <v>205</v>
      </c>
      <c r="T100"/>
      <c r="W100" t="s">
        <v>82</v>
      </c>
      <c r="X100" t="s">
        <v>91</v>
      </c>
      <c r="Y100" t="s">
        <v>193</v>
      </c>
      <c r="Z100" t="s">
        <v>760</v>
      </c>
      <c r="AM100" t="s">
        <v>106</v>
      </c>
      <c r="AO100"/>
      <c r="AV100" s="2"/>
      <c r="AZ100"/>
      <c r="BT100" s="2">
        <f>Tabla1[[#This Row],[FECHA_TRASPLANTE]]</f>
        <v>42624</v>
      </c>
      <c r="BU100">
        <f>IF(Tabla1[[#This Row],[FALLECIDO SI/NO]]="NO",0,1)</f>
        <v>0</v>
      </c>
      <c r="BV100" s="3">
        <f ca="1">IF(Tabla1[[#This Row],[FALLECIDO_COD]]=0,TODAY()-Tabla1[[#This Row],[FECHA_TRASPLANTE]],Tabla1[[#This Row],[FECHA DE DEFUNCIÓN]]-Tabla1[[#This Row],[FECHA_TRASPLANTE]])</f>
        <v>3251</v>
      </c>
      <c r="BW100" s="3">
        <f ca="1">IF(Tabla1[[#This Row],[FALLECIDO_COD]]=0,TODAY()-Tabla1[[#This Row],[FECHA_TRASPLANTE]],Tabla1[[#This Row],[FECHA DE DEFUNCIÓN]]-Tabla1[[#This Row],[FECHA_TRASPLANTE]])/30.4375</f>
        <v>106.80903490759754</v>
      </c>
      <c r="BX100" s="3">
        <f ca="1">IF(Tabla1[[#This Row],[FALLECIDO_COD]]=0,TODAY()-Tabla1[[#This Row],[FECHA_TRASPLANTE]],Tabla1[[#This Row],[FECHA DE DEFUNCIÓN]]-Tabla1[[#This Row],[FECHA_TRASPLANTE]])/365.25</f>
        <v>8.9007529089664619</v>
      </c>
      <c r="BY100"/>
      <c r="BZ100"/>
    </row>
    <row r="101" spans="1:78" hidden="1" x14ac:dyDescent="0.35">
      <c r="A101" t="s">
        <v>377</v>
      </c>
      <c r="D101" t="s">
        <v>1129</v>
      </c>
      <c r="E101" t="s">
        <v>375</v>
      </c>
      <c r="I101">
        <v>117.07618393960192</v>
      </c>
      <c r="J101" t="s">
        <v>1197</v>
      </c>
      <c r="K101" t="s">
        <v>1307</v>
      </c>
      <c r="L101" t="s">
        <v>204</v>
      </c>
      <c r="M101" t="s">
        <v>1282</v>
      </c>
      <c r="N101" s="11">
        <v>114240991</v>
      </c>
      <c r="O101" s="2">
        <v>42645</v>
      </c>
      <c r="P101" t="s">
        <v>81</v>
      </c>
      <c r="Q101" s="2">
        <v>32987</v>
      </c>
      <c r="R101" s="3">
        <f>(Tabla1[[#This Row],[FECHA_TRASPLANTE]]-Tabla1[[#This Row],[FECHA_NAC]])/365.25</f>
        <v>26.442162902121833</v>
      </c>
      <c r="S101" t="s">
        <v>200</v>
      </c>
      <c r="T101"/>
      <c r="W101" t="s">
        <v>82</v>
      </c>
      <c r="X101" t="s">
        <v>91</v>
      </c>
      <c r="Y101" t="s">
        <v>179</v>
      </c>
      <c r="Z101" t="s">
        <v>621</v>
      </c>
      <c r="AM101" t="s">
        <v>106</v>
      </c>
      <c r="AO101"/>
      <c r="AV101" s="2"/>
      <c r="AZ101"/>
      <c r="BT101" s="2">
        <f>Tabla1[[#This Row],[FECHA_TRASPLANTE]]</f>
        <v>42645</v>
      </c>
      <c r="BU101">
        <f>IF(Tabla1[[#This Row],[FALLECIDO SI/NO]]="NO",0,1)</f>
        <v>0</v>
      </c>
      <c r="BV101" s="3">
        <f ca="1">IF(Tabla1[[#This Row],[FALLECIDO_COD]]=0,TODAY()-Tabla1[[#This Row],[FECHA_TRASPLANTE]],Tabla1[[#This Row],[FECHA DE DEFUNCIÓN]]-Tabla1[[#This Row],[FECHA_TRASPLANTE]])</f>
        <v>3230</v>
      </c>
      <c r="BW101" s="3">
        <f ca="1">IF(Tabla1[[#This Row],[FALLECIDO_COD]]=0,TODAY()-Tabla1[[#This Row],[FECHA_TRASPLANTE]],Tabla1[[#This Row],[FECHA DE DEFUNCIÓN]]-Tabla1[[#This Row],[FECHA_TRASPLANTE]])/30.4375</f>
        <v>106.11909650924025</v>
      </c>
      <c r="BX101" s="3">
        <f ca="1">IF(Tabla1[[#This Row],[FALLECIDO_COD]]=0,TODAY()-Tabla1[[#This Row],[FECHA_TRASPLANTE]],Tabla1[[#This Row],[FECHA DE DEFUNCIÓN]]-Tabla1[[#This Row],[FECHA_TRASPLANTE]])/365.25</f>
        <v>8.8432580424366876</v>
      </c>
      <c r="BY101"/>
      <c r="BZ101"/>
    </row>
    <row r="102" spans="1:78" hidden="1" x14ac:dyDescent="0.35">
      <c r="A102" t="s">
        <v>377</v>
      </c>
      <c r="D102" t="s">
        <v>1129</v>
      </c>
      <c r="E102" t="s">
        <v>375</v>
      </c>
      <c r="I102">
        <v>117.08991077556624</v>
      </c>
      <c r="J102" t="s">
        <v>1160</v>
      </c>
      <c r="K102" t="s">
        <v>1308</v>
      </c>
      <c r="L102" t="s">
        <v>1079</v>
      </c>
      <c r="M102" t="s">
        <v>145</v>
      </c>
      <c r="N102" s="11">
        <v>207110865</v>
      </c>
      <c r="O102" s="2">
        <v>42650</v>
      </c>
      <c r="P102" t="s">
        <v>81</v>
      </c>
      <c r="Q102" s="2">
        <v>34071</v>
      </c>
      <c r="R102" s="3">
        <f>(Tabla1[[#This Row],[FECHA_TRASPLANTE]]-Tabla1[[#This Row],[FECHA_NAC]])/365.25</f>
        <v>23.488021902806295</v>
      </c>
      <c r="S102" t="s">
        <v>200</v>
      </c>
      <c r="T102"/>
      <c r="W102" t="s">
        <v>82</v>
      </c>
      <c r="X102" t="s">
        <v>1309</v>
      </c>
      <c r="AM102" t="s">
        <v>86</v>
      </c>
      <c r="AN102" s="2">
        <v>42650</v>
      </c>
      <c r="AO102"/>
      <c r="AV102" s="2"/>
      <c r="AZ102"/>
      <c r="BT102" s="2">
        <f>Tabla1[[#This Row],[FECHA_TRASPLANTE]]</f>
        <v>42650</v>
      </c>
      <c r="BU102">
        <f>IF(Tabla1[[#This Row],[FALLECIDO SI/NO]]="NO",0,1)</f>
        <v>1</v>
      </c>
      <c r="BV102" s="3">
        <f ca="1">IF(Tabla1[[#This Row],[FALLECIDO_COD]]=0,TODAY()-Tabla1[[#This Row],[FECHA_TRASPLANTE]],Tabla1[[#This Row],[FECHA DE DEFUNCIÓN]]-Tabla1[[#This Row],[FECHA_TRASPLANTE]])</f>
        <v>0</v>
      </c>
      <c r="BW102" s="3">
        <f ca="1">IF(Tabla1[[#This Row],[FALLECIDO_COD]]=0,TODAY()-Tabla1[[#This Row],[FECHA_TRASPLANTE]],Tabla1[[#This Row],[FECHA DE DEFUNCIÓN]]-Tabla1[[#This Row],[FECHA_TRASPLANTE]])/30.4375</f>
        <v>0</v>
      </c>
      <c r="BX102" s="3">
        <f ca="1">IF(Tabla1[[#This Row],[FALLECIDO_COD]]=0,TODAY()-Tabla1[[#This Row],[FECHA_TRASPLANTE]],Tabla1[[#This Row],[FECHA DE DEFUNCIÓN]]-Tabla1[[#This Row],[FECHA_TRASPLANTE]])/365.25</f>
        <v>0</v>
      </c>
      <c r="BY102"/>
      <c r="BZ102"/>
    </row>
    <row r="103" spans="1:78" hidden="1" x14ac:dyDescent="0.35">
      <c r="A103" t="s">
        <v>377</v>
      </c>
      <c r="D103" t="s">
        <v>1129</v>
      </c>
      <c r="E103" t="s">
        <v>375</v>
      </c>
      <c r="I103">
        <v>117.1420727522306</v>
      </c>
      <c r="J103" t="s">
        <v>1154</v>
      </c>
      <c r="K103" t="s">
        <v>1310</v>
      </c>
      <c r="L103" t="s">
        <v>274</v>
      </c>
      <c r="M103" t="s">
        <v>411</v>
      </c>
      <c r="N103" s="11">
        <v>107290562</v>
      </c>
      <c r="O103" s="2">
        <v>42669</v>
      </c>
      <c r="P103" t="s">
        <v>81</v>
      </c>
      <c r="Q103" s="2">
        <v>25094</v>
      </c>
      <c r="R103" s="3">
        <f>(Tabla1[[#This Row],[FECHA_TRASPLANTE]]-Tabla1[[#This Row],[FECHA_NAC]])/365.25</f>
        <v>48.11772758384668</v>
      </c>
      <c r="S103" t="s">
        <v>200</v>
      </c>
      <c r="T103"/>
      <c r="W103" t="s">
        <v>82</v>
      </c>
      <c r="X103" t="s">
        <v>125</v>
      </c>
      <c r="Y103" t="s">
        <v>168</v>
      </c>
      <c r="Z103" t="s">
        <v>168</v>
      </c>
      <c r="AM103" t="s">
        <v>106</v>
      </c>
      <c r="AO103"/>
      <c r="AV103" s="2"/>
      <c r="AZ103"/>
      <c r="BT103" s="2">
        <f>Tabla1[[#This Row],[FECHA_TRASPLANTE]]</f>
        <v>42669</v>
      </c>
      <c r="BU103">
        <f>IF(Tabla1[[#This Row],[FALLECIDO SI/NO]]="NO",0,1)</f>
        <v>0</v>
      </c>
      <c r="BV103" s="3">
        <f ca="1">IF(Tabla1[[#This Row],[FALLECIDO_COD]]=0,TODAY()-Tabla1[[#This Row],[FECHA_TRASPLANTE]],Tabla1[[#This Row],[FECHA DE DEFUNCIÓN]]-Tabla1[[#This Row],[FECHA_TRASPLANTE]])</f>
        <v>3206</v>
      </c>
      <c r="BW103" s="3">
        <f ca="1">IF(Tabla1[[#This Row],[FALLECIDO_COD]]=0,TODAY()-Tabla1[[#This Row],[FECHA_TRASPLANTE]],Tabla1[[#This Row],[FECHA DE DEFUNCIÓN]]-Tabla1[[#This Row],[FECHA_TRASPLANTE]])/30.4375</f>
        <v>105.3305954825462</v>
      </c>
      <c r="BX103" s="3">
        <f ca="1">IF(Tabla1[[#This Row],[FALLECIDO_COD]]=0,TODAY()-Tabla1[[#This Row],[FECHA_TRASPLANTE]],Tabla1[[#This Row],[FECHA DE DEFUNCIÓN]]-Tabla1[[#This Row],[FECHA_TRASPLANTE]])/365.25</f>
        <v>8.7775496235455162</v>
      </c>
      <c r="BY103"/>
      <c r="BZ103"/>
    </row>
    <row r="104" spans="1:78" hidden="1" x14ac:dyDescent="0.35">
      <c r="A104" t="s">
        <v>377</v>
      </c>
      <c r="D104" t="s">
        <v>1129</v>
      </c>
      <c r="E104" t="s">
        <v>375</v>
      </c>
      <c r="I104">
        <v>117.19972546328071</v>
      </c>
      <c r="J104" t="s">
        <v>1160</v>
      </c>
      <c r="K104" t="s">
        <v>1311</v>
      </c>
      <c r="L104" t="s">
        <v>108</v>
      </c>
      <c r="M104" t="s">
        <v>203</v>
      </c>
      <c r="N104" s="11">
        <v>900800223</v>
      </c>
      <c r="O104" s="2">
        <v>42690</v>
      </c>
      <c r="P104" t="s">
        <v>81</v>
      </c>
      <c r="Q104" s="2">
        <v>25343</v>
      </c>
      <c r="R104" s="3">
        <f>(Tabla1[[#This Row],[FECHA_TRASPLANTE]]-Tabla1[[#This Row],[FECHA_NAC]])/365.25</f>
        <v>47.493497604380565</v>
      </c>
      <c r="S104" t="s">
        <v>210</v>
      </c>
      <c r="T104"/>
      <c r="W104" t="s">
        <v>82</v>
      </c>
      <c r="X104" t="s">
        <v>120</v>
      </c>
      <c r="Y104" t="s">
        <v>121</v>
      </c>
      <c r="Z104" t="s">
        <v>122</v>
      </c>
      <c r="AM104" t="s">
        <v>106</v>
      </c>
      <c r="AO104"/>
      <c r="AV104" s="2"/>
      <c r="AZ104"/>
      <c r="BT104" s="2">
        <f>Tabla1[[#This Row],[FECHA_TRASPLANTE]]</f>
        <v>42690</v>
      </c>
      <c r="BU104">
        <f>IF(Tabla1[[#This Row],[FALLECIDO SI/NO]]="NO",0,1)</f>
        <v>0</v>
      </c>
      <c r="BV104" s="3">
        <f ca="1">IF(Tabla1[[#This Row],[FALLECIDO_COD]]=0,TODAY()-Tabla1[[#This Row],[FECHA_TRASPLANTE]],Tabla1[[#This Row],[FECHA DE DEFUNCIÓN]]-Tabla1[[#This Row],[FECHA_TRASPLANTE]])</f>
        <v>3185</v>
      </c>
      <c r="BW104" s="3">
        <f ca="1">IF(Tabla1[[#This Row],[FALLECIDO_COD]]=0,TODAY()-Tabla1[[#This Row],[FECHA_TRASPLANTE]],Tabla1[[#This Row],[FECHA DE DEFUNCIÓN]]-Tabla1[[#This Row],[FECHA_TRASPLANTE]])/30.4375</f>
        <v>104.64065708418892</v>
      </c>
      <c r="BX104" s="3">
        <f ca="1">IF(Tabla1[[#This Row],[FALLECIDO_COD]]=0,TODAY()-Tabla1[[#This Row],[FECHA_TRASPLANTE]],Tabla1[[#This Row],[FECHA DE DEFUNCIÓN]]-Tabla1[[#This Row],[FECHA_TRASPLANTE]])/365.25</f>
        <v>8.7200547570157418</v>
      </c>
      <c r="BY104"/>
      <c r="BZ104"/>
    </row>
    <row r="105" spans="1:78" hidden="1" x14ac:dyDescent="0.35">
      <c r="A105" t="s">
        <v>377</v>
      </c>
      <c r="D105" t="s">
        <v>1129</v>
      </c>
      <c r="E105" t="s">
        <v>77</v>
      </c>
      <c r="I105">
        <v>117.20247083047357</v>
      </c>
      <c r="J105" t="s">
        <v>1312</v>
      </c>
      <c r="K105" t="s">
        <v>1313</v>
      </c>
      <c r="L105" t="s">
        <v>642</v>
      </c>
      <c r="M105" t="s">
        <v>390</v>
      </c>
      <c r="N105" s="11">
        <v>504070202</v>
      </c>
      <c r="O105" s="2">
        <v>42691</v>
      </c>
      <c r="P105" t="s">
        <v>81</v>
      </c>
      <c r="Q105" s="2">
        <v>34984</v>
      </c>
      <c r="R105" s="3">
        <f>(Tabla1[[#This Row],[FECHA_TRASPLANTE]]-Tabla1[[#This Row],[FECHA_NAC]])/365.25</f>
        <v>21.100616016427104</v>
      </c>
      <c r="S105" t="s">
        <v>200</v>
      </c>
      <c r="T105"/>
      <c r="W105" t="s">
        <v>82</v>
      </c>
      <c r="X105" t="s">
        <v>125</v>
      </c>
      <c r="Y105" t="s">
        <v>126</v>
      </c>
      <c r="Z105" t="s">
        <v>126</v>
      </c>
      <c r="AM105" t="s">
        <v>106</v>
      </c>
      <c r="AO105"/>
      <c r="AV105" s="2"/>
      <c r="AZ105"/>
      <c r="BT105" s="2">
        <f>Tabla1[[#This Row],[FECHA_TRASPLANTE]]</f>
        <v>42691</v>
      </c>
      <c r="BU105">
        <f>IF(Tabla1[[#This Row],[FALLECIDO SI/NO]]="NO",0,1)</f>
        <v>0</v>
      </c>
      <c r="BV105" s="3">
        <f ca="1">IF(Tabla1[[#This Row],[FALLECIDO_COD]]=0,TODAY()-Tabla1[[#This Row],[FECHA_TRASPLANTE]],Tabla1[[#This Row],[FECHA DE DEFUNCIÓN]]-Tabla1[[#This Row],[FECHA_TRASPLANTE]])</f>
        <v>3184</v>
      </c>
      <c r="BW105" s="3">
        <f ca="1">IF(Tabla1[[#This Row],[FALLECIDO_COD]]=0,TODAY()-Tabla1[[#This Row],[FECHA_TRASPLANTE]],Tabla1[[#This Row],[FECHA DE DEFUNCIÓN]]-Tabla1[[#This Row],[FECHA_TRASPLANTE]])/30.4375</f>
        <v>104.60780287474333</v>
      </c>
      <c r="BX105" s="3">
        <f ca="1">IF(Tabla1[[#This Row],[FALLECIDO_COD]]=0,TODAY()-Tabla1[[#This Row],[FECHA_TRASPLANTE]],Tabla1[[#This Row],[FECHA DE DEFUNCIÓN]]-Tabla1[[#This Row],[FECHA_TRASPLANTE]])/365.25</f>
        <v>8.7173169062286107</v>
      </c>
      <c r="BY105"/>
      <c r="BZ105"/>
    </row>
    <row r="106" spans="1:78" hidden="1" x14ac:dyDescent="0.35">
      <c r="A106" t="s">
        <v>377</v>
      </c>
      <c r="D106" t="s">
        <v>1129</v>
      </c>
      <c r="E106" t="s">
        <v>77</v>
      </c>
      <c r="I106">
        <v>117.21619766643789</v>
      </c>
      <c r="J106" t="s">
        <v>1314</v>
      </c>
      <c r="K106" t="s">
        <v>1315</v>
      </c>
      <c r="L106" t="s">
        <v>388</v>
      </c>
      <c r="M106" t="s">
        <v>619</v>
      </c>
      <c r="N106" s="11">
        <v>103450532</v>
      </c>
      <c r="O106" s="2">
        <v>42696</v>
      </c>
      <c r="P106" t="s">
        <v>81</v>
      </c>
      <c r="Q106" s="2">
        <v>17156</v>
      </c>
      <c r="R106" s="3">
        <f>(Tabla1[[#This Row],[FECHA_TRASPLANTE]]-Tabla1[[#This Row],[FECHA_NAC]])/365.25</f>
        <v>69.924709103353862</v>
      </c>
      <c r="S106" t="s">
        <v>205</v>
      </c>
      <c r="T106"/>
      <c r="W106" t="s">
        <v>82</v>
      </c>
      <c r="X106" t="s">
        <v>91</v>
      </c>
      <c r="Y106" t="s">
        <v>580</v>
      </c>
      <c r="Z106" t="s">
        <v>580</v>
      </c>
      <c r="AM106" t="s">
        <v>86</v>
      </c>
      <c r="AN106" s="2">
        <v>44320</v>
      </c>
      <c r="AO106"/>
      <c r="AV106" s="2"/>
      <c r="AZ106"/>
      <c r="BT106" s="2">
        <f>Tabla1[[#This Row],[FECHA_TRASPLANTE]]</f>
        <v>42696</v>
      </c>
      <c r="BU106">
        <f>IF(Tabla1[[#This Row],[FALLECIDO SI/NO]]="NO",0,1)</f>
        <v>1</v>
      </c>
      <c r="BV106" s="3">
        <f ca="1">IF(Tabla1[[#This Row],[FALLECIDO_COD]]=0,TODAY()-Tabla1[[#This Row],[FECHA_TRASPLANTE]],Tabla1[[#This Row],[FECHA DE DEFUNCIÓN]]-Tabla1[[#This Row],[FECHA_TRASPLANTE]])</f>
        <v>1624</v>
      </c>
      <c r="BW106" s="3">
        <f ca="1">IF(Tabla1[[#This Row],[FALLECIDO_COD]]=0,TODAY()-Tabla1[[#This Row],[FECHA_TRASPLANTE]],Tabla1[[#This Row],[FECHA DE DEFUNCIÓN]]-Tabla1[[#This Row],[FECHA_TRASPLANTE]])/30.4375</f>
        <v>53.355236139630392</v>
      </c>
      <c r="BX106" s="3">
        <f ca="1">IF(Tabla1[[#This Row],[FALLECIDO_COD]]=0,TODAY()-Tabla1[[#This Row],[FECHA_TRASPLANTE]],Tabla1[[#This Row],[FECHA DE DEFUNCIÓN]]-Tabla1[[#This Row],[FECHA_TRASPLANTE]])/365.25</f>
        <v>4.4462696783025324</v>
      </c>
      <c r="BY106"/>
      <c r="BZ106"/>
    </row>
    <row r="107" spans="1:78" hidden="1" x14ac:dyDescent="0.35">
      <c r="A107" t="s">
        <v>377</v>
      </c>
      <c r="D107" t="s">
        <v>1129</v>
      </c>
      <c r="E107" t="s">
        <v>77</v>
      </c>
      <c r="I107">
        <v>117.21619766643789</v>
      </c>
      <c r="J107" t="s">
        <v>1314</v>
      </c>
      <c r="K107" t="s">
        <v>1316</v>
      </c>
      <c r="L107" t="s">
        <v>329</v>
      </c>
      <c r="M107" t="s">
        <v>274</v>
      </c>
      <c r="N107" s="11">
        <v>501840894</v>
      </c>
      <c r="O107" s="2">
        <v>42696</v>
      </c>
      <c r="P107" t="s">
        <v>90</v>
      </c>
      <c r="Q107" s="2">
        <v>21905</v>
      </c>
      <c r="R107" s="3">
        <f>(Tabla1[[#This Row],[FECHA_TRASPLANTE]]-Tabla1[[#This Row],[FECHA_NAC]])/365.25</f>
        <v>56.922655715263517</v>
      </c>
      <c r="S107" t="s">
        <v>210</v>
      </c>
      <c r="T107"/>
      <c r="W107" t="s">
        <v>82</v>
      </c>
      <c r="X107" t="s">
        <v>125</v>
      </c>
      <c r="Y107" t="s">
        <v>1186</v>
      </c>
      <c r="Z107" t="s">
        <v>1186</v>
      </c>
      <c r="AM107" t="s">
        <v>86</v>
      </c>
      <c r="AN107" s="2">
        <v>43083</v>
      </c>
      <c r="AO107"/>
      <c r="AV107" s="2"/>
      <c r="AZ107"/>
      <c r="BT107" s="2">
        <f>Tabla1[[#This Row],[FECHA_TRASPLANTE]]</f>
        <v>42696</v>
      </c>
      <c r="BU107">
        <f>IF(Tabla1[[#This Row],[FALLECIDO SI/NO]]="NO",0,1)</f>
        <v>1</v>
      </c>
      <c r="BV107" s="3">
        <f ca="1">IF(Tabla1[[#This Row],[FALLECIDO_COD]]=0,TODAY()-Tabla1[[#This Row],[FECHA_TRASPLANTE]],Tabla1[[#This Row],[FECHA DE DEFUNCIÓN]]-Tabla1[[#This Row],[FECHA_TRASPLANTE]])</f>
        <v>387</v>
      </c>
      <c r="BW107" s="3">
        <f ca="1">IF(Tabla1[[#This Row],[FALLECIDO_COD]]=0,TODAY()-Tabla1[[#This Row],[FECHA_TRASPLANTE]],Tabla1[[#This Row],[FECHA DE DEFUNCIÓN]]-Tabla1[[#This Row],[FECHA_TRASPLANTE]])/30.4375</f>
        <v>12.714579055441478</v>
      </c>
      <c r="BX107" s="3">
        <f ca="1">IF(Tabla1[[#This Row],[FALLECIDO_COD]]=0,TODAY()-Tabla1[[#This Row],[FECHA_TRASPLANTE]],Tabla1[[#This Row],[FECHA DE DEFUNCIÓN]]-Tabla1[[#This Row],[FECHA_TRASPLANTE]])/365.25</f>
        <v>1.0595482546201231</v>
      </c>
      <c r="BY107"/>
      <c r="BZ107"/>
    </row>
    <row r="108" spans="1:78" hidden="1" x14ac:dyDescent="0.35">
      <c r="A108" t="s">
        <v>377</v>
      </c>
      <c r="D108" t="s">
        <v>1129</v>
      </c>
      <c r="E108" t="s">
        <v>375</v>
      </c>
      <c r="I108">
        <v>117.23816060398079</v>
      </c>
      <c r="K108" t="s">
        <v>1281</v>
      </c>
      <c r="L108" t="s">
        <v>204</v>
      </c>
      <c r="M108" t="s">
        <v>1282</v>
      </c>
      <c r="N108" s="11">
        <v>114630180</v>
      </c>
      <c r="O108" s="2">
        <v>42704</v>
      </c>
      <c r="P108" t="s">
        <v>90</v>
      </c>
      <c r="Q108" s="2">
        <v>33351</v>
      </c>
      <c r="R108" s="3">
        <f>(Tabla1[[#This Row],[FECHA_TRASPLANTE]]-Tabla1[[#This Row],[FECHA_NAC]])/365.25</f>
        <v>25.607118412046542</v>
      </c>
      <c r="S108" t="s">
        <v>200</v>
      </c>
      <c r="T108"/>
      <c r="W108" t="s">
        <v>82</v>
      </c>
      <c r="X108" t="s">
        <v>91</v>
      </c>
      <c r="AM108" t="s">
        <v>106</v>
      </c>
      <c r="AO108"/>
      <c r="AV108" s="2"/>
      <c r="AZ108"/>
      <c r="BT108" s="2">
        <f>Tabla1[[#This Row],[FECHA_TRASPLANTE]]</f>
        <v>42704</v>
      </c>
      <c r="BU108">
        <f>IF(Tabla1[[#This Row],[FALLECIDO SI/NO]]="NO",0,1)</f>
        <v>0</v>
      </c>
      <c r="BV108" s="3">
        <f ca="1">IF(Tabla1[[#This Row],[FALLECIDO_COD]]=0,TODAY()-Tabla1[[#This Row],[FECHA_TRASPLANTE]],Tabla1[[#This Row],[FECHA DE DEFUNCIÓN]]-Tabla1[[#This Row],[FECHA_TRASPLANTE]])</f>
        <v>3171</v>
      </c>
      <c r="BW108" s="3">
        <f ca="1">IF(Tabla1[[#This Row],[FALLECIDO_COD]]=0,TODAY()-Tabla1[[#This Row],[FECHA_TRASPLANTE]],Tabla1[[#This Row],[FECHA DE DEFUNCIÓN]]-Tabla1[[#This Row],[FECHA_TRASPLANTE]])/30.4375</f>
        <v>104.18069815195072</v>
      </c>
      <c r="BX108" s="3">
        <f ca="1">IF(Tabla1[[#This Row],[FALLECIDO_COD]]=0,TODAY()-Tabla1[[#This Row],[FECHA_TRASPLANTE]],Tabla1[[#This Row],[FECHA DE DEFUNCIÓN]]-Tabla1[[#This Row],[FECHA_TRASPLANTE]])/365.25</f>
        <v>8.6817248459958929</v>
      </c>
      <c r="BY108"/>
      <c r="BZ108"/>
    </row>
    <row r="109" spans="1:78" hidden="1" x14ac:dyDescent="0.35">
      <c r="A109" t="s">
        <v>377</v>
      </c>
      <c r="D109" t="s">
        <v>1129</v>
      </c>
      <c r="E109" t="s">
        <v>375</v>
      </c>
      <c r="I109">
        <v>117.2656142759094</v>
      </c>
      <c r="J109" t="s">
        <v>1160</v>
      </c>
      <c r="K109" t="s">
        <v>1317</v>
      </c>
      <c r="L109" t="s">
        <v>274</v>
      </c>
      <c r="M109" t="s">
        <v>329</v>
      </c>
      <c r="N109" s="11">
        <v>401650609</v>
      </c>
      <c r="O109" s="2">
        <v>42714</v>
      </c>
      <c r="P109" t="s">
        <v>90</v>
      </c>
      <c r="Q109" s="2">
        <v>28283</v>
      </c>
      <c r="R109" s="3">
        <f>(Tabla1[[#This Row],[FECHA_TRASPLANTE]]-Tabla1[[#This Row],[FECHA_NAC]])/365.25</f>
        <v>39.509924709103352</v>
      </c>
      <c r="S109" t="s">
        <v>200</v>
      </c>
      <c r="T109"/>
      <c r="W109" t="s">
        <v>82</v>
      </c>
      <c r="X109" t="s">
        <v>261</v>
      </c>
      <c r="Y109" t="s">
        <v>84</v>
      </c>
      <c r="Z109" t="s">
        <v>261</v>
      </c>
      <c r="AM109" t="s">
        <v>86</v>
      </c>
      <c r="AN109" s="2">
        <v>43939</v>
      </c>
      <c r="AO109"/>
      <c r="AV109" s="2"/>
      <c r="AZ109"/>
      <c r="BT109" s="2">
        <f>Tabla1[[#This Row],[FECHA_TRASPLANTE]]</f>
        <v>42714</v>
      </c>
      <c r="BU109">
        <f>IF(Tabla1[[#This Row],[FALLECIDO SI/NO]]="NO",0,1)</f>
        <v>1</v>
      </c>
      <c r="BV109" s="3">
        <f ca="1">IF(Tabla1[[#This Row],[FALLECIDO_COD]]=0,TODAY()-Tabla1[[#This Row],[FECHA_TRASPLANTE]],Tabla1[[#This Row],[FECHA DE DEFUNCIÓN]]-Tabla1[[#This Row],[FECHA_TRASPLANTE]])</f>
        <v>1225</v>
      </c>
      <c r="BW109" s="3">
        <f ca="1">IF(Tabla1[[#This Row],[FALLECIDO_COD]]=0,TODAY()-Tabla1[[#This Row],[FECHA_TRASPLANTE]],Tabla1[[#This Row],[FECHA DE DEFUNCIÓN]]-Tabla1[[#This Row],[FECHA_TRASPLANTE]])/30.4375</f>
        <v>40.246406570841891</v>
      </c>
      <c r="BX109" s="3">
        <f ca="1">IF(Tabla1[[#This Row],[FALLECIDO_COD]]=0,TODAY()-Tabla1[[#This Row],[FECHA_TRASPLANTE]],Tabla1[[#This Row],[FECHA DE DEFUNCIÓN]]-Tabla1[[#This Row],[FECHA_TRASPLANTE]])/365.25</f>
        <v>3.353867214236824</v>
      </c>
      <c r="BY109"/>
      <c r="BZ109"/>
    </row>
    <row r="110" spans="1:78" hidden="1" x14ac:dyDescent="0.35">
      <c r="A110" t="s">
        <v>377</v>
      </c>
      <c r="D110" t="s">
        <v>1129</v>
      </c>
      <c r="E110" t="s">
        <v>375</v>
      </c>
      <c r="I110">
        <v>117.27659574468085</v>
      </c>
      <c r="K110" t="s">
        <v>1318</v>
      </c>
      <c r="L110" t="s">
        <v>475</v>
      </c>
      <c r="M110" t="s">
        <v>243</v>
      </c>
      <c r="N110" s="11">
        <v>502290436</v>
      </c>
      <c r="O110" s="2">
        <v>42718</v>
      </c>
      <c r="P110" t="s">
        <v>81</v>
      </c>
      <c r="Q110" s="2">
        <v>24086</v>
      </c>
      <c r="R110" s="3">
        <f>(Tabla1[[#This Row],[FECHA_TRASPLANTE]]-Tabla1[[#This Row],[FECHA_NAC]])/365.25</f>
        <v>51.011635865845314</v>
      </c>
      <c r="S110" t="s">
        <v>210</v>
      </c>
      <c r="T110"/>
      <c r="W110" t="s">
        <v>82</v>
      </c>
      <c r="X110" t="s">
        <v>125</v>
      </c>
      <c r="Y110" t="s">
        <v>667</v>
      </c>
      <c r="Z110" t="s">
        <v>667</v>
      </c>
      <c r="AM110" t="s">
        <v>86</v>
      </c>
      <c r="AN110" s="2">
        <v>45504</v>
      </c>
      <c r="AO110"/>
      <c r="AV110" s="2"/>
      <c r="AZ110"/>
      <c r="BT110" s="2">
        <f>Tabla1[[#This Row],[FECHA_TRASPLANTE]]</f>
        <v>42718</v>
      </c>
      <c r="BU110">
        <f>IF(Tabla1[[#This Row],[FALLECIDO SI/NO]]="NO",0,1)</f>
        <v>1</v>
      </c>
      <c r="BV110" s="3">
        <f ca="1">IF(Tabla1[[#This Row],[FALLECIDO_COD]]=0,TODAY()-Tabla1[[#This Row],[FECHA_TRASPLANTE]],Tabla1[[#This Row],[FECHA DE DEFUNCIÓN]]-Tabla1[[#This Row],[FECHA_TRASPLANTE]])</f>
        <v>2786</v>
      </c>
      <c r="BW110" s="3">
        <f ca="1">IF(Tabla1[[#This Row],[FALLECIDO_COD]]=0,TODAY()-Tabla1[[#This Row],[FECHA_TRASPLANTE]],Tabla1[[#This Row],[FECHA DE DEFUNCIÓN]]-Tabla1[[#This Row],[FECHA_TRASPLANTE]])/30.4375</f>
        <v>91.531827515400408</v>
      </c>
      <c r="BX110" s="3">
        <f ca="1">IF(Tabla1[[#This Row],[FALLECIDO_COD]]=0,TODAY()-Tabla1[[#This Row],[FECHA_TRASPLANTE]],Tabla1[[#This Row],[FECHA DE DEFUNCIÓN]]-Tabla1[[#This Row],[FECHA_TRASPLANTE]])/365.25</f>
        <v>7.6276522929500343</v>
      </c>
      <c r="BY110"/>
      <c r="BZ110"/>
    </row>
    <row r="111" spans="1:78" hidden="1" x14ac:dyDescent="0.35">
      <c r="A111" t="s">
        <v>377</v>
      </c>
      <c r="D111" t="s">
        <v>1129</v>
      </c>
      <c r="E111" t="s">
        <v>77</v>
      </c>
      <c r="I111">
        <v>117.29581331503088</v>
      </c>
      <c r="J111" t="s">
        <v>1319</v>
      </c>
      <c r="K111" t="s">
        <v>1320</v>
      </c>
      <c r="L111" t="s">
        <v>338</v>
      </c>
      <c r="M111" t="s">
        <v>1321</v>
      </c>
      <c r="N111" s="11">
        <v>107960436</v>
      </c>
      <c r="O111" s="2">
        <v>42725</v>
      </c>
      <c r="P111" t="s">
        <v>90</v>
      </c>
      <c r="Q111" s="2">
        <v>26052</v>
      </c>
      <c r="R111" s="3">
        <f>(Tabla1[[#This Row],[FECHA_TRASPLANTE]]-Tabla1[[#This Row],[FECHA_NAC]])/365.25</f>
        <v>45.648186173853524</v>
      </c>
      <c r="S111" t="s">
        <v>344</v>
      </c>
      <c r="T111"/>
      <c r="W111" t="s">
        <v>82</v>
      </c>
      <c r="X111" t="s">
        <v>822</v>
      </c>
      <c r="AM111" t="s">
        <v>106</v>
      </c>
      <c r="AO111"/>
      <c r="AV111" s="2"/>
      <c r="AZ111"/>
      <c r="BT111" s="2">
        <f>Tabla1[[#This Row],[FECHA_TRASPLANTE]]</f>
        <v>42725</v>
      </c>
      <c r="BU111">
        <f>IF(Tabla1[[#This Row],[FALLECIDO SI/NO]]="NO",0,1)</f>
        <v>0</v>
      </c>
      <c r="BV111" s="3">
        <f ca="1">IF(Tabla1[[#This Row],[FALLECIDO_COD]]=0,TODAY()-Tabla1[[#This Row],[FECHA_TRASPLANTE]],Tabla1[[#This Row],[FECHA DE DEFUNCIÓN]]-Tabla1[[#This Row],[FECHA_TRASPLANTE]])</f>
        <v>3150</v>
      </c>
      <c r="BW111" s="3">
        <f ca="1">IF(Tabla1[[#This Row],[FALLECIDO_COD]]=0,TODAY()-Tabla1[[#This Row],[FECHA_TRASPLANTE]],Tabla1[[#This Row],[FECHA DE DEFUNCIÓN]]-Tabla1[[#This Row],[FECHA_TRASPLANTE]])/30.4375</f>
        <v>103.49075975359342</v>
      </c>
      <c r="BX111" s="3">
        <f ca="1">IF(Tabla1[[#This Row],[FALLECIDO_COD]]=0,TODAY()-Tabla1[[#This Row],[FECHA_TRASPLANTE]],Tabla1[[#This Row],[FECHA DE DEFUNCIÓN]]-Tabla1[[#This Row],[FECHA_TRASPLANTE]])/365.25</f>
        <v>8.6242299794661186</v>
      </c>
      <c r="BY111"/>
      <c r="BZ111"/>
    </row>
    <row r="112" spans="1:78" hidden="1" x14ac:dyDescent="0.35">
      <c r="A112" t="s">
        <v>377</v>
      </c>
      <c r="D112" t="s">
        <v>1129</v>
      </c>
      <c r="E112" t="s">
        <v>77</v>
      </c>
      <c r="I112">
        <v>117.29581331503088</v>
      </c>
      <c r="J112" t="s">
        <v>1322</v>
      </c>
      <c r="K112" t="s">
        <v>1323</v>
      </c>
      <c r="L112" t="s">
        <v>1324</v>
      </c>
      <c r="M112" t="s">
        <v>246</v>
      </c>
      <c r="N112" s="11">
        <v>800760289</v>
      </c>
      <c r="O112" s="2">
        <v>42725</v>
      </c>
      <c r="P112" t="s">
        <v>81</v>
      </c>
      <c r="Q112" s="2">
        <v>24622</v>
      </c>
      <c r="R112" s="3">
        <f>(Tabla1[[#This Row],[FECHA_TRASPLANTE]]-Tabla1[[#This Row],[FECHA_NAC]])/365.25</f>
        <v>49.563312799452433</v>
      </c>
      <c r="S112" t="s">
        <v>200</v>
      </c>
      <c r="T112"/>
      <c r="W112" t="s">
        <v>82</v>
      </c>
      <c r="X112" t="s">
        <v>1136</v>
      </c>
      <c r="AM112" t="s">
        <v>106</v>
      </c>
      <c r="AO112"/>
      <c r="AV112" s="2"/>
      <c r="AZ112"/>
      <c r="BT112" s="2">
        <f>Tabla1[[#This Row],[FECHA_TRASPLANTE]]</f>
        <v>42725</v>
      </c>
      <c r="BU112">
        <f>IF(Tabla1[[#This Row],[FALLECIDO SI/NO]]="NO",0,1)</f>
        <v>0</v>
      </c>
      <c r="BV112" s="3">
        <f ca="1">IF(Tabla1[[#This Row],[FALLECIDO_COD]]=0,TODAY()-Tabla1[[#This Row],[FECHA_TRASPLANTE]],Tabla1[[#This Row],[FECHA DE DEFUNCIÓN]]-Tabla1[[#This Row],[FECHA_TRASPLANTE]])</f>
        <v>3150</v>
      </c>
      <c r="BW112" s="3">
        <f ca="1">IF(Tabla1[[#This Row],[FALLECIDO_COD]]=0,TODAY()-Tabla1[[#This Row],[FECHA_TRASPLANTE]],Tabla1[[#This Row],[FECHA DE DEFUNCIÓN]]-Tabla1[[#This Row],[FECHA_TRASPLANTE]])/30.4375</f>
        <v>103.49075975359342</v>
      </c>
      <c r="BX112" s="3">
        <f ca="1">IF(Tabla1[[#This Row],[FALLECIDO_COD]]=0,TODAY()-Tabla1[[#This Row],[FECHA_TRASPLANTE]],Tabla1[[#This Row],[FECHA DE DEFUNCIÓN]]-Tabla1[[#This Row],[FECHA_TRASPLANTE]])/365.25</f>
        <v>8.6242299794661186</v>
      </c>
      <c r="BY112"/>
      <c r="BZ112"/>
    </row>
    <row r="113" spans="1:78" hidden="1" x14ac:dyDescent="0.35">
      <c r="A113" t="s">
        <v>377</v>
      </c>
      <c r="D113" t="s">
        <v>1129</v>
      </c>
      <c r="E113" t="s">
        <v>375</v>
      </c>
      <c r="I113">
        <v>117.32875772134523</v>
      </c>
      <c r="J113" t="s">
        <v>1152</v>
      </c>
      <c r="K113" t="s">
        <v>1325</v>
      </c>
      <c r="L113" t="s">
        <v>108</v>
      </c>
      <c r="M113" t="s">
        <v>403</v>
      </c>
      <c r="N113" s="11">
        <v>203720379</v>
      </c>
      <c r="O113" s="2">
        <v>42737</v>
      </c>
      <c r="P113" t="s">
        <v>90</v>
      </c>
      <c r="Q113" s="2">
        <v>22795</v>
      </c>
      <c r="R113" s="3">
        <f>(Tabla1[[#This Row],[FECHA_TRASPLANTE]]-Tabla1[[#This Row],[FECHA_NAC]])/365.25</f>
        <v>54.598220396988367</v>
      </c>
      <c r="T113"/>
      <c r="W113" t="s">
        <v>82</v>
      </c>
      <c r="X113" t="s">
        <v>120</v>
      </c>
      <c r="Y113" t="s">
        <v>225</v>
      </c>
      <c r="Z113" t="s">
        <v>718</v>
      </c>
      <c r="AM113" t="s">
        <v>86</v>
      </c>
      <c r="AN113" s="2">
        <v>44600</v>
      </c>
      <c r="AO113"/>
      <c r="AV113" s="2"/>
      <c r="AZ113"/>
      <c r="BT113" s="2">
        <f>Tabla1[[#This Row],[FECHA_TRASPLANTE]]</f>
        <v>42737</v>
      </c>
      <c r="BU113">
        <f>IF(Tabla1[[#This Row],[FALLECIDO SI/NO]]="NO",0,1)</f>
        <v>1</v>
      </c>
      <c r="BV113" s="3">
        <f ca="1">IF(Tabla1[[#This Row],[FALLECIDO_COD]]=0,TODAY()-Tabla1[[#This Row],[FECHA_TRASPLANTE]],Tabla1[[#This Row],[FECHA DE DEFUNCIÓN]]-Tabla1[[#This Row],[FECHA_TRASPLANTE]])</f>
        <v>1863</v>
      </c>
      <c r="BW113" s="3">
        <f ca="1">IF(Tabla1[[#This Row],[FALLECIDO_COD]]=0,TODAY()-Tabla1[[#This Row],[FECHA_TRASPLANTE]],Tabla1[[#This Row],[FECHA DE DEFUNCIÓN]]-Tabla1[[#This Row],[FECHA_TRASPLANTE]])/30.4375</f>
        <v>61.207392197125259</v>
      </c>
      <c r="BX113" s="3">
        <f ca="1">IF(Tabla1[[#This Row],[FALLECIDO_COD]]=0,TODAY()-Tabla1[[#This Row],[FECHA_TRASPLANTE]],Tabla1[[#This Row],[FECHA DE DEFUNCIÓN]]-Tabla1[[#This Row],[FECHA_TRASPLANTE]])/365.25</f>
        <v>5.1006160164271046</v>
      </c>
      <c r="BY113"/>
      <c r="BZ113"/>
    </row>
    <row r="114" spans="1:78" hidden="1" x14ac:dyDescent="0.35">
      <c r="A114" t="s">
        <v>377</v>
      </c>
      <c r="D114" t="s">
        <v>1129</v>
      </c>
      <c r="E114" t="s">
        <v>375</v>
      </c>
      <c r="I114">
        <v>117.33150308853808</v>
      </c>
      <c r="J114" t="s">
        <v>1191</v>
      </c>
      <c r="K114" t="s">
        <v>1326</v>
      </c>
      <c r="L114" t="s">
        <v>155</v>
      </c>
      <c r="M114" t="s">
        <v>918</v>
      </c>
      <c r="N114" s="11">
        <v>501990917</v>
      </c>
      <c r="O114" s="2">
        <v>42738</v>
      </c>
      <c r="P114" t="s">
        <v>81</v>
      </c>
      <c r="Q114" s="2">
        <v>22769</v>
      </c>
      <c r="R114" s="3">
        <f>(Tabla1[[#This Row],[FECHA_TRASPLANTE]]-Tabla1[[#This Row],[FECHA_NAC]])/365.25</f>
        <v>54.672142368240934</v>
      </c>
      <c r="T114"/>
      <c r="W114" t="s">
        <v>82</v>
      </c>
      <c r="X114" t="s">
        <v>115</v>
      </c>
      <c r="Y114" t="s">
        <v>197</v>
      </c>
      <c r="Z114" t="s">
        <v>621</v>
      </c>
      <c r="AM114" t="s">
        <v>106</v>
      </c>
      <c r="AO114"/>
      <c r="AV114" s="2"/>
      <c r="AZ114"/>
      <c r="BT114" s="2">
        <f>Tabla1[[#This Row],[FECHA_TRASPLANTE]]</f>
        <v>42738</v>
      </c>
      <c r="BU114">
        <f>IF(Tabla1[[#This Row],[FALLECIDO SI/NO]]="NO",0,1)</f>
        <v>0</v>
      </c>
      <c r="BV114" s="3">
        <f ca="1">IF(Tabla1[[#This Row],[FALLECIDO_COD]]=0,TODAY()-Tabla1[[#This Row],[FECHA_TRASPLANTE]],Tabla1[[#This Row],[FECHA DE DEFUNCIÓN]]-Tabla1[[#This Row],[FECHA_TRASPLANTE]])</f>
        <v>3137</v>
      </c>
      <c r="BW114" s="3">
        <f ca="1">IF(Tabla1[[#This Row],[FALLECIDO_COD]]=0,TODAY()-Tabla1[[#This Row],[FECHA_TRASPLANTE]],Tabla1[[#This Row],[FECHA DE DEFUNCIÓN]]-Tabla1[[#This Row],[FECHA_TRASPLANTE]])/30.4375</f>
        <v>103.06365503080082</v>
      </c>
      <c r="BX114" s="3">
        <f ca="1">IF(Tabla1[[#This Row],[FALLECIDO_COD]]=0,TODAY()-Tabla1[[#This Row],[FECHA_TRASPLANTE]],Tabla1[[#This Row],[FECHA DE DEFUNCIÓN]]-Tabla1[[#This Row],[FECHA_TRASPLANTE]])/365.25</f>
        <v>8.5886379192334026</v>
      </c>
      <c r="BY114"/>
      <c r="BZ114"/>
    </row>
    <row r="115" spans="1:78" hidden="1" x14ac:dyDescent="0.35">
      <c r="A115" t="s">
        <v>75</v>
      </c>
      <c r="D115" t="s">
        <v>1129</v>
      </c>
      <c r="E115" t="s">
        <v>375</v>
      </c>
      <c r="I115">
        <v>117.37268359643102</v>
      </c>
      <c r="K115" t="s">
        <v>1327</v>
      </c>
      <c r="L115" t="s">
        <v>94</v>
      </c>
      <c r="M115" t="s">
        <v>588</v>
      </c>
      <c r="N115" s="11">
        <v>800780382</v>
      </c>
      <c r="O115" s="16">
        <v>42753</v>
      </c>
      <c r="P115" t="s">
        <v>90</v>
      </c>
      <c r="Q115" s="2">
        <v>25062</v>
      </c>
      <c r="R115" s="3">
        <f>(Tabla1[[#This Row],[FECHA_TRASPLANTE]]-Tabla1[[#This Row],[FECHA_NAC]])/365.25</f>
        <v>48.435318275154003</v>
      </c>
      <c r="T115"/>
      <c r="W115" t="s">
        <v>82</v>
      </c>
      <c r="AM115" t="s">
        <v>86</v>
      </c>
      <c r="AN115" s="2">
        <v>43644</v>
      </c>
      <c r="AO115"/>
      <c r="AV115" s="2"/>
      <c r="AZ115"/>
      <c r="BJ115" s="2"/>
      <c r="BT115" s="2">
        <f>Tabla1[[#This Row],[FECHA_TRASPLANTE]]</f>
        <v>42753</v>
      </c>
      <c r="BU115">
        <f>IF(Tabla1[[#This Row],[FALLECIDO SI/NO]]="NO",0,1)</f>
        <v>1</v>
      </c>
      <c r="BV115" s="3">
        <f ca="1">IF(Tabla1[[#This Row],[FALLECIDO_COD]]=0,TODAY()-Tabla1[[#This Row],[FECHA_TRASPLANTE]],Tabla1[[#This Row],[FECHA DE DEFUNCIÓN]]-Tabla1[[#This Row],[FECHA_TRASPLANTE]])</f>
        <v>891</v>
      </c>
      <c r="BW115" s="3">
        <f ca="1">IF(Tabla1[[#This Row],[FALLECIDO_COD]]=0,TODAY()-Tabla1[[#This Row],[FECHA_TRASPLANTE]],Tabla1[[#This Row],[FECHA DE DEFUNCIÓN]]-Tabla1[[#This Row],[FECHA_TRASPLANTE]])/30.4375</f>
        <v>29.273100616016428</v>
      </c>
      <c r="BX115" s="3">
        <f ca="1">IF(Tabla1[[#This Row],[FALLECIDO_COD]]=0,TODAY()-Tabla1[[#This Row],[FECHA_TRASPLANTE]],Tabla1[[#This Row],[FECHA DE DEFUNCIÓN]]-Tabla1[[#This Row],[FECHA_TRASPLANTE]])/365.25</f>
        <v>2.4394250513347022</v>
      </c>
      <c r="BY115"/>
      <c r="BZ115"/>
    </row>
    <row r="116" spans="1:78" hidden="1" x14ac:dyDescent="0.35">
      <c r="A116" t="s">
        <v>377</v>
      </c>
      <c r="D116" t="s">
        <v>1129</v>
      </c>
      <c r="E116" t="s">
        <v>375</v>
      </c>
      <c r="I116">
        <v>117.39190116678105</v>
      </c>
      <c r="J116" t="s">
        <v>1170</v>
      </c>
      <c r="K116" t="s">
        <v>1328</v>
      </c>
      <c r="L116" t="s">
        <v>1329</v>
      </c>
      <c r="M116" t="s">
        <v>1330</v>
      </c>
      <c r="N116" s="11">
        <v>504180410</v>
      </c>
      <c r="O116" s="2">
        <v>42760</v>
      </c>
      <c r="P116" t="s">
        <v>81</v>
      </c>
      <c r="Q116" s="2">
        <v>35703</v>
      </c>
      <c r="R116" s="3">
        <f>(Tabla1[[#This Row],[FECHA_TRASPLANTE]]-Tabla1[[#This Row],[FECHA_NAC]])/365.25</f>
        <v>19.32101300479124</v>
      </c>
      <c r="T116"/>
      <c r="W116" t="s">
        <v>82</v>
      </c>
      <c r="X116" t="s">
        <v>1145</v>
      </c>
      <c r="AM116" t="s">
        <v>106</v>
      </c>
      <c r="AO116"/>
      <c r="AV116" s="2"/>
      <c r="AZ116"/>
      <c r="BT116" s="2">
        <f>Tabla1[[#This Row],[FECHA_TRASPLANTE]]</f>
        <v>42760</v>
      </c>
      <c r="BU116">
        <f>IF(Tabla1[[#This Row],[FALLECIDO SI/NO]]="NO",0,1)</f>
        <v>0</v>
      </c>
      <c r="BV116" s="3">
        <f ca="1">IF(Tabla1[[#This Row],[FALLECIDO_COD]]=0,TODAY()-Tabla1[[#This Row],[FECHA_TRASPLANTE]],Tabla1[[#This Row],[FECHA DE DEFUNCIÓN]]-Tabla1[[#This Row],[FECHA_TRASPLANTE]])</f>
        <v>3115</v>
      </c>
      <c r="BW116" s="3">
        <f ca="1">IF(Tabla1[[#This Row],[FALLECIDO_COD]]=0,TODAY()-Tabla1[[#This Row],[FECHA_TRASPLANTE]],Tabla1[[#This Row],[FECHA DE DEFUNCIÓN]]-Tabla1[[#This Row],[FECHA_TRASPLANTE]])/30.4375</f>
        <v>102.34086242299794</v>
      </c>
      <c r="BX116" s="3">
        <f ca="1">IF(Tabla1[[#This Row],[FALLECIDO_COD]]=0,TODAY()-Tabla1[[#This Row],[FECHA_TRASPLANTE]],Tabla1[[#This Row],[FECHA DE DEFUNCIÓN]]-Tabla1[[#This Row],[FECHA_TRASPLANTE]])/365.25</f>
        <v>8.5284052019164953</v>
      </c>
      <c r="BY116"/>
      <c r="BZ116"/>
    </row>
    <row r="117" spans="1:78" hidden="1" x14ac:dyDescent="0.35">
      <c r="A117" t="s">
        <v>75</v>
      </c>
      <c r="D117" t="s">
        <v>1129</v>
      </c>
      <c r="E117" t="s">
        <v>375</v>
      </c>
      <c r="I117">
        <v>117.43033630748113</v>
      </c>
      <c r="K117" t="s">
        <v>1331</v>
      </c>
      <c r="L117" t="s">
        <v>487</v>
      </c>
      <c r="M117" t="s">
        <v>1332</v>
      </c>
      <c r="N117" s="11">
        <v>302260619</v>
      </c>
      <c r="O117" s="16">
        <v>42774</v>
      </c>
      <c r="P117" t="s">
        <v>81</v>
      </c>
      <c r="Q117" s="2">
        <v>21282</v>
      </c>
      <c r="R117" s="3">
        <f>(Tabla1[[#This Row],[FECHA_TRASPLANTE]]-Tabla1[[#This Row],[FECHA_NAC]])/365.25</f>
        <v>58.841889117043124</v>
      </c>
      <c r="T117"/>
      <c r="W117" t="s">
        <v>82</v>
      </c>
      <c r="X117" t="s">
        <v>110</v>
      </c>
      <c r="Y117" t="s">
        <v>340</v>
      </c>
      <c r="Z117" t="s">
        <v>340</v>
      </c>
      <c r="AM117" t="s">
        <v>106</v>
      </c>
      <c r="AO117"/>
      <c r="AV117" s="2"/>
      <c r="AZ117"/>
      <c r="BJ117" s="2"/>
      <c r="BT117" s="2">
        <f>Tabla1[[#This Row],[FECHA_TRASPLANTE]]</f>
        <v>42774</v>
      </c>
      <c r="BU117">
        <f>IF(Tabla1[[#This Row],[FALLECIDO SI/NO]]="NO",0,1)</f>
        <v>0</v>
      </c>
      <c r="BV117" s="3">
        <f ca="1">IF(Tabla1[[#This Row],[FALLECIDO_COD]]=0,TODAY()-Tabla1[[#This Row],[FECHA_TRASPLANTE]],Tabla1[[#This Row],[FECHA DE DEFUNCIÓN]]-Tabla1[[#This Row],[FECHA_TRASPLANTE]])</f>
        <v>3101</v>
      </c>
      <c r="BW117" s="3">
        <f ca="1">IF(Tabla1[[#This Row],[FALLECIDO_COD]]=0,TODAY()-Tabla1[[#This Row],[FECHA_TRASPLANTE]],Tabla1[[#This Row],[FECHA DE DEFUNCIÓN]]-Tabla1[[#This Row],[FECHA_TRASPLANTE]])/30.4375</f>
        <v>101.88090349075975</v>
      </c>
      <c r="BX117" s="3">
        <f ca="1">IF(Tabla1[[#This Row],[FALLECIDO_COD]]=0,TODAY()-Tabla1[[#This Row],[FECHA_TRASPLANTE]],Tabla1[[#This Row],[FECHA DE DEFUNCIÓN]]-Tabla1[[#This Row],[FECHA_TRASPLANTE]])/365.25</f>
        <v>8.4900752908966464</v>
      </c>
      <c r="BY117"/>
      <c r="BZ117"/>
    </row>
    <row r="118" spans="1:78" hidden="1" x14ac:dyDescent="0.35">
      <c r="A118" t="s">
        <v>1126</v>
      </c>
      <c r="D118" t="s">
        <v>1333</v>
      </c>
      <c r="E118" t="s">
        <v>77</v>
      </c>
      <c r="I118">
        <v>117.12525667351129</v>
      </c>
      <c r="J118" t="s">
        <v>1334</v>
      </c>
      <c r="N118" s="11">
        <v>302810358</v>
      </c>
      <c r="O118" s="2">
        <v>42780</v>
      </c>
      <c r="R118" s="3">
        <f>(Tabla1[[#This Row],[FECHA_TRASPLANTE]]-Tabla1[[#This Row],[FECHA_NAC]])/365.25</f>
        <v>117.12525667351129</v>
      </c>
      <c r="AM118" t="s">
        <v>106</v>
      </c>
      <c r="AR118" s="2"/>
      <c r="AS118" s="2"/>
      <c r="AV118" s="2"/>
      <c r="AZ118"/>
      <c r="BT118" s="2">
        <f>Tabla1[[#This Row],[FECHA_TRASPLANTE]]</f>
        <v>42780</v>
      </c>
      <c r="BU118">
        <f>IF(Tabla1[[#This Row],[FALLECIDO SI/NO]]="NO",0,1)</f>
        <v>0</v>
      </c>
      <c r="BV118" s="3">
        <f ca="1">IF(Tabla1[[#This Row],[FALLECIDO_COD]]=0,TODAY()-Tabla1[[#This Row],[FECHA_TRASPLANTE]],Tabla1[[#This Row],[FECHA DE DEFUNCIÓN]]-Tabla1[[#This Row],[FECHA_TRASPLANTE]])</f>
        <v>3095</v>
      </c>
      <c r="BW118" s="3">
        <f ca="1">IF(Tabla1[[#This Row],[FALLECIDO_COD]]=0,TODAY()-Tabla1[[#This Row],[FECHA_TRASPLANTE]],Tabla1[[#This Row],[FECHA DE DEFUNCIÓN]]-Tabla1[[#This Row],[FECHA_TRASPLANTE]])/30.4375</f>
        <v>101.68377823408625</v>
      </c>
      <c r="BX118" s="3">
        <f ca="1">IF(Tabla1[[#This Row],[FALLECIDO_COD]]=0,TODAY()-Tabla1[[#This Row],[FECHA_TRASPLANTE]],Tabla1[[#This Row],[FECHA DE DEFUNCIÓN]]-Tabla1[[#This Row],[FECHA_TRASPLANTE]])/365.25</f>
        <v>8.473648186173854</v>
      </c>
      <c r="BY118"/>
      <c r="BZ118"/>
    </row>
    <row r="119" spans="1:78" hidden="1" x14ac:dyDescent="0.35">
      <c r="A119" t="s">
        <v>377</v>
      </c>
      <c r="D119" t="s">
        <v>1129</v>
      </c>
      <c r="E119" t="s">
        <v>375</v>
      </c>
      <c r="I119">
        <v>117.44955387783116</v>
      </c>
      <c r="J119" t="s">
        <v>1335</v>
      </c>
      <c r="K119" t="s">
        <v>1336</v>
      </c>
      <c r="L119" t="s">
        <v>114</v>
      </c>
      <c r="M119" t="s">
        <v>1337</v>
      </c>
      <c r="N119" s="11">
        <v>19908995</v>
      </c>
      <c r="O119" s="2">
        <v>42781</v>
      </c>
      <c r="P119" t="s">
        <v>81</v>
      </c>
      <c r="Q119" s="2">
        <v>36320</v>
      </c>
      <c r="R119" s="3">
        <f>(Tabla1[[#This Row],[FECHA_TRASPLANTE]]-Tabla1[[#This Row],[FECHA_NAC]])/365.25</f>
        <v>17.689253935660506</v>
      </c>
      <c r="T119"/>
      <c r="W119" t="s">
        <v>597</v>
      </c>
      <c r="X119" t="s">
        <v>115</v>
      </c>
      <c r="Y119" t="s">
        <v>84</v>
      </c>
      <c r="Z119" t="s">
        <v>115</v>
      </c>
      <c r="AM119" t="s">
        <v>106</v>
      </c>
      <c r="AO119"/>
      <c r="AV119" s="2"/>
      <c r="AZ119"/>
      <c r="BT119" s="2">
        <f>Tabla1[[#This Row],[FECHA_TRASPLANTE]]</f>
        <v>42781</v>
      </c>
      <c r="BU119">
        <f>IF(Tabla1[[#This Row],[FALLECIDO SI/NO]]="NO",0,1)</f>
        <v>0</v>
      </c>
      <c r="BV119" s="3">
        <f ca="1">IF(Tabla1[[#This Row],[FALLECIDO_COD]]=0,TODAY()-Tabla1[[#This Row],[FECHA_TRASPLANTE]],Tabla1[[#This Row],[FECHA DE DEFUNCIÓN]]-Tabla1[[#This Row],[FECHA_TRASPLANTE]])</f>
        <v>3094</v>
      </c>
      <c r="BW119" s="3">
        <f ca="1">IF(Tabla1[[#This Row],[FALLECIDO_COD]]=0,TODAY()-Tabla1[[#This Row],[FECHA_TRASPLANTE]],Tabla1[[#This Row],[FECHA DE DEFUNCIÓN]]-Tabla1[[#This Row],[FECHA_TRASPLANTE]])/30.4375</f>
        <v>101.65092402464066</v>
      </c>
      <c r="BX119" s="3">
        <f ca="1">IF(Tabla1[[#This Row],[FALLECIDO_COD]]=0,TODAY()-Tabla1[[#This Row],[FECHA_TRASPLANTE]],Tabla1[[#This Row],[FECHA DE DEFUNCIÓN]]-Tabla1[[#This Row],[FECHA_TRASPLANTE]])/365.25</f>
        <v>8.470910335386721</v>
      </c>
      <c r="BY119"/>
      <c r="BZ119"/>
    </row>
    <row r="120" spans="1:78" hidden="1" x14ac:dyDescent="0.35">
      <c r="A120" t="s">
        <v>376</v>
      </c>
      <c r="B120" t="s">
        <v>376</v>
      </c>
      <c r="D120" t="s">
        <v>1129</v>
      </c>
      <c r="E120" t="s">
        <v>77</v>
      </c>
      <c r="I120">
        <v>117.44955387783116</v>
      </c>
      <c r="K120" t="s">
        <v>1338</v>
      </c>
      <c r="L120" t="s">
        <v>80</v>
      </c>
      <c r="M120" t="s">
        <v>1200</v>
      </c>
      <c r="N120" s="11">
        <v>605130022</v>
      </c>
      <c r="O120" s="2">
        <v>42781</v>
      </c>
      <c r="P120" t="s">
        <v>81</v>
      </c>
      <c r="Q120" s="2">
        <v>39658</v>
      </c>
      <c r="R120" s="3">
        <f>(Tabla1[[#This Row],[FECHA_TRASPLANTE]]-Tabla1[[#This Row],[FECHA_NAC]])/365.25</f>
        <v>8.5503080082135519</v>
      </c>
      <c r="T120"/>
      <c r="W120" t="s">
        <v>82</v>
      </c>
      <c r="AM120" t="s">
        <v>106</v>
      </c>
      <c r="AO120"/>
      <c r="AV120" s="2"/>
      <c r="AZ120"/>
      <c r="BT120" s="2">
        <f>Tabla1[[#This Row],[FECHA_TRASPLANTE]]</f>
        <v>42781</v>
      </c>
      <c r="BU120">
        <f>IF(Tabla1[[#This Row],[FALLECIDO SI/NO]]="NO",0,1)</f>
        <v>0</v>
      </c>
      <c r="BV120" s="3">
        <f ca="1">IF(Tabla1[[#This Row],[FALLECIDO_COD]]=0,TODAY()-Tabla1[[#This Row],[FECHA_TRASPLANTE]],Tabla1[[#This Row],[FECHA DE DEFUNCIÓN]]-Tabla1[[#This Row],[FECHA_TRASPLANTE]])</f>
        <v>3094</v>
      </c>
      <c r="BW120" s="3">
        <f ca="1">IF(Tabla1[[#This Row],[FALLECIDO_COD]]=0,TODAY()-Tabla1[[#This Row],[FECHA_TRASPLANTE]],Tabla1[[#This Row],[FECHA DE DEFUNCIÓN]]-Tabla1[[#This Row],[FECHA_TRASPLANTE]])/30.4375</f>
        <v>101.65092402464066</v>
      </c>
      <c r="BX120" s="3">
        <f ca="1">IF(Tabla1[[#This Row],[FALLECIDO_COD]]=0,TODAY()-Tabla1[[#This Row],[FECHA_TRASPLANTE]],Tabla1[[#This Row],[FECHA DE DEFUNCIÓN]]-Tabla1[[#This Row],[FECHA_TRASPLANTE]])/365.25</f>
        <v>8.470910335386721</v>
      </c>
      <c r="BY120"/>
      <c r="BZ120"/>
    </row>
    <row r="121" spans="1:78" hidden="1" x14ac:dyDescent="0.35">
      <c r="A121" t="s">
        <v>377</v>
      </c>
      <c r="D121" t="s">
        <v>1129</v>
      </c>
      <c r="E121" t="s">
        <v>375</v>
      </c>
      <c r="I121">
        <v>117.4687714481812</v>
      </c>
      <c r="J121" t="s">
        <v>1339</v>
      </c>
      <c r="K121" t="s">
        <v>1340</v>
      </c>
      <c r="L121" t="s">
        <v>89</v>
      </c>
      <c r="M121" t="s">
        <v>1341</v>
      </c>
      <c r="N121" s="11">
        <v>205790787</v>
      </c>
      <c r="O121" s="2">
        <v>42788</v>
      </c>
      <c r="P121" t="s">
        <v>90</v>
      </c>
      <c r="Q121" s="2">
        <v>30345</v>
      </c>
      <c r="R121" s="3">
        <f>(Tabla1[[#This Row],[FECHA_TRASPLANTE]]-Tabla1[[#This Row],[FECHA_NAC]])/365.25</f>
        <v>34.067077344284733</v>
      </c>
      <c r="T121"/>
      <c r="W121" t="s">
        <v>82</v>
      </c>
      <c r="X121" t="s">
        <v>115</v>
      </c>
      <c r="Y121" t="s">
        <v>84</v>
      </c>
      <c r="Z121" t="s">
        <v>116</v>
      </c>
      <c r="AM121" t="s">
        <v>106</v>
      </c>
      <c r="AO121"/>
      <c r="AV121" s="2"/>
      <c r="AZ121"/>
      <c r="BT121" s="2">
        <f>Tabla1[[#This Row],[FECHA_TRASPLANTE]]</f>
        <v>42788</v>
      </c>
      <c r="BU121">
        <f>IF(Tabla1[[#This Row],[FALLECIDO SI/NO]]="NO",0,1)</f>
        <v>0</v>
      </c>
      <c r="BV121" s="3">
        <f ca="1">IF(Tabla1[[#This Row],[FALLECIDO_COD]]=0,TODAY()-Tabla1[[#This Row],[FECHA_TRASPLANTE]],Tabla1[[#This Row],[FECHA DE DEFUNCIÓN]]-Tabla1[[#This Row],[FECHA_TRASPLANTE]])</f>
        <v>3087</v>
      </c>
      <c r="BW121" s="3">
        <f ca="1">IF(Tabla1[[#This Row],[FALLECIDO_COD]]=0,TODAY()-Tabla1[[#This Row],[FECHA_TRASPLANTE]],Tabla1[[#This Row],[FECHA DE DEFUNCIÓN]]-Tabla1[[#This Row],[FECHA_TRASPLANTE]])/30.4375</f>
        <v>101.42094455852155</v>
      </c>
      <c r="BX121" s="3">
        <f ca="1">IF(Tabla1[[#This Row],[FALLECIDO_COD]]=0,TODAY()-Tabla1[[#This Row],[FECHA_TRASPLANTE]],Tabla1[[#This Row],[FECHA DE DEFUNCIÓN]]-Tabla1[[#This Row],[FECHA_TRASPLANTE]])/365.25</f>
        <v>8.4517453798767974</v>
      </c>
      <c r="BY121"/>
      <c r="BZ121"/>
    </row>
    <row r="122" spans="1:78" hidden="1" x14ac:dyDescent="0.35">
      <c r="A122" t="s">
        <v>377</v>
      </c>
      <c r="D122" t="s">
        <v>1129</v>
      </c>
      <c r="E122" t="s">
        <v>77</v>
      </c>
      <c r="I122">
        <v>117.48524365133837</v>
      </c>
      <c r="J122" t="s">
        <v>1342</v>
      </c>
      <c r="K122" t="s">
        <v>1301</v>
      </c>
      <c r="L122" t="s">
        <v>1343</v>
      </c>
      <c r="M122" t="s">
        <v>132</v>
      </c>
      <c r="N122" s="11">
        <v>108060867</v>
      </c>
      <c r="O122" s="2">
        <v>42794</v>
      </c>
      <c r="P122" t="s">
        <v>81</v>
      </c>
      <c r="Q122" s="2">
        <v>26226</v>
      </c>
      <c r="R122" s="3">
        <f>(Tabla1[[#This Row],[FECHA_TRASPLANTE]]-Tabla1[[#This Row],[FECHA_NAC]])/365.25</f>
        <v>45.360711841204655</v>
      </c>
      <c r="T122"/>
      <c r="W122" t="s">
        <v>82</v>
      </c>
      <c r="X122" t="s">
        <v>1289</v>
      </c>
      <c r="AM122" t="s">
        <v>106</v>
      </c>
      <c r="AO122"/>
      <c r="AV122" s="2"/>
      <c r="AZ122"/>
      <c r="BT122" s="2">
        <f>Tabla1[[#This Row],[FECHA_TRASPLANTE]]</f>
        <v>42794</v>
      </c>
      <c r="BU122">
        <f>IF(Tabla1[[#This Row],[FALLECIDO SI/NO]]="NO",0,1)</f>
        <v>0</v>
      </c>
      <c r="BV122" s="3">
        <f ca="1">IF(Tabla1[[#This Row],[FALLECIDO_COD]]=0,TODAY()-Tabla1[[#This Row],[FECHA_TRASPLANTE]],Tabla1[[#This Row],[FECHA DE DEFUNCIÓN]]-Tabla1[[#This Row],[FECHA_TRASPLANTE]])</f>
        <v>3081</v>
      </c>
      <c r="BW122" s="3">
        <f ca="1">IF(Tabla1[[#This Row],[FALLECIDO_COD]]=0,TODAY()-Tabla1[[#This Row],[FECHA_TRASPLANTE]],Tabla1[[#This Row],[FECHA DE DEFUNCIÓN]]-Tabla1[[#This Row],[FECHA_TRASPLANTE]])/30.4375</f>
        <v>101.22381930184805</v>
      </c>
      <c r="BX122" s="3">
        <f ca="1">IF(Tabla1[[#This Row],[FALLECIDO_COD]]=0,TODAY()-Tabla1[[#This Row],[FECHA_TRASPLANTE]],Tabla1[[#This Row],[FECHA DE DEFUNCIÓN]]-Tabla1[[#This Row],[FECHA_TRASPLANTE]])/365.25</f>
        <v>8.4353182751540032</v>
      </c>
      <c r="BY122"/>
      <c r="BZ122"/>
    </row>
    <row r="123" spans="1:78" hidden="1" x14ac:dyDescent="0.35">
      <c r="A123" t="s">
        <v>376</v>
      </c>
      <c r="B123" t="s">
        <v>376</v>
      </c>
      <c r="D123" t="s">
        <v>1129</v>
      </c>
      <c r="E123" t="s">
        <v>77</v>
      </c>
      <c r="I123">
        <v>117.48524365133837</v>
      </c>
      <c r="K123" t="s">
        <v>1344</v>
      </c>
      <c r="L123" t="s">
        <v>1158</v>
      </c>
      <c r="M123" t="s">
        <v>820</v>
      </c>
      <c r="N123" s="11">
        <v>504450826</v>
      </c>
      <c r="O123" s="2">
        <v>42794</v>
      </c>
      <c r="P123" t="s">
        <v>90</v>
      </c>
      <c r="Q123" s="2">
        <v>37536</v>
      </c>
      <c r="R123" s="3">
        <f>(Tabla1[[#This Row],[FECHA_TRASPLANTE]]-Tabla1[[#This Row],[FECHA_NAC]])/365.25</f>
        <v>14.395619438740589</v>
      </c>
      <c r="T123"/>
      <c r="W123" t="s">
        <v>82</v>
      </c>
      <c r="AM123" t="s">
        <v>106</v>
      </c>
      <c r="AO123"/>
      <c r="AV123" s="2"/>
      <c r="AZ123"/>
      <c r="BT123" s="2">
        <f>Tabla1[[#This Row],[FECHA_TRASPLANTE]]</f>
        <v>42794</v>
      </c>
      <c r="BU123">
        <f>IF(Tabla1[[#This Row],[FALLECIDO SI/NO]]="NO",0,1)</f>
        <v>0</v>
      </c>
      <c r="BV123" s="3">
        <f ca="1">IF(Tabla1[[#This Row],[FALLECIDO_COD]]=0,TODAY()-Tabla1[[#This Row],[FECHA_TRASPLANTE]],Tabla1[[#This Row],[FECHA DE DEFUNCIÓN]]-Tabla1[[#This Row],[FECHA_TRASPLANTE]])</f>
        <v>3081</v>
      </c>
      <c r="BW123" s="3">
        <f ca="1">IF(Tabla1[[#This Row],[FALLECIDO_COD]]=0,TODAY()-Tabla1[[#This Row],[FECHA_TRASPLANTE]],Tabla1[[#This Row],[FECHA DE DEFUNCIÓN]]-Tabla1[[#This Row],[FECHA_TRASPLANTE]])/30.4375</f>
        <v>101.22381930184805</v>
      </c>
      <c r="BX123" s="3">
        <f ca="1">IF(Tabla1[[#This Row],[FALLECIDO_COD]]=0,TODAY()-Tabla1[[#This Row],[FECHA_TRASPLANTE]],Tabla1[[#This Row],[FECHA DE DEFUNCIÓN]]-Tabla1[[#This Row],[FECHA_TRASPLANTE]])/365.25</f>
        <v>8.4353182751540032</v>
      </c>
      <c r="BY123"/>
      <c r="BZ123"/>
    </row>
    <row r="124" spans="1:78" hidden="1" x14ac:dyDescent="0.35">
      <c r="A124" t="s">
        <v>75</v>
      </c>
      <c r="D124" t="s">
        <v>1129</v>
      </c>
      <c r="E124" t="s">
        <v>375</v>
      </c>
      <c r="I124">
        <v>117.48798901853122</v>
      </c>
      <c r="K124" t="s">
        <v>1345</v>
      </c>
      <c r="L124" t="s">
        <v>203</v>
      </c>
      <c r="M124" t="s">
        <v>269</v>
      </c>
      <c r="N124" s="11">
        <v>302200315</v>
      </c>
      <c r="O124" s="16">
        <v>42795</v>
      </c>
      <c r="P124" t="s">
        <v>90</v>
      </c>
      <c r="Q124" s="2">
        <v>20896</v>
      </c>
      <c r="R124" s="3">
        <f>(Tabla1[[#This Row],[FECHA_TRASPLANTE]]-Tabla1[[#This Row],[FECHA_NAC]])/365.25</f>
        <v>59.956194387405887</v>
      </c>
      <c r="T124"/>
      <c r="W124" t="s">
        <v>82</v>
      </c>
      <c r="AM124" t="s">
        <v>106</v>
      </c>
      <c r="AO124"/>
      <c r="AV124" s="2"/>
      <c r="AZ124"/>
      <c r="BJ124" s="2"/>
      <c r="BT124" s="2">
        <f>Tabla1[[#This Row],[FECHA_TRASPLANTE]]</f>
        <v>42795</v>
      </c>
      <c r="BU124">
        <f>IF(Tabla1[[#This Row],[FALLECIDO SI/NO]]="NO",0,1)</f>
        <v>0</v>
      </c>
      <c r="BV124" s="3">
        <f ca="1">IF(Tabla1[[#This Row],[FALLECIDO_COD]]=0,TODAY()-Tabla1[[#This Row],[FECHA_TRASPLANTE]],Tabla1[[#This Row],[FECHA DE DEFUNCIÓN]]-Tabla1[[#This Row],[FECHA_TRASPLANTE]])</f>
        <v>3080</v>
      </c>
      <c r="BW124" s="3">
        <f ca="1">IF(Tabla1[[#This Row],[FALLECIDO_COD]]=0,TODAY()-Tabla1[[#This Row],[FECHA_TRASPLANTE]],Tabla1[[#This Row],[FECHA DE DEFUNCIÓN]]-Tabla1[[#This Row],[FECHA_TRASPLANTE]])/30.4375</f>
        <v>101.19096509240246</v>
      </c>
      <c r="BX124" s="3">
        <f ca="1">IF(Tabla1[[#This Row],[FALLECIDO_COD]]=0,TODAY()-Tabla1[[#This Row],[FECHA_TRASPLANTE]],Tabla1[[#This Row],[FECHA DE DEFUNCIÓN]]-Tabla1[[#This Row],[FECHA_TRASPLANTE]])/365.25</f>
        <v>8.4325804243668721</v>
      </c>
      <c r="BY124"/>
      <c r="BZ124"/>
    </row>
    <row r="125" spans="1:78" hidden="1" x14ac:dyDescent="0.35">
      <c r="A125" t="s">
        <v>1125</v>
      </c>
      <c r="D125" t="s">
        <v>1129</v>
      </c>
      <c r="E125" t="s">
        <v>375</v>
      </c>
      <c r="I125">
        <v>117.16632443531827</v>
      </c>
      <c r="J125" t="s">
        <v>1346</v>
      </c>
      <c r="K125" t="s">
        <v>520</v>
      </c>
      <c r="L125" t="s">
        <v>228</v>
      </c>
      <c r="M125" t="s">
        <v>1347</v>
      </c>
      <c r="N125" s="11">
        <v>602850057</v>
      </c>
      <c r="O125" s="2">
        <v>42795</v>
      </c>
      <c r="R125" s="3">
        <f>(Tabla1[[#This Row],[FECHA_TRASPLANTE]]-Tabla1[[#This Row],[FECHA_NAC]])/365.25</f>
        <v>117.16632443531827</v>
      </c>
      <c r="T125"/>
      <c r="U125" t="s">
        <v>1348</v>
      </c>
      <c r="W125" t="s">
        <v>82</v>
      </c>
      <c r="X125" t="s">
        <v>91</v>
      </c>
      <c r="Y125" t="s">
        <v>116</v>
      </c>
      <c r="Z125" t="s">
        <v>569</v>
      </c>
      <c r="AM125" t="s">
        <v>86</v>
      </c>
      <c r="AN125" s="2">
        <v>44388</v>
      </c>
      <c r="AO125"/>
      <c r="AV125" s="2"/>
      <c r="AZ125"/>
      <c r="BT125" s="2">
        <f>Tabla1[[#This Row],[FECHA_TRASPLANTE]]</f>
        <v>42795</v>
      </c>
      <c r="BU125">
        <f>IF(Tabla1[[#This Row],[FALLECIDO SI/NO]]="NO",0,1)</f>
        <v>1</v>
      </c>
      <c r="BV125" s="3">
        <f ca="1">IF(Tabla1[[#This Row],[FALLECIDO_COD]]=0,TODAY()-Tabla1[[#This Row],[FECHA_TRASPLANTE]],Tabla1[[#This Row],[FECHA DE DEFUNCIÓN]]-Tabla1[[#This Row],[FECHA_TRASPLANTE]])</f>
        <v>1593</v>
      </c>
      <c r="BW125" s="3">
        <f ca="1">IF(Tabla1[[#This Row],[FALLECIDO_COD]]=0,TODAY()-Tabla1[[#This Row],[FECHA_TRASPLANTE]],Tabla1[[#This Row],[FECHA DE DEFUNCIÓN]]-Tabla1[[#This Row],[FECHA_TRASPLANTE]])/30.4375</f>
        <v>52.336755646817245</v>
      </c>
      <c r="BX125" s="3">
        <f ca="1">IF(Tabla1[[#This Row],[FALLECIDO_COD]]=0,TODAY()-Tabla1[[#This Row],[FECHA_TRASPLANTE]],Tabla1[[#This Row],[FECHA DE DEFUNCIÓN]]-Tabla1[[#This Row],[FECHA_TRASPLANTE]])/365.25</f>
        <v>4.3613963039014374</v>
      </c>
      <c r="BY125"/>
      <c r="BZ125"/>
    </row>
    <row r="126" spans="1:78" hidden="1" x14ac:dyDescent="0.35">
      <c r="A126" t="s">
        <v>377</v>
      </c>
      <c r="D126" t="s">
        <v>1129</v>
      </c>
      <c r="E126" t="s">
        <v>375</v>
      </c>
      <c r="I126">
        <v>117.49897048730267</v>
      </c>
      <c r="J126" t="s">
        <v>1154</v>
      </c>
      <c r="K126" t="s">
        <v>1349</v>
      </c>
      <c r="L126" t="s">
        <v>109</v>
      </c>
      <c r="M126" t="s">
        <v>99</v>
      </c>
      <c r="N126" s="11">
        <v>203390738</v>
      </c>
      <c r="O126" s="2">
        <v>42799</v>
      </c>
      <c r="P126" t="s">
        <v>81</v>
      </c>
      <c r="Q126" s="2">
        <v>21667</v>
      </c>
      <c r="R126" s="3">
        <f>(Tabla1[[#This Row],[FECHA_TRASPLANTE]]-Tabla1[[#This Row],[FECHA_NAC]])/365.25</f>
        <v>57.856262833675565</v>
      </c>
      <c r="T126"/>
      <c r="W126" t="s">
        <v>82</v>
      </c>
      <c r="X126" t="s">
        <v>115</v>
      </c>
      <c r="Y126" t="s">
        <v>84</v>
      </c>
      <c r="Z126" t="s">
        <v>1350</v>
      </c>
      <c r="AM126" t="s">
        <v>106</v>
      </c>
      <c r="AO126"/>
      <c r="AV126" s="2"/>
      <c r="AZ126"/>
      <c r="BT126" s="2">
        <f>Tabla1[[#This Row],[FECHA_TRASPLANTE]]</f>
        <v>42799</v>
      </c>
      <c r="BU126">
        <f>IF(Tabla1[[#This Row],[FALLECIDO SI/NO]]="NO",0,1)</f>
        <v>0</v>
      </c>
      <c r="BV126" s="3">
        <f ca="1">IF(Tabla1[[#This Row],[FALLECIDO_COD]]=0,TODAY()-Tabla1[[#This Row],[FECHA_TRASPLANTE]],Tabla1[[#This Row],[FECHA DE DEFUNCIÓN]]-Tabla1[[#This Row],[FECHA_TRASPLANTE]])</f>
        <v>3076</v>
      </c>
      <c r="BW126" s="3">
        <f ca="1">IF(Tabla1[[#This Row],[FALLECIDO_COD]]=0,TODAY()-Tabla1[[#This Row],[FECHA_TRASPLANTE]],Tabla1[[#This Row],[FECHA DE DEFUNCIÓN]]-Tabla1[[#This Row],[FECHA_TRASPLANTE]])/30.4375</f>
        <v>101.05954825462013</v>
      </c>
      <c r="BX126" s="3">
        <f ca="1">IF(Tabla1[[#This Row],[FALLECIDO_COD]]=0,TODAY()-Tabla1[[#This Row],[FECHA_TRASPLANTE]],Tabla1[[#This Row],[FECHA DE DEFUNCIÓN]]-Tabla1[[#This Row],[FECHA_TRASPLANTE]])/365.25</f>
        <v>8.4216290212183438</v>
      </c>
      <c r="BY126"/>
      <c r="BZ126"/>
    </row>
    <row r="127" spans="1:78" hidden="1" x14ac:dyDescent="0.35">
      <c r="A127" t="s">
        <v>75</v>
      </c>
      <c r="D127" t="s">
        <v>1129</v>
      </c>
      <c r="E127" t="s">
        <v>375</v>
      </c>
      <c r="I127">
        <v>117.50720658888126</v>
      </c>
      <c r="K127" t="s">
        <v>1351</v>
      </c>
      <c r="L127" t="s">
        <v>338</v>
      </c>
      <c r="M127" t="s">
        <v>150</v>
      </c>
      <c r="N127" s="11">
        <v>305410977</v>
      </c>
      <c r="O127" s="16">
        <v>42802</v>
      </c>
      <c r="P127" t="s">
        <v>90</v>
      </c>
      <c r="Q127" s="2">
        <v>37535</v>
      </c>
      <c r="R127" s="3">
        <f>(Tabla1[[#This Row],[FECHA_TRASPLANTE]]-Tabla1[[#This Row],[FECHA_NAC]])/365.25</f>
        <v>14.420260095824778</v>
      </c>
      <c r="T127"/>
      <c r="W127" t="s">
        <v>82</v>
      </c>
      <c r="AM127" t="s">
        <v>106</v>
      </c>
      <c r="AO127"/>
      <c r="AV127" s="2"/>
      <c r="AZ127"/>
      <c r="BJ127" s="2"/>
      <c r="BT127" s="2">
        <f>Tabla1[[#This Row],[FECHA_TRASPLANTE]]</f>
        <v>42802</v>
      </c>
      <c r="BU127">
        <f>IF(Tabla1[[#This Row],[FALLECIDO SI/NO]]="NO",0,1)</f>
        <v>0</v>
      </c>
      <c r="BV127" s="3">
        <f ca="1">IF(Tabla1[[#This Row],[FALLECIDO_COD]]=0,TODAY()-Tabla1[[#This Row],[FECHA_TRASPLANTE]],Tabla1[[#This Row],[FECHA DE DEFUNCIÓN]]-Tabla1[[#This Row],[FECHA_TRASPLANTE]])</f>
        <v>3073</v>
      </c>
      <c r="BW127" s="3">
        <f ca="1">IF(Tabla1[[#This Row],[FALLECIDO_COD]]=0,TODAY()-Tabla1[[#This Row],[FECHA_TRASPLANTE]],Tabla1[[#This Row],[FECHA DE DEFUNCIÓN]]-Tabla1[[#This Row],[FECHA_TRASPLANTE]])/30.4375</f>
        <v>100.96098562628337</v>
      </c>
      <c r="BX127" s="3">
        <f ca="1">IF(Tabla1[[#This Row],[FALLECIDO_COD]]=0,TODAY()-Tabla1[[#This Row],[FECHA_TRASPLANTE]],Tabla1[[#This Row],[FECHA DE DEFUNCIÓN]]-Tabla1[[#This Row],[FECHA_TRASPLANTE]])/365.25</f>
        <v>8.4134154688569467</v>
      </c>
      <c r="BY127"/>
      <c r="BZ127"/>
    </row>
    <row r="128" spans="1:78" hidden="1" x14ac:dyDescent="0.35">
      <c r="A128" t="s">
        <v>1125</v>
      </c>
      <c r="D128" t="s">
        <v>1129</v>
      </c>
      <c r="E128" t="s">
        <v>375</v>
      </c>
      <c r="I128">
        <v>117.20465434633813</v>
      </c>
      <c r="J128" t="s">
        <v>1346</v>
      </c>
      <c r="K128" t="s">
        <v>387</v>
      </c>
      <c r="L128" t="s">
        <v>1067</v>
      </c>
      <c r="M128" t="s">
        <v>189</v>
      </c>
      <c r="N128" s="11">
        <v>16919823</v>
      </c>
      <c r="O128" s="2">
        <v>42809</v>
      </c>
      <c r="R128" s="3">
        <f>(Tabla1[[#This Row],[FECHA_TRASPLANTE]]-Tabla1[[#This Row],[FECHA_NAC]])/365.25</f>
        <v>117.20465434633813</v>
      </c>
      <c r="T128"/>
      <c r="U128" t="s">
        <v>1348</v>
      </c>
      <c r="W128" t="s">
        <v>146</v>
      </c>
      <c r="AM128" t="s">
        <v>106</v>
      </c>
      <c r="AO128"/>
      <c r="AV128" s="2"/>
      <c r="AZ128"/>
      <c r="BT128" s="2">
        <f>Tabla1[[#This Row],[FECHA_TRASPLANTE]]</f>
        <v>42809</v>
      </c>
      <c r="BU128">
        <f>IF(Tabla1[[#This Row],[FALLECIDO SI/NO]]="NO",0,1)</f>
        <v>0</v>
      </c>
      <c r="BV128" s="3">
        <f ca="1">IF(Tabla1[[#This Row],[FALLECIDO_COD]]=0,TODAY()-Tabla1[[#This Row],[FECHA_TRASPLANTE]],Tabla1[[#This Row],[FECHA DE DEFUNCIÓN]]-Tabla1[[#This Row],[FECHA_TRASPLANTE]])</f>
        <v>3066</v>
      </c>
      <c r="BW128" s="3">
        <f ca="1">IF(Tabla1[[#This Row],[FALLECIDO_COD]]=0,TODAY()-Tabla1[[#This Row],[FECHA_TRASPLANTE]],Tabla1[[#This Row],[FECHA DE DEFUNCIÓN]]-Tabla1[[#This Row],[FECHA_TRASPLANTE]])/30.4375</f>
        <v>100.73100616016427</v>
      </c>
      <c r="BX128" s="3">
        <f ca="1">IF(Tabla1[[#This Row],[FALLECIDO_COD]]=0,TODAY()-Tabla1[[#This Row],[FECHA_TRASPLANTE]],Tabla1[[#This Row],[FECHA DE DEFUNCIÓN]]-Tabla1[[#This Row],[FECHA_TRASPLANTE]])/365.25</f>
        <v>8.3942505133470231</v>
      </c>
      <c r="BY128"/>
      <c r="BZ128"/>
    </row>
    <row r="129" spans="1:78" hidden="1" x14ac:dyDescent="0.35">
      <c r="A129" t="s">
        <v>377</v>
      </c>
      <c r="D129" t="s">
        <v>1129</v>
      </c>
      <c r="E129" t="s">
        <v>77</v>
      </c>
      <c r="I129">
        <v>117.54289636238848</v>
      </c>
      <c r="J129" t="s">
        <v>1352</v>
      </c>
      <c r="K129" t="s">
        <v>1303</v>
      </c>
      <c r="L129" t="s">
        <v>473</v>
      </c>
      <c r="M129" t="s">
        <v>642</v>
      </c>
      <c r="N129" s="11">
        <v>206170508</v>
      </c>
      <c r="O129" s="2">
        <v>42815</v>
      </c>
      <c r="P129" t="s">
        <v>81</v>
      </c>
      <c r="Q129" s="2">
        <v>31453</v>
      </c>
      <c r="R129" s="3">
        <f>(Tabla1[[#This Row],[FECHA_TRASPLANTE]]-Tabla1[[#This Row],[FECHA_NAC]])/365.25</f>
        <v>31.107460643394933</v>
      </c>
      <c r="S129" t="s">
        <v>1353</v>
      </c>
      <c r="T129"/>
      <c r="W129" t="s">
        <v>82</v>
      </c>
      <c r="X129" t="s">
        <v>822</v>
      </c>
      <c r="AM129" t="s">
        <v>106</v>
      </c>
      <c r="AO129"/>
      <c r="AV129" s="2"/>
      <c r="AZ129"/>
      <c r="BT129" s="2">
        <f>Tabla1[[#This Row],[FECHA_TRASPLANTE]]</f>
        <v>42815</v>
      </c>
      <c r="BU129">
        <f>IF(Tabla1[[#This Row],[FALLECIDO SI/NO]]="NO",0,1)</f>
        <v>0</v>
      </c>
      <c r="BV129" s="3">
        <f ca="1">IF(Tabla1[[#This Row],[FALLECIDO_COD]]=0,TODAY()-Tabla1[[#This Row],[FECHA_TRASPLANTE]],Tabla1[[#This Row],[FECHA DE DEFUNCIÓN]]-Tabla1[[#This Row],[FECHA_TRASPLANTE]])</f>
        <v>3060</v>
      </c>
      <c r="BW129" s="3">
        <f ca="1">IF(Tabla1[[#This Row],[FALLECIDO_COD]]=0,TODAY()-Tabla1[[#This Row],[FECHA_TRASPLANTE]],Tabla1[[#This Row],[FECHA DE DEFUNCIÓN]]-Tabla1[[#This Row],[FECHA_TRASPLANTE]])/30.4375</f>
        <v>100.53388090349075</v>
      </c>
      <c r="BX129" s="3">
        <f ca="1">IF(Tabla1[[#This Row],[FALLECIDO_COD]]=0,TODAY()-Tabla1[[#This Row],[FECHA_TRASPLANTE]],Tabla1[[#This Row],[FECHA DE DEFUNCIÓN]]-Tabla1[[#This Row],[FECHA_TRASPLANTE]])/365.25</f>
        <v>8.3778234086242307</v>
      </c>
      <c r="BY129"/>
      <c r="BZ129"/>
    </row>
    <row r="130" spans="1:78" hidden="1" x14ac:dyDescent="0.35">
      <c r="A130" t="s">
        <v>377</v>
      </c>
      <c r="D130" t="s">
        <v>1129</v>
      </c>
      <c r="E130" t="s">
        <v>77</v>
      </c>
      <c r="I130">
        <v>117.54289636238848</v>
      </c>
      <c r="J130" t="s">
        <v>1352</v>
      </c>
      <c r="K130" t="s">
        <v>1354</v>
      </c>
      <c r="L130" t="s">
        <v>132</v>
      </c>
      <c r="M130" t="s">
        <v>1355</v>
      </c>
      <c r="N130" s="11">
        <v>402400687</v>
      </c>
      <c r="O130" s="2">
        <v>42815</v>
      </c>
      <c r="P130" t="s">
        <v>81</v>
      </c>
      <c r="Q130" s="2">
        <v>36094</v>
      </c>
      <c r="R130" s="3">
        <f>(Tabla1[[#This Row],[FECHA_TRASPLANTE]]-Tabla1[[#This Row],[FECHA_NAC]])/365.25</f>
        <v>18.401095140314855</v>
      </c>
      <c r="S130" t="s">
        <v>1353</v>
      </c>
      <c r="T130"/>
      <c r="W130" t="s">
        <v>82</v>
      </c>
      <c r="X130" t="s">
        <v>1136</v>
      </c>
      <c r="AM130" t="s">
        <v>106</v>
      </c>
      <c r="AO130"/>
      <c r="AV130" s="2"/>
      <c r="AZ130"/>
      <c r="BT130" s="2">
        <f>Tabla1[[#This Row],[FECHA_TRASPLANTE]]</f>
        <v>42815</v>
      </c>
      <c r="BU130">
        <f>IF(Tabla1[[#This Row],[FALLECIDO SI/NO]]="NO",0,1)</f>
        <v>0</v>
      </c>
      <c r="BV130" s="3">
        <f ca="1">IF(Tabla1[[#This Row],[FALLECIDO_COD]]=0,TODAY()-Tabla1[[#This Row],[FECHA_TRASPLANTE]],Tabla1[[#This Row],[FECHA DE DEFUNCIÓN]]-Tabla1[[#This Row],[FECHA_TRASPLANTE]])</f>
        <v>3060</v>
      </c>
      <c r="BW130" s="3">
        <f ca="1">IF(Tabla1[[#This Row],[FALLECIDO_COD]]=0,TODAY()-Tabla1[[#This Row],[FECHA_TRASPLANTE]],Tabla1[[#This Row],[FECHA DE DEFUNCIÓN]]-Tabla1[[#This Row],[FECHA_TRASPLANTE]])/30.4375</f>
        <v>100.53388090349075</v>
      </c>
      <c r="BX130" s="3">
        <f ca="1">IF(Tabla1[[#This Row],[FALLECIDO_COD]]=0,TODAY()-Tabla1[[#This Row],[FECHA_TRASPLANTE]],Tabla1[[#This Row],[FECHA DE DEFUNCIÓN]]-Tabla1[[#This Row],[FECHA_TRASPLANTE]])/365.25</f>
        <v>8.3778234086242307</v>
      </c>
      <c r="BY130"/>
      <c r="BZ130"/>
    </row>
    <row r="131" spans="1:78" hidden="1" x14ac:dyDescent="0.35">
      <c r="A131" t="s">
        <v>377</v>
      </c>
      <c r="D131" t="s">
        <v>1129</v>
      </c>
      <c r="E131" t="s">
        <v>375</v>
      </c>
      <c r="I131">
        <v>117.54564172958133</v>
      </c>
      <c r="J131" t="s">
        <v>1152</v>
      </c>
      <c r="K131" t="s">
        <v>1356</v>
      </c>
      <c r="L131" t="s">
        <v>1357</v>
      </c>
      <c r="M131" t="s">
        <v>114</v>
      </c>
      <c r="N131" s="11">
        <v>602280642</v>
      </c>
      <c r="O131" s="2">
        <v>42816</v>
      </c>
      <c r="P131" t="s">
        <v>81</v>
      </c>
      <c r="Q131" s="2">
        <v>25561</v>
      </c>
      <c r="R131" s="3">
        <f>(Tabla1[[#This Row],[FECHA_TRASPLANTE]]-Tabla1[[#This Row],[FECHA_NAC]])/365.25</f>
        <v>47.241615331964411</v>
      </c>
      <c r="T131"/>
      <c r="W131" t="s">
        <v>82</v>
      </c>
      <c r="X131" t="s">
        <v>83</v>
      </c>
      <c r="Y131" t="s">
        <v>84</v>
      </c>
      <c r="Z131" t="s">
        <v>85</v>
      </c>
      <c r="AM131" t="s">
        <v>106</v>
      </c>
      <c r="AO131"/>
      <c r="AV131" s="2"/>
      <c r="AZ131"/>
      <c r="BT131" s="2">
        <f>Tabla1[[#This Row],[FECHA_TRASPLANTE]]</f>
        <v>42816</v>
      </c>
      <c r="BU131">
        <f>IF(Tabla1[[#This Row],[FALLECIDO SI/NO]]="NO",0,1)</f>
        <v>0</v>
      </c>
      <c r="BV131" s="3">
        <f ca="1">IF(Tabla1[[#This Row],[FALLECIDO_COD]]=0,TODAY()-Tabla1[[#This Row],[FECHA_TRASPLANTE]],Tabla1[[#This Row],[FECHA DE DEFUNCIÓN]]-Tabla1[[#This Row],[FECHA_TRASPLANTE]])</f>
        <v>3059</v>
      </c>
      <c r="BW131" s="3">
        <f ca="1">IF(Tabla1[[#This Row],[FALLECIDO_COD]]=0,TODAY()-Tabla1[[#This Row],[FECHA_TRASPLANTE]],Tabla1[[#This Row],[FECHA DE DEFUNCIÓN]]-Tabla1[[#This Row],[FECHA_TRASPLANTE]])/30.4375</f>
        <v>100.50102669404518</v>
      </c>
      <c r="BX131" s="3">
        <f ca="1">IF(Tabla1[[#This Row],[FALLECIDO_COD]]=0,TODAY()-Tabla1[[#This Row],[FECHA_TRASPLANTE]],Tabla1[[#This Row],[FECHA DE DEFUNCIÓN]]-Tabla1[[#This Row],[FECHA_TRASPLANTE]])/365.25</f>
        <v>8.3750855578370977</v>
      </c>
      <c r="BY131"/>
      <c r="BZ131"/>
    </row>
    <row r="132" spans="1:78" hidden="1" x14ac:dyDescent="0.35">
      <c r="A132" t="s">
        <v>377</v>
      </c>
      <c r="D132" t="s">
        <v>1129</v>
      </c>
      <c r="E132" t="s">
        <v>375</v>
      </c>
      <c r="I132">
        <v>117.56485929993137</v>
      </c>
      <c r="J132" t="s">
        <v>1152</v>
      </c>
      <c r="K132" t="s">
        <v>1358</v>
      </c>
      <c r="L132" t="s">
        <v>94</v>
      </c>
      <c r="M132" t="s">
        <v>482</v>
      </c>
      <c r="N132" s="11">
        <v>204960566</v>
      </c>
      <c r="O132" s="2">
        <v>42823</v>
      </c>
      <c r="P132" t="s">
        <v>90</v>
      </c>
      <c r="Q132" s="2">
        <v>27286</v>
      </c>
      <c r="R132" s="3">
        <f>(Tabla1[[#This Row],[FECHA_TRASPLANTE]]-Tabla1[[#This Row],[FECHA_NAC]])/365.25</f>
        <v>42.53798767967146</v>
      </c>
      <c r="T132"/>
      <c r="W132" t="s">
        <v>82</v>
      </c>
      <c r="X132" t="s">
        <v>115</v>
      </c>
      <c r="Y132" t="s">
        <v>365</v>
      </c>
      <c r="Z132" t="s">
        <v>1359</v>
      </c>
      <c r="AM132" t="s">
        <v>106</v>
      </c>
      <c r="AO132"/>
      <c r="AV132" s="2"/>
      <c r="AZ132"/>
      <c r="BT132" s="2">
        <f>Tabla1[[#This Row],[FECHA_TRASPLANTE]]</f>
        <v>42823</v>
      </c>
      <c r="BU132">
        <f>IF(Tabla1[[#This Row],[FALLECIDO SI/NO]]="NO",0,1)</f>
        <v>0</v>
      </c>
      <c r="BV132" s="3">
        <f ca="1">IF(Tabla1[[#This Row],[FALLECIDO_COD]]=0,TODAY()-Tabla1[[#This Row],[FECHA_TRASPLANTE]],Tabla1[[#This Row],[FECHA DE DEFUNCIÓN]]-Tabla1[[#This Row],[FECHA_TRASPLANTE]])</f>
        <v>3052</v>
      </c>
      <c r="BW132" s="3">
        <f ca="1">IF(Tabla1[[#This Row],[FALLECIDO_COD]]=0,TODAY()-Tabla1[[#This Row],[FECHA_TRASPLANTE]],Tabla1[[#This Row],[FECHA DE DEFUNCIÓN]]-Tabla1[[#This Row],[FECHA_TRASPLANTE]])/30.4375</f>
        <v>100.27104722792608</v>
      </c>
      <c r="BX132" s="3">
        <f ca="1">IF(Tabla1[[#This Row],[FALLECIDO_COD]]=0,TODAY()-Tabla1[[#This Row],[FECHA_TRASPLANTE]],Tabla1[[#This Row],[FECHA DE DEFUNCIÓN]]-Tabla1[[#This Row],[FECHA_TRASPLANTE]])/365.25</f>
        <v>8.3559206023271724</v>
      </c>
      <c r="BY132"/>
      <c r="BZ132"/>
    </row>
    <row r="133" spans="1:78" hidden="1" x14ac:dyDescent="0.35">
      <c r="A133" t="s">
        <v>377</v>
      </c>
      <c r="D133" t="s">
        <v>1129</v>
      </c>
      <c r="E133" t="s">
        <v>375</v>
      </c>
      <c r="I133">
        <v>117.62251201098147</v>
      </c>
      <c r="J133" t="s">
        <v>1360</v>
      </c>
      <c r="K133" t="s">
        <v>792</v>
      </c>
      <c r="L133" t="s">
        <v>1361</v>
      </c>
      <c r="M133" t="s">
        <v>280</v>
      </c>
      <c r="N133" s="11">
        <v>117440700</v>
      </c>
      <c r="O133" s="2">
        <v>42844</v>
      </c>
      <c r="P133" t="s">
        <v>81</v>
      </c>
      <c r="Q133" s="2">
        <v>36317</v>
      </c>
      <c r="R133" s="3">
        <f>(Tabla1[[#This Row],[FECHA_TRASPLANTE]]-Tabla1[[#This Row],[FECHA_NAC]])/365.25</f>
        <v>17.869952087611225</v>
      </c>
      <c r="T133"/>
      <c r="W133" t="s">
        <v>82</v>
      </c>
      <c r="X133" t="s">
        <v>1145</v>
      </c>
      <c r="AM133" t="s">
        <v>106</v>
      </c>
      <c r="AO133"/>
      <c r="AV133" s="2"/>
      <c r="AZ133"/>
      <c r="BT133" s="2">
        <f>Tabla1[[#This Row],[FECHA_TRASPLANTE]]</f>
        <v>42844</v>
      </c>
      <c r="BU133">
        <f>IF(Tabla1[[#This Row],[FALLECIDO SI/NO]]="NO",0,1)</f>
        <v>0</v>
      </c>
      <c r="BV133" s="3">
        <f ca="1">IF(Tabla1[[#This Row],[FALLECIDO_COD]]=0,TODAY()-Tabla1[[#This Row],[FECHA_TRASPLANTE]],Tabla1[[#This Row],[FECHA DE DEFUNCIÓN]]-Tabla1[[#This Row],[FECHA_TRASPLANTE]])</f>
        <v>3031</v>
      </c>
      <c r="BW133" s="3">
        <f ca="1">IF(Tabla1[[#This Row],[FALLECIDO_COD]]=0,TODAY()-Tabla1[[#This Row],[FECHA_TRASPLANTE]],Tabla1[[#This Row],[FECHA DE DEFUNCIÓN]]-Tabla1[[#This Row],[FECHA_TRASPLANTE]])/30.4375</f>
        <v>99.581108829568791</v>
      </c>
      <c r="BX133" s="3">
        <f ca="1">IF(Tabla1[[#This Row],[FALLECIDO_COD]]=0,TODAY()-Tabla1[[#This Row],[FECHA_TRASPLANTE]],Tabla1[[#This Row],[FECHA DE DEFUNCIÓN]]-Tabla1[[#This Row],[FECHA_TRASPLANTE]])/365.25</f>
        <v>8.2984257357973998</v>
      </c>
      <c r="BY133"/>
      <c r="BZ133"/>
    </row>
    <row r="134" spans="1:78" hidden="1" x14ac:dyDescent="0.35">
      <c r="A134" t="s">
        <v>377</v>
      </c>
      <c r="D134" t="s">
        <v>1129</v>
      </c>
      <c r="E134" t="s">
        <v>375</v>
      </c>
      <c r="I134">
        <v>117.6417295813315</v>
      </c>
      <c r="J134" t="s">
        <v>1180</v>
      </c>
      <c r="K134" t="s">
        <v>1362</v>
      </c>
      <c r="L134" t="s">
        <v>526</v>
      </c>
      <c r="M134" t="s">
        <v>496</v>
      </c>
      <c r="N134" s="11">
        <v>105380612</v>
      </c>
      <c r="O134" s="2">
        <v>42851</v>
      </c>
      <c r="P134" t="s">
        <v>81</v>
      </c>
      <c r="Q134" s="2">
        <v>22151</v>
      </c>
      <c r="R134" s="3">
        <f>(Tabla1[[#This Row],[FECHA_TRASPLANTE]]-Tabla1[[#This Row],[FECHA_NAC]])/365.25</f>
        <v>56.673511293634498</v>
      </c>
      <c r="T134"/>
      <c r="W134" t="s">
        <v>82</v>
      </c>
      <c r="X134" t="s">
        <v>91</v>
      </c>
      <c r="Y134" t="s">
        <v>553</v>
      </c>
      <c r="Z134" t="s">
        <v>553</v>
      </c>
      <c r="AM134" t="s">
        <v>106</v>
      </c>
      <c r="AO134"/>
      <c r="AV134" s="2"/>
      <c r="AZ134"/>
      <c r="BT134" s="2">
        <f>Tabla1[[#This Row],[FECHA_TRASPLANTE]]</f>
        <v>42851</v>
      </c>
      <c r="BU134">
        <f>IF(Tabla1[[#This Row],[FALLECIDO SI/NO]]="NO",0,1)</f>
        <v>0</v>
      </c>
      <c r="BV134" s="3">
        <f ca="1">IF(Tabla1[[#This Row],[FALLECIDO_COD]]=0,TODAY()-Tabla1[[#This Row],[FECHA_TRASPLANTE]],Tabla1[[#This Row],[FECHA DE DEFUNCIÓN]]-Tabla1[[#This Row],[FECHA_TRASPLANTE]])</f>
        <v>3024</v>
      </c>
      <c r="BW134" s="3">
        <f ca="1">IF(Tabla1[[#This Row],[FALLECIDO_COD]]=0,TODAY()-Tabla1[[#This Row],[FECHA_TRASPLANTE]],Tabla1[[#This Row],[FECHA DE DEFUNCIÓN]]-Tabla1[[#This Row],[FECHA_TRASPLANTE]])/30.4375</f>
        <v>99.351129363449687</v>
      </c>
      <c r="BX134" s="3">
        <f ca="1">IF(Tabla1[[#This Row],[FALLECIDO_COD]]=0,TODAY()-Tabla1[[#This Row],[FECHA_TRASPLANTE]],Tabla1[[#This Row],[FECHA DE DEFUNCIÓN]]-Tabla1[[#This Row],[FECHA_TRASPLANTE]])/365.25</f>
        <v>8.2792607802874745</v>
      </c>
      <c r="BY134"/>
      <c r="BZ134"/>
    </row>
    <row r="135" spans="1:78" hidden="1" x14ac:dyDescent="0.35">
      <c r="A135" t="s">
        <v>75</v>
      </c>
      <c r="D135" t="s">
        <v>1129</v>
      </c>
      <c r="E135" t="s">
        <v>77</v>
      </c>
      <c r="I135">
        <v>117.6636925188744</v>
      </c>
      <c r="K135" t="s">
        <v>608</v>
      </c>
      <c r="L135" t="s">
        <v>1363</v>
      </c>
      <c r="M135" t="s">
        <v>1364</v>
      </c>
      <c r="N135" s="11">
        <v>105340207</v>
      </c>
      <c r="O135" s="16">
        <v>42859</v>
      </c>
      <c r="P135" t="s">
        <v>81</v>
      </c>
      <c r="Q135" s="2">
        <v>20698</v>
      </c>
      <c r="R135" s="3">
        <f>(Tabla1[[#This Row],[FECHA_TRASPLANTE]]-Tabla1[[#This Row],[FECHA_NAC]])/365.25</f>
        <v>60.673511293634498</v>
      </c>
      <c r="T135"/>
      <c r="W135" t="s">
        <v>82</v>
      </c>
      <c r="X135" t="s">
        <v>91</v>
      </c>
      <c r="Y135" t="s">
        <v>161</v>
      </c>
      <c r="Z135" t="s">
        <v>244</v>
      </c>
      <c r="AM135" t="s">
        <v>86</v>
      </c>
      <c r="AN135" s="2">
        <v>42883</v>
      </c>
      <c r="AO135"/>
      <c r="AV135" s="2"/>
      <c r="AZ135"/>
      <c r="BJ135" s="2"/>
      <c r="BT135" s="2">
        <f>Tabla1[[#This Row],[FECHA_TRASPLANTE]]</f>
        <v>42859</v>
      </c>
      <c r="BU135">
        <f>IF(Tabla1[[#This Row],[FALLECIDO SI/NO]]="NO",0,1)</f>
        <v>1</v>
      </c>
      <c r="BV135" s="3">
        <f ca="1">IF(Tabla1[[#This Row],[FALLECIDO_COD]]=0,TODAY()-Tabla1[[#This Row],[FECHA_TRASPLANTE]],Tabla1[[#This Row],[FECHA DE DEFUNCIÓN]]-Tabla1[[#This Row],[FECHA_TRASPLANTE]])</f>
        <v>24</v>
      </c>
      <c r="BW135" s="3">
        <f ca="1">IF(Tabla1[[#This Row],[FALLECIDO_COD]]=0,TODAY()-Tabla1[[#This Row],[FECHA_TRASPLANTE]],Tabla1[[#This Row],[FECHA DE DEFUNCIÓN]]-Tabla1[[#This Row],[FECHA_TRASPLANTE]])/30.4375</f>
        <v>0.7885010266940452</v>
      </c>
      <c r="BX135" s="3">
        <f ca="1">IF(Tabla1[[#This Row],[FALLECIDO_COD]]=0,TODAY()-Tabla1[[#This Row],[FECHA_TRASPLANTE]],Tabla1[[#This Row],[FECHA DE DEFUNCIÓN]]-Tabla1[[#This Row],[FECHA_TRASPLANTE]])/365.25</f>
        <v>6.5708418891170434E-2</v>
      </c>
      <c r="BY135"/>
      <c r="BZ135"/>
    </row>
    <row r="136" spans="1:78" hidden="1" x14ac:dyDescent="0.35">
      <c r="A136" t="s">
        <v>75</v>
      </c>
      <c r="D136" t="s">
        <v>1129</v>
      </c>
      <c r="E136" t="s">
        <v>77</v>
      </c>
      <c r="I136">
        <v>117.6636925188744</v>
      </c>
      <c r="K136" t="s">
        <v>328</v>
      </c>
      <c r="L136" t="s">
        <v>203</v>
      </c>
      <c r="M136" t="s">
        <v>224</v>
      </c>
      <c r="N136" s="11">
        <v>112810594</v>
      </c>
      <c r="O136" s="16">
        <v>42859</v>
      </c>
      <c r="P136" t="s">
        <v>90</v>
      </c>
      <c r="Q136" s="2">
        <v>31573</v>
      </c>
      <c r="R136" s="3">
        <f>(Tabla1[[#This Row],[FECHA_TRASPLANTE]]-Tabla1[[#This Row],[FECHA_NAC]])/365.25</f>
        <v>30.899383983572896</v>
      </c>
      <c r="T136"/>
      <c r="W136" t="s">
        <v>82</v>
      </c>
      <c r="X136" t="s">
        <v>91</v>
      </c>
      <c r="Y136" t="s">
        <v>157</v>
      </c>
      <c r="Z136" t="s">
        <v>158</v>
      </c>
      <c r="AM136" t="s">
        <v>106</v>
      </c>
      <c r="AO136"/>
      <c r="AV136" s="2"/>
      <c r="AZ136"/>
      <c r="BJ136" s="2"/>
      <c r="BT136" s="2">
        <f>Tabla1[[#This Row],[FECHA_TRASPLANTE]]</f>
        <v>42859</v>
      </c>
      <c r="BU136">
        <f>IF(Tabla1[[#This Row],[FALLECIDO SI/NO]]="NO",0,1)</f>
        <v>0</v>
      </c>
      <c r="BV136" s="3">
        <f ca="1">IF(Tabla1[[#This Row],[FALLECIDO_COD]]=0,TODAY()-Tabla1[[#This Row],[FECHA_TRASPLANTE]],Tabla1[[#This Row],[FECHA DE DEFUNCIÓN]]-Tabla1[[#This Row],[FECHA_TRASPLANTE]])</f>
        <v>3016</v>
      </c>
      <c r="BW136" s="3">
        <f ca="1">IF(Tabla1[[#This Row],[FALLECIDO_COD]]=0,TODAY()-Tabla1[[#This Row],[FECHA_TRASPLANTE]],Tabla1[[#This Row],[FECHA DE DEFUNCIÓN]]-Tabla1[[#This Row],[FECHA_TRASPLANTE]])/30.4375</f>
        <v>99.088295687885008</v>
      </c>
      <c r="BX136" s="3">
        <f ca="1">IF(Tabla1[[#This Row],[FALLECIDO_COD]]=0,TODAY()-Tabla1[[#This Row],[FECHA_TRASPLANTE]],Tabla1[[#This Row],[FECHA DE DEFUNCIÓN]]-Tabla1[[#This Row],[FECHA_TRASPLANTE]])/365.25</f>
        <v>8.2573579739904179</v>
      </c>
      <c r="BY136"/>
      <c r="BZ136"/>
    </row>
    <row r="137" spans="1:78" hidden="1" x14ac:dyDescent="0.35">
      <c r="A137" t="s">
        <v>75</v>
      </c>
      <c r="D137" t="s">
        <v>1129</v>
      </c>
      <c r="E137" t="s">
        <v>77</v>
      </c>
      <c r="I137">
        <v>117.67192862045299</v>
      </c>
      <c r="K137" t="s">
        <v>1365</v>
      </c>
      <c r="L137" t="s">
        <v>482</v>
      </c>
      <c r="M137" t="s">
        <v>913</v>
      </c>
      <c r="N137" s="11">
        <v>112740024</v>
      </c>
      <c r="O137" s="16">
        <v>42862</v>
      </c>
      <c r="P137" t="s">
        <v>90</v>
      </c>
      <c r="Q137" s="2">
        <v>31481</v>
      </c>
      <c r="R137" s="3">
        <f>(Tabla1[[#This Row],[FECHA_TRASPLANTE]]-Tabla1[[#This Row],[FECHA_NAC]])/365.25</f>
        <v>31.159479808350444</v>
      </c>
      <c r="T137"/>
      <c r="W137" t="s">
        <v>82</v>
      </c>
      <c r="AM137" t="s">
        <v>86</v>
      </c>
      <c r="AN137" s="2">
        <v>45246</v>
      </c>
      <c r="AO137"/>
      <c r="AV137" s="2"/>
      <c r="AZ137"/>
      <c r="BJ137" s="2"/>
      <c r="BT137" s="2">
        <f>Tabla1[[#This Row],[FECHA_TRASPLANTE]]</f>
        <v>42862</v>
      </c>
      <c r="BU137">
        <f>IF(Tabla1[[#This Row],[FALLECIDO SI/NO]]="NO",0,1)</f>
        <v>1</v>
      </c>
      <c r="BV137" s="3">
        <f ca="1">IF(Tabla1[[#This Row],[FALLECIDO_COD]]=0,TODAY()-Tabla1[[#This Row],[FECHA_TRASPLANTE]],Tabla1[[#This Row],[FECHA DE DEFUNCIÓN]]-Tabla1[[#This Row],[FECHA_TRASPLANTE]])</f>
        <v>2384</v>
      </c>
      <c r="BW137" s="3">
        <f ca="1">IF(Tabla1[[#This Row],[FALLECIDO_COD]]=0,TODAY()-Tabla1[[#This Row],[FECHA_TRASPLANTE]],Tabla1[[#This Row],[FECHA DE DEFUNCIÓN]]-Tabla1[[#This Row],[FECHA_TRASPLANTE]])/30.4375</f>
        <v>78.32443531827515</v>
      </c>
      <c r="BX137" s="3">
        <f ca="1">IF(Tabla1[[#This Row],[FALLECIDO_COD]]=0,TODAY()-Tabla1[[#This Row],[FECHA_TRASPLANTE]],Tabla1[[#This Row],[FECHA DE DEFUNCIÓN]]-Tabla1[[#This Row],[FECHA_TRASPLANTE]])/365.25</f>
        <v>6.5270362765229297</v>
      </c>
      <c r="BY137"/>
      <c r="BZ137"/>
    </row>
    <row r="138" spans="1:78" hidden="1" x14ac:dyDescent="0.35">
      <c r="A138" t="s">
        <v>75</v>
      </c>
      <c r="D138" t="s">
        <v>1129</v>
      </c>
      <c r="E138" t="s">
        <v>77</v>
      </c>
      <c r="I138">
        <v>117.67192862045299</v>
      </c>
      <c r="K138" t="s">
        <v>1366</v>
      </c>
      <c r="L138" t="s">
        <v>132</v>
      </c>
      <c r="M138" t="s">
        <v>189</v>
      </c>
      <c r="N138" s="11">
        <v>2860100019</v>
      </c>
      <c r="O138" s="16">
        <v>42862</v>
      </c>
      <c r="P138" t="s">
        <v>90</v>
      </c>
      <c r="Q138" s="2">
        <v>31727</v>
      </c>
      <c r="R138" s="3">
        <f>(Tabla1[[#This Row],[FECHA_TRASPLANTE]]-Tabla1[[#This Row],[FECHA_NAC]])/365.25</f>
        <v>30.48596851471595</v>
      </c>
      <c r="T138"/>
      <c r="W138" t="s">
        <v>146</v>
      </c>
      <c r="AM138" t="s">
        <v>106</v>
      </c>
      <c r="AO138"/>
      <c r="AV138" s="2"/>
      <c r="AZ138"/>
      <c r="BJ138" s="2"/>
      <c r="BT138" s="2">
        <f>Tabla1[[#This Row],[FECHA_TRASPLANTE]]</f>
        <v>42862</v>
      </c>
      <c r="BU138">
        <f>IF(Tabla1[[#This Row],[FALLECIDO SI/NO]]="NO",0,1)</f>
        <v>0</v>
      </c>
      <c r="BV138" s="3">
        <f ca="1">IF(Tabla1[[#This Row],[FALLECIDO_COD]]=0,TODAY()-Tabla1[[#This Row],[FECHA_TRASPLANTE]],Tabla1[[#This Row],[FECHA DE DEFUNCIÓN]]-Tabla1[[#This Row],[FECHA_TRASPLANTE]])</f>
        <v>3013</v>
      </c>
      <c r="BW138" s="3">
        <f ca="1">IF(Tabla1[[#This Row],[FALLECIDO_COD]]=0,TODAY()-Tabla1[[#This Row],[FECHA_TRASPLANTE]],Tabla1[[#This Row],[FECHA DE DEFUNCIÓN]]-Tabla1[[#This Row],[FECHA_TRASPLANTE]])/30.4375</f>
        <v>98.989733059548257</v>
      </c>
      <c r="BX138" s="3">
        <f ca="1">IF(Tabla1[[#This Row],[FALLECIDO_COD]]=0,TODAY()-Tabla1[[#This Row],[FECHA_TRASPLANTE]],Tabla1[[#This Row],[FECHA DE DEFUNCIÓN]]-Tabla1[[#This Row],[FECHA_TRASPLANTE]])/365.25</f>
        <v>8.2491444216290208</v>
      </c>
      <c r="BY138"/>
      <c r="BZ138"/>
    </row>
    <row r="139" spans="1:78" hidden="1" x14ac:dyDescent="0.35">
      <c r="A139" t="s">
        <v>1125</v>
      </c>
      <c r="D139" t="s">
        <v>1129</v>
      </c>
      <c r="E139" t="s">
        <v>375</v>
      </c>
      <c r="I139">
        <v>117.35797399041752</v>
      </c>
      <c r="J139" t="s">
        <v>1346</v>
      </c>
      <c r="K139" t="s">
        <v>1367</v>
      </c>
      <c r="L139" t="s">
        <v>1368</v>
      </c>
      <c r="M139" t="s">
        <v>140</v>
      </c>
      <c r="N139" s="11">
        <v>602410254</v>
      </c>
      <c r="O139" s="2">
        <v>42865</v>
      </c>
      <c r="R139" s="3">
        <f>(Tabla1[[#This Row],[FECHA_TRASPLANTE]]-Tabla1[[#This Row],[FECHA_NAC]])/365.25</f>
        <v>117.35797399041752</v>
      </c>
      <c r="T139"/>
      <c r="U139" t="s">
        <v>1348</v>
      </c>
      <c r="W139" t="s">
        <v>82</v>
      </c>
      <c r="AM139" t="s">
        <v>86</v>
      </c>
      <c r="AN139" s="2">
        <v>44014</v>
      </c>
      <c r="AO139"/>
      <c r="AV139" s="2"/>
      <c r="AZ139"/>
      <c r="BT139" s="2">
        <f>Tabla1[[#This Row],[FECHA_TRASPLANTE]]</f>
        <v>42865</v>
      </c>
      <c r="BU139">
        <f>IF(Tabla1[[#This Row],[FALLECIDO SI/NO]]="NO",0,1)</f>
        <v>1</v>
      </c>
      <c r="BV139" s="3">
        <f ca="1">IF(Tabla1[[#This Row],[FALLECIDO_COD]]=0,TODAY()-Tabla1[[#This Row],[FECHA_TRASPLANTE]],Tabla1[[#This Row],[FECHA DE DEFUNCIÓN]]-Tabla1[[#This Row],[FECHA_TRASPLANTE]])</f>
        <v>1149</v>
      </c>
      <c r="BW139" s="3">
        <f ca="1">IF(Tabla1[[#This Row],[FALLECIDO_COD]]=0,TODAY()-Tabla1[[#This Row],[FECHA_TRASPLANTE]],Tabla1[[#This Row],[FECHA DE DEFUNCIÓN]]-Tabla1[[#This Row],[FECHA_TRASPLANTE]])/30.4375</f>
        <v>37.74948665297741</v>
      </c>
      <c r="BX139" s="3">
        <f ca="1">IF(Tabla1[[#This Row],[FALLECIDO_COD]]=0,TODAY()-Tabla1[[#This Row],[FECHA_TRASPLANTE]],Tabla1[[#This Row],[FECHA DE DEFUNCIÓN]]-Tabla1[[#This Row],[FECHA_TRASPLANTE]])/365.25</f>
        <v>3.1457905544147846</v>
      </c>
      <c r="BY139"/>
      <c r="BZ139"/>
    </row>
    <row r="140" spans="1:78" hidden="1" x14ac:dyDescent="0.35">
      <c r="A140" t="s">
        <v>377</v>
      </c>
      <c r="D140" t="s">
        <v>1129</v>
      </c>
      <c r="E140" t="s">
        <v>375</v>
      </c>
      <c r="I140">
        <v>117.71859986273164</v>
      </c>
      <c r="J140" t="s">
        <v>1174</v>
      </c>
      <c r="K140" t="s">
        <v>1369</v>
      </c>
      <c r="L140" t="s">
        <v>203</v>
      </c>
      <c r="M140" t="s">
        <v>108</v>
      </c>
      <c r="N140" s="11">
        <v>204950322</v>
      </c>
      <c r="O140" s="2">
        <v>42879</v>
      </c>
      <c r="P140" t="s">
        <v>81</v>
      </c>
      <c r="Q140" s="2">
        <v>27222</v>
      </c>
      <c r="R140" s="3">
        <f>(Tabla1[[#This Row],[FECHA_TRASPLANTE]]-Tabla1[[#This Row],[FECHA_NAC]])/365.25</f>
        <v>42.866529774127308</v>
      </c>
      <c r="T140"/>
      <c r="W140" t="s">
        <v>82</v>
      </c>
      <c r="X140" t="s">
        <v>115</v>
      </c>
      <c r="Y140" t="s">
        <v>426</v>
      </c>
      <c r="Z140" t="s">
        <v>1370</v>
      </c>
      <c r="AM140" t="s">
        <v>106</v>
      </c>
      <c r="AO140"/>
      <c r="AV140" s="2"/>
      <c r="AZ140"/>
      <c r="BT140" s="2">
        <f>Tabla1[[#This Row],[FECHA_TRASPLANTE]]</f>
        <v>42879</v>
      </c>
      <c r="BU140">
        <f>IF(Tabla1[[#This Row],[FALLECIDO SI/NO]]="NO",0,1)</f>
        <v>0</v>
      </c>
      <c r="BV140" s="3">
        <f ca="1">IF(Tabla1[[#This Row],[FALLECIDO_COD]]=0,TODAY()-Tabla1[[#This Row],[FECHA_TRASPLANTE]],Tabla1[[#This Row],[FECHA DE DEFUNCIÓN]]-Tabla1[[#This Row],[FECHA_TRASPLANTE]])</f>
        <v>2996</v>
      </c>
      <c r="BW140" s="3">
        <f ca="1">IF(Tabla1[[#This Row],[FALLECIDO_COD]]=0,TODAY()-Tabla1[[#This Row],[FECHA_TRASPLANTE]],Tabla1[[#This Row],[FECHA DE DEFUNCIÓN]]-Tabla1[[#This Row],[FECHA_TRASPLANTE]])/30.4375</f>
        <v>98.431211498973312</v>
      </c>
      <c r="BX140" s="3">
        <f ca="1">IF(Tabla1[[#This Row],[FALLECIDO_COD]]=0,TODAY()-Tabla1[[#This Row],[FECHA_TRASPLANTE]],Tabla1[[#This Row],[FECHA DE DEFUNCIÓN]]-Tabla1[[#This Row],[FECHA_TRASPLANTE]])/365.25</f>
        <v>8.2026009582477748</v>
      </c>
      <c r="BY140"/>
      <c r="BZ140"/>
    </row>
    <row r="141" spans="1:78" hidden="1" x14ac:dyDescent="0.35">
      <c r="A141" t="s">
        <v>1125</v>
      </c>
      <c r="D141" t="s">
        <v>1129</v>
      </c>
      <c r="E141" t="s">
        <v>375</v>
      </c>
      <c r="I141">
        <v>117.39630390143738</v>
      </c>
      <c r="J141" t="s">
        <v>1346</v>
      </c>
      <c r="K141" t="s">
        <v>1371</v>
      </c>
      <c r="L141" t="s">
        <v>1372</v>
      </c>
      <c r="M141" t="s">
        <v>1233</v>
      </c>
      <c r="N141" s="11">
        <v>602170699</v>
      </c>
      <c r="O141" s="2">
        <v>42879</v>
      </c>
      <c r="R141" s="3">
        <f>(Tabla1[[#This Row],[FECHA_TRASPLANTE]]-Tabla1[[#This Row],[FECHA_NAC]])/365.25</f>
        <v>117.39630390143738</v>
      </c>
      <c r="T141"/>
      <c r="U141" t="s">
        <v>1348</v>
      </c>
      <c r="W141" t="s">
        <v>82</v>
      </c>
      <c r="AM141" t="s">
        <v>106</v>
      </c>
      <c r="AO141"/>
      <c r="AV141" s="2"/>
      <c r="AZ141"/>
      <c r="BT141" s="2">
        <f>Tabla1[[#This Row],[FECHA_TRASPLANTE]]</f>
        <v>42879</v>
      </c>
      <c r="BU141">
        <f>IF(Tabla1[[#This Row],[FALLECIDO SI/NO]]="NO",0,1)</f>
        <v>0</v>
      </c>
      <c r="BV141" s="3">
        <f ca="1">IF(Tabla1[[#This Row],[FALLECIDO_COD]]=0,TODAY()-Tabla1[[#This Row],[FECHA_TRASPLANTE]],Tabla1[[#This Row],[FECHA DE DEFUNCIÓN]]-Tabla1[[#This Row],[FECHA_TRASPLANTE]])</f>
        <v>2996</v>
      </c>
      <c r="BW141" s="3">
        <f ca="1">IF(Tabla1[[#This Row],[FALLECIDO_COD]]=0,TODAY()-Tabla1[[#This Row],[FECHA_TRASPLANTE]],Tabla1[[#This Row],[FECHA DE DEFUNCIÓN]]-Tabla1[[#This Row],[FECHA_TRASPLANTE]])/30.4375</f>
        <v>98.431211498973312</v>
      </c>
      <c r="BX141" s="3">
        <f ca="1">IF(Tabla1[[#This Row],[FALLECIDO_COD]]=0,TODAY()-Tabla1[[#This Row],[FECHA_TRASPLANTE]],Tabla1[[#This Row],[FECHA DE DEFUNCIÓN]]-Tabla1[[#This Row],[FECHA_TRASPLANTE]])/365.25</f>
        <v>8.2026009582477748</v>
      </c>
      <c r="BY141"/>
      <c r="BZ141"/>
    </row>
    <row r="142" spans="1:78" hidden="1" x14ac:dyDescent="0.35">
      <c r="A142" t="s">
        <v>377</v>
      </c>
      <c r="D142" t="s">
        <v>1129</v>
      </c>
      <c r="E142" t="s">
        <v>77</v>
      </c>
      <c r="I142">
        <v>117.72134522992451</v>
      </c>
      <c r="K142" t="s">
        <v>1373</v>
      </c>
      <c r="L142" t="s">
        <v>94</v>
      </c>
      <c r="M142" t="s">
        <v>94</v>
      </c>
      <c r="N142" s="11">
        <v>203270607</v>
      </c>
      <c r="O142" s="2">
        <v>42880</v>
      </c>
      <c r="P142" t="s">
        <v>81</v>
      </c>
      <c r="Q142" s="2">
        <v>21018</v>
      </c>
      <c r="R142" s="3">
        <f>(Tabla1[[#This Row],[FECHA_TRASPLANTE]]-Tabla1[[#This Row],[FECHA_NAC]])/365.25</f>
        <v>59.854893908282001</v>
      </c>
      <c r="T142"/>
      <c r="W142" t="s">
        <v>82</v>
      </c>
      <c r="X142" t="s">
        <v>1136</v>
      </c>
      <c r="AM142" t="s">
        <v>86</v>
      </c>
      <c r="AN142" s="2">
        <v>45516</v>
      </c>
      <c r="AO142"/>
      <c r="AV142" s="2"/>
      <c r="AZ142"/>
      <c r="BT142" s="2">
        <f>Tabla1[[#This Row],[FECHA_TRASPLANTE]]</f>
        <v>42880</v>
      </c>
      <c r="BU142">
        <f>IF(Tabla1[[#This Row],[FALLECIDO SI/NO]]="NO",0,1)</f>
        <v>1</v>
      </c>
      <c r="BV142" s="3">
        <f ca="1">IF(Tabla1[[#This Row],[FALLECIDO_COD]]=0,TODAY()-Tabla1[[#This Row],[FECHA_TRASPLANTE]],Tabla1[[#This Row],[FECHA DE DEFUNCIÓN]]-Tabla1[[#This Row],[FECHA_TRASPLANTE]])</f>
        <v>2636</v>
      </c>
      <c r="BW142" s="3">
        <f ca="1">IF(Tabla1[[#This Row],[FALLECIDO_COD]]=0,TODAY()-Tabla1[[#This Row],[FECHA_TRASPLANTE]],Tabla1[[#This Row],[FECHA DE DEFUNCIÓN]]-Tabla1[[#This Row],[FECHA_TRASPLANTE]])/30.4375</f>
        <v>86.603696098562622</v>
      </c>
      <c r="BX142" s="3">
        <f ca="1">IF(Tabla1[[#This Row],[FALLECIDO_COD]]=0,TODAY()-Tabla1[[#This Row],[FECHA_TRASPLANTE]],Tabla1[[#This Row],[FECHA DE DEFUNCIÓN]]-Tabla1[[#This Row],[FECHA_TRASPLANTE]])/365.25</f>
        <v>7.2169746748802188</v>
      </c>
      <c r="BY142"/>
      <c r="BZ142"/>
    </row>
    <row r="143" spans="1:78" hidden="1" x14ac:dyDescent="0.35">
      <c r="A143" t="s">
        <v>377</v>
      </c>
      <c r="D143" t="s">
        <v>1129</v>
      </c>
      <c r="E143" t="s">
        <v>77</v>
      </c>
      <c r="I143">
        <v>117.72134522992451</v>
      </c>
      <c r="K143" t="s">
        <v>1374</v>
      </c>
      <c r="L143" t="s">
        <v>98</v>
      </c>
      <c r="M143" t="s">
        <v>981</v>
      </c>
      <c r="N143" s="11">
        <v>401480503</v>
      </c>
      <c r="O143" s="2">
        <v>42880</v>
      </c>
      <c r="P143" t="s">
        <v>81</v>
      </c>
      <c r="Q143" s="2">
        <v>25161</v>
      </c>
      <c r="R143" s="3">
        <f>(Tabla1[[#This Row],[FECHA_TRASPLANTE]]-Tabla1[[#This Row],[FECHA_NAC]])/365.25</f>
        <v>48.511978097193705</v>
      </c>
      <c r="T143"/>
      <c r="W143" t="s">
        <v>82</v>
      </c>
      <c r="X143" t="s">
        <v>1136</v>
      </c>
      <c r="AM143" t="s">
        <v>86</v>
      </c>
      <c r="AN143" s="2">
        <v>43320</v>
      </c>
      <c r="AO143"/>
      <c r="AV143" s="2"/>
      <c r="AZ143"/>
      <c r="BT143" s="2">
        <f>Tabla1[[#This Row],[FECHA_TRASPLANTE]]</f>
        <v>42880</v>
      </c>
      <c r="BU143">
        <f>IF(Tabla1[[#This Row],[FALLECIDO SI/NO]]="NO",0,1)</f>
        <v>1</v>
      </c>
      <c r="BV143" s="3">
        <f ca="1">IF(Tabla1[[#This Row],[FALLECIDO_COD]]=0,TODAY()-Tabla1[[#This Row],[FECHA_TRASPLANTE]],Tabla1[[#This Row],[FECHA DE DEFUNCIÓN]]-Tabla1[[#This Row],[FECHA_TRASPLANTE]])</f>
        <v>440</v>
      </c>
      <c r="BW143" s="3">
        <f ca="1">IF(Tabla1[[#This Row],[FALLECIDO_COD]]=0,TODAY()-Tabla1[[#This Row],[FECHA_TRASPLANTE]],Tabla1[[#This Row],[FECHA DE DEFUNCIÓN]]-Tabla1[[#This Row],[FECHA_TRASPLANTE]])/30.4375</f>
        <v>14.455852156057494</v>
      </c>
      <c r="BX143" s="3">
        <f ca="1">IF(Tabla1[[#This Row],[FALLECIDO_COD]]=0,TODAY()-Tabla1[[#This Row],[FECHA_TRASPLANTE]],Tabla1[[#This Row],[FECHA DE DEFUNCIÓN]]-Tabla1[[#This Row],[FECHA_TRASPLANTE]])/365.25</f>
        <v>1.2046543463381245</v>
      </c>
      <c r="BY143"/>
      <c r="BZ143"/>
    </row>
    <row r="144" spans="1:78" hidden="1" x14ac:dyDescent="0.35">
      <c r="A144" t="s">
        <v>377</v>
      </c>
      <c r="D144" t="s">
        <v>1129</v>
      </c>
      <c r="E144" t="s">
        <v>77</v>
      </c>
      <c r="I144">
        <v>117.72683596431023</v>
      </c>
      <c r="K144" t="s">
        <v>1375</v>
      </c>
      <c r="L144" t="s">
        <v>1376</v>
      </c>
      <c r="M144" t="s">
        <v>1377</v>
      </c>
      <c r="N144" s="11">
        <v>18219830</v>
      </c>
      <c r="O144" s="2">
        <v>42882</v>
      </c>
      <c r="P144" t="s">
        <v>81</v>
      </c>
      <c r="Q144" s="2">
        <v>29961</v>
      </c>
      <c r="R144" s="3">
        <f>(Tabla1[[#This Row],[FECHA_TRASPLANTE]]-Tabla1[[#This Row],[FECHA_NAC]])/365.25</f>
        <v>35.375770020533878</v>
      </c>
      <c r="T144"/>
      <c r="W144" t="s">
        <v>597</v>
      </c>
      <c r="X144" t="s">
        <v>1145</v>
      </c>
      <c r="AM144" t="s">
        <v>106</v>
      </c>
      <c r="AO144"/>
      <c r="AV144" s="2"/>
      <c r="AZ144"/>
      <c r="BT144" s="2">
        <f>Tabla1[[#This Row],[FECHA_TRASPLANTE]]</f>
        <v>42882</v>
      </c>
      <c r="BU144">
        <f>IF(Tabla1[[#This Row],[FALLECIDO SI/NO]]="NO",0,1)</f>
        <v>0</v>
      </c>
      <c r="BV144" s="3">
        <f ca="1">IF(Tabla1[[#This Row],[FALLECIDO_COD]]=0,TODAY()-Tabla1[[#This Row],[FECHA_TRASPLANTE]],Tabla1[[#This Row],[FECHA DE DEFUNCIÓN]]-Tabla1[[#This Row],[FECHA_TRASPLANTE]])</f>
        <v>2993</v>
      </c>
      <c r="BW144" s="3">
        <f ca="1">IF(Tabla1[[#This Row],[FALLECIDO_COD]]=0,TODAY()-Tabla1[[#This Row],[FECHA_TRASPLANTE]],Tabla1[[#This Row],[FECHA DE DEFUNCIÓN]]-Tabla1[[#This Row],[FECHA_TRASPLANTE]])/30.4375</f>
        <v>98.332648870636547</v>
      </c>
      <c r="BX144" s="3">
        <f ca="1">IF(Tabla1[[#This Row],[FALLECIDO_COD]]=0,TODAY()-Tabla1[[#This Row],[FECHA_TRASPLANTE]],Tabla1[[#This Row],[FECHA DE DEFUNCIÓN]]-Tabla1[[#This Row],[FECHA_TRASPLANTE]])/365.25</f>
        <v>8.1943874058863795</v>
      </c>
      <c r="BY144"/>
      <c r="BZ144"/>
    </row>
    <row r="145" spans="1:78" hidden="1" x14ac:dyDescent="0.35">
      <c r="A145" t="s">
        <v>377</v>
      </c>
      <c r="D145" t="s">
        <v>1129</v>
      </c>
      <c r="E145" t="s">
        <v>77</v>
      </c>
      <c r="I145">
        <v>117.72683596431023</v>
      </c>
      <c r="K145" t="s">
        <v>1378</v>
      </c>
      <c r="L145" t="s">
        <v>149</v>
      </c>
      <c r="M145" t="s">
        <v>329</v>
      </c>
      <c r="N145" s="11">
        <v>207080382</v>
      </c>
      <c r="O145" s="2">
        <v>42882</v>
      </c>
      <c r="P145" t="s">
        <v>90</v>
      </c>
      <c r="Q145" s="2">
        <v>33879</v>
      </c>
      <c r="R145" s="3">
        <f>(Tabla1[[#This Row],[FECHA_TRASPLANTE]]-Tabla1[[#This Row],[FECHA_NAC]])/365.25</f>
        <v>24.648870636550306</v>
      </c>
      <c r="T145"/>
      <c r="W145" t="s">
        <v>82</v>
      </c>
      <c r="X145" t="s">
        <v>1379</v>
      </c>
      <c r="AM145" t="s">
        <v>106</v>
      </c>
      <c r="AO145"/>
      <c r="AV145" s="2"/>
      <c r="AZ145"/>
      <c r="BT145" s="2">
        <f>Tabla1[[#This Row],[FECHA_TRASPLANTE]]</f>
        <v>42882</v>
      </c>
      <c r="BU145">
        <f>IF(Tabla1[[#This Row],[FALLECIDO SI/NO]]="NO",0,1)</f>
        <v>0</v>
      </c>
      <c r="BV145" s="3">
        <f ca="1">IF(Tabla1[[#This Row],[FALLECIDO_COD]]=0,TODAY()-Tabla1[[#This Row],[FECHA_TRASPLANTE]],Tabla1[[#This Row],[FECHA DE DEFUNCIÓN]]-Tabla1[[#This Row],[FECHA_TRASPLANTE]])</f>
        <v>2993</v>
      </c>
      <c r="BW145" s="3">
        <f ca="1">IF(Tabla1[[#This Row],[FALLECIDO_COD]]=0,TODAY()-Tabla1[[#This Row],[FECHA_TRASPLANTE]],Tabla1[[#This Row],[FECHA DE DEFUNCIÓN]]-Tabla1[[#This Row],[FECHA_TRASPLANTE]])/30.4375</f>
        <v>98.332648870636547</v>
      </c>
      <c r="BX145" s="3">
        <f ca="1">IF(Tabla1[[#This Row],[FALLECIDO_COD]]=0,TODAY()-Tabla1[[#This Row],[FECHA_TRASPLANTE]],Tabla1[[#This Row],[FECHA DE DEFUNCIÓN]]-Tabla1[[#This Row],[FECHA_TRASPLANTE]])/365.25</f>
        <v>8.1943874058863795</v>
      </c>
      <c r="BY145"/>
      <c r="BZ145"/>
    </row>
    <row r="146" spans="1:78" hidden="1" x14ac:dyDescent="0.35">
      <c r="A146" t="s">
        <v>1125</v>
      </c>
      <c r="D146" t="s">
        <v>1129</v>
      </c>
      <c r="E146" t="s">
        <v>375</v>
      </c>
      <c r="I146">
        <v>117.43463381245722</v>
      </c>
      <c r="J146" t="s">
        <v>1346</v>
      </c>
      <c r="K146" t="s">
        <v>359</v>
      </c>
      <c r="L146" t="s">
        <v>132</v>
      </c>
      <c r="M146" t="s">
        <v>518</v>
      </c>
      <c r="N146" s="11">
        <v>203360628</v>
      </c>
      <c r="O146" s="2">
        <v>42893</v>
      </c>
      <c r="R146" s="3">
        <f>(Tabla1[[#This Row],[FECHA_TRASPLANTE]]-Tabla1[[#This Row],[FECHA_NAC]])/365.25</f>
        <v>117.43463381245722</v>
      </c>
      <c r="T146"/>
      <c r="U146" t="s">
        <v>1348</v>
      </c>
      <c r="W146" t="s">
        <v>82</v>
      </c>
      <c r="X146" t="s">
        <v>91</v>
      </c>
      <c r="Y146" t="s">
        <v>193</v>
      </c>
      <c r="Z146" t="s">
        <v>193</v>
      </c>
      <c r="AM146" t="s">
        <v>106</v>
      </c>
      <c r="AO146"/>
      <c r="AV146" s="2"/>
      <c r="AZ146"/>
      <c r="BT146" s="2">
        <f>Tabla1[[#This Row],[FECHA_TRASPLANTE]]</f>
        <v>42893</v>
      </c>
      <c r="BU146">
        <f>IF(Tabla1[[#This Row],[FALLECIDO SI/NO]]="NO",0,1)</f>
        <v>0</v>
      </c>
      <c r="BV146" s="3">
        <f ca="1">IF(Tabla1[[#This Row],[FALLECIDO_COD]]=0,TODAY()-Tabla1[[#This Row],[FECHA_TRASPLANTE]],Tabla1[[#This Row],[FECHA DE DEFUNCIÓN]]-Tabla1[[#This Row],[FECHA_TRASPLANTE]])</f>
        <v>2982</v>
      </c>
      <c r="BW146" s="3">
        <f ca="1">IF(Tabla1[[#This Row],[FALLECIDO_COD]]=0,TODAY()-Tabla1[[#This Row],[FECHA_TRASPLANTE]],Tabla1[[#This Row],[FECHA DE DEFUNCIÓN]]-Tabla1[[#This Row],[FECHA_TRASPLANTE]])/30.4375</f>
        <v>97.971252566735117</v>
      </c>
      <c r="BX146" s="3">
        <f ca="1">IF(Tabla1[[#This Row],[FALLECIDO_COD]]=0,TODAY()-Tabla1[[#This Row],[FECHA_TRASPLANTE]],Tabla1[[#This Row],[FECHA DE DEFUNCIÓN]]-Tabla1[[#This Row],[FECHA_TRASPLANTE]])/365.25</f>
        <v>8.1642710472279258</v>
      </c>
      <c r="BY146"/>
      <c r="BZ146"/>
    </row>
    <row r="147" spans="1:78" hidden="1" x14ac:dyDescent="0.35">
      <c r="A147" t="s">
        <v>75</v>
      </c>
      <c r="D147" t="s">
        <v>1129</v>
      </c>
      <c r="E147" t="s">
        <v>375</v>
      </c>
      <c r="I147">
        <v>117.77625257378175</v>
      </c>
      <c r="K147" t="s">
        <v>1380</v>
      </c>
      <c r="L147" t="s">
        <v>188</v>
      </c>
      <c r="M147" t="s">
        <v>913</v>
      </c>
      <c r="N147" s="11">
        <v>302700116</v>
      </c>
      <c r="O147" s="16">
        <v>42900</v>
      </c>
      <c r="P147" t="s">
        <v>90</v>
      </c>
      <c r="Q147" s="2">
        <v>23591</v>
      </c>
      <c r="R147" s="3">
        <f>(Tabla1[[#This Row],[FECHA_TRASPLANTE]]-Tabla1[[#This Row],[FECHA_NAC]])/365.25</f>
        <v>52.865160848733744</v>
      </c>
      <c r="T147"/>
      <c r="W147" t="s">
        <v>82</v>
      </c>
      <c r="X147" t="s">
        <v>110</v>
      </c>
      <c r="Y147" t="s">
        <v>84</v>
      </c>
      <c r="Z147" t="s">
        <v>307</v>
      </c>
      <c r="AM147" t="s">
        <v>86</v>
      </c>
      <c r="AN147" s="2">
        <v>43855</v>
      </c>
      <c r="AO147"/>
      <c r="AV147" s="2"/>
      <c r="AZ147"/>
      <c r="BJ147" s="2"/>
      <c r="BT147" s="2">
        <f>Tabla1[[#This Row],[FECHA_TRASPLANTE]]</f>
        <v>42900</v>
      </c>
      <c r="BU147">
        <f>IF(Tabla1[[#This Row],[FALLECIDO SI/NO]]="NO",0,1)</f>
        <v>1</v>
      </c>
      <c r="BV147" s="3">
        <f ca="1">IF(Tabla1[[#This Row],[FALLECIDO_COD]]=0,TODAY()-Tabla1[[#This Row],[FECHA_TRASPLANTE]],Tabla1[[#This Row],[FECHA DE DEFUNCIÓN]]-Tabla1[[#This Row],[FECHA_TRASPLANTE]])</f>
        <v>955</v>
      </c>
      <c r="BW147" s="3">
        <f ca="1">IF(Tabla1[[#This Row],[FALLECIDO_COD]]=0,TODAY()-Tabla1[[#This Row],[FECHA_TRASPLANTE]],Tabla1[[#This Row],[FECHA DE DEFUNCIÓN]]-Tabla1[[#This Row],[FECHA_TRASPLANTE]])/30.4375</f>
        <v>31.375770020533881</v>
      </c>
      <c r="BX147" s="3">
        <f ca="1">IF(Tabla1[[#This Row],[FALLECIDO_COD]]=0,TODAY()-Tabla1[[#This Row],[FECHA_TRASPLANTE]],Tabla1[[#This Row],[FECHA DE DEFUNCIÓN]]-Tabla1[[#This Row],[FECHA_TRASPLANTE]])/365.25</f>
        <v>2.6146475017111568</v>
      </c>
      <c r="BY147"/>
      <c r="BZ147"/>
    </row>
    <row r="148" spans="1:78" hidden="1" x14ac:dyDescent="0.35">
      <c r="A148" t="s">
        <v>377</v>
      </c>
      <c r="D148" t="s">
        <v>1129</v>
      </c>
      <c r="E148" t="s">
        <v>375</v>
      </c>
      <c r="I148">
        <v>117.77625257378175</v>
      </c>
      <c r="J148" t="s">
        <v>1339</v>
      </c>
      <c r="K148" t="s">
        <v>1381</v>
      </c>
      <c r="L148" t="s">
        <v>393</v>
      </c>
      <c r="M148" t="s">
        <v>388</v>
      </c>
      <c r="N148" s="11">
        <v>401240443</v>
      </c>
      <c r="O148" s="2">
        <v>42900</v>
      </c>
      <c r="P148" t="s">
        <v>81</v>
      </c>
      <c r="Q148" s="2">
        <v>22139</v>
      </c>
      <c r="R148" s="3">
        <f>(Tabla1[[#This Row],[FECHA_TRASPLANTE]]-Tabla1[[#This Row],[FECHA_NAC]])/365.25</f>
        <v>56.840520191649553</v>
      </c>
      <c r="T148"/>
      <c r="W148" t="s">
        <v>82</v>
      </c>
      <c r="X148" t="s">
        <v>1382</v>
      </c>
      <c r="AM148" t="s">
        <v>106</v>
      </c>
      <c r="AO148"/>
      <c r="AV148" s="2"/>
      <c r="AZ148"/>
      <c r="BT148" s="2">
        <f>Tabla1[[#This Row],[FECHA_TRASPLANTE]]</f>
        <v>42900</v>
      </c>
      <c r="BU148">
        <f>IF(Tabla1[[#This Row],[FALLECIDO SI/NO]]="NO",0,1)</f>
        <v>0</v>
      </c>
      <c r="BV148" s="3">
        <f ca="1">IF(Tabla1[[#This Row],[FALLECIDO_COD]]=0,TODAY()-Tabla1[[#This Row],[FECHA_TRASPLANTE]],Tabla1[[#This Row],[FECHA DE DEFUNCIÓN]]-Tabla1[[#This Row],[FECHA_TRASPLANTE]])</f>
        <v>2975</v>
      </c>
      <c r="BW148" s="3">
        <f ca="1">IF(Tabla1[[#This Row],[FALLECIDO_COD]]=0,TODAY()-Tabla1[[#This Row],[FECHA_TRASPLANTE]],Tabla1[[#This Row],[FECHA DE DEFUNCIÓN]]-Tabla1[[#This Row],[FECHA_TRASPLANTE]])/30.4375</f>
        <v>97.741273100616013</v>
      </c>
      <c r="BX148" s="3">
        <f ca="1">IF(Tabla1[[#This Row],[FALLECIDO_COD]]=0,TODAY()-Tabla1[[#This Row],[FECHA_TRASPLANTE]],Tabla1[[#This Row],[FECHA DE DEFUNCIÓN]]-Tabla1[[#This Row],[FECHA_TRASPLANTE]])/365.25</f>
        <v>8.1451060917180005</v>
      </c>
      <c r="BY148"/>
      <c r="BZ148"/>
    </row>
    <row r="149" spans="1:78" hidden="1" x14ac:dyDescent="0.35">
      <c r="A149" t="s">
        <v>377</v>
      </c>
      <c r="D149" t="s">
        <v>1129</v>
      </c>
      <c r="E149" t="s">
        <v>375</v>
      </c>
      <c r="I149">
        <v>117.79547014413178</v>
      </c>
      <c r="J149" t="s">
        <v>1339</v>
      </c>
      <c r="K149" t="s">
        <v>1383</v>
      </c>
      <c r="L149" t="s">
        <v>124</v>
      </c>
      <c r="M149" t="s">
        <v>243</v>
      </c>
      <c r="N149" s="11">
        <v>503370199</v>
      </c>
      <c r="O149" s="2">
        <v>42907</v>
      </c>
      <c r="P149" t="s">
        <v>90</v>
      </c>
      <c r="Q149" s="2">
        <v>30651</v>
      </c>
      <c r="R149" s="3">
        <f>(Tabla1[[#This Row],[FECHA_TRASPLANTE]]-Tabla1[[#This Row],[FECHA_NAC]])/365.25</f>
        <v>33.555099247091036</v>
      </c>
      <c r="T149"/>
      <c r="W149" t="s">
        <v>82</v>
      </c>
      <c r="X149" t="s">
        <v>1384</v>
      </c>
      <c r="AM149" t="s">
        <v>106</v>
      </c>
      <c r="AO149"/>
      <c r="AV149" s="2"/>
      <c r="AZ149"/>
      <c r="BT149" s="2">
        <f>Tabla1[[#This Row],[FECHA_TRASPLANTE]]</f>
        <v>42907</v>
      </c>
      <c r="BU149">
        <f>IF(Tabla1[[#This Row],[FALLECIDO SI/NO]]="NO",0,1)</f>
        <v>0</v>
      </c>
      <c r="BV149" s="3">
        <f ca="1">IF(Tabla1[[#This Row],[FALLECIDO_COD]]=0,TODAY()-Tabla1[[#This Row],[FECHA_TRASPLANTE]],Tabla1[[#This Row],[FECHA DE DEFUNCIÓN]]-Tabla1[[#This Row],[FECHA_TRASPLANTE]])</f>
        <v>2968</v>
      </c>
      <c r="BW149" s="3">
        <f ca="1">IF(Tabla1[[#This Row],[FALLECIDO_COD]]=0,TODAY()-Tabla1[[#This Row],[FECHA_TRASPLANTE]],Tabla1[[#This Row],[FECHA DE DEFUNCIÓN]]-Tabla1[[#This Row],[FECHA_TRASPLANTE]])/30.4375</f>
        <v>97.511293634496923</v>
      </c>
      <c r="BX149" s="3">
        <f ca="1">IF(Tabla1[[#This Row],[FALLECIDO_COD]]=0,TODAY()-Tabla1[[#This Row],[FECHA_TRASPLANTE]],Tabla1[[#This Row],[FECHA DE DEFUNCIÓN]]-Tabla1[[#This Row],[FECHA_TRASPLANTE]])/365.25</f>
        <v>8.1259411362080769</v>
      </c>
      <c r="BY149"/>
      <c r="BZ149"/>
    </row>
    <row r="150" spans="1:78" hidden="1" x14ac:dyDescent="0.35">
      <c r="A150" t="s">
        <v>1125</v>
      </c>
      <c r="D150" t="s">
        <v>1129</v>
      </c>
      <c r="E150" t="s">
        <v>375</v>
      </c>
      <c r="I150">
        <v>117.47296372347706</v>
      </c>
      <c r="J150" t="s">
        <v>1346</v>
      </c>
      <c r="K150" t="s">
        <v>1278</v>
      </c>
      <c r="L150" t="s">
        <v>203</v>
      </c>
      <c r="M150" t="s">
        <v>385</v>
      </c>
      <c r="N150" s="11">
        <v>603410686</v>
      </c>
      <c r="O150" s="2">
        <v>42907</v>
      </c>
      <c r="R150" s="3">
        <f>(Tabla1[[#This Row],[FECHA_TRASPLANTE]]-Tabla1[[#This Row],[FECHA_NAC]])/365.25</f>
        <v>117.47296372347706</v>
      </c>
      <c r="T150"/>
      <c r="U150" t="s">
        <v>1348</v>
      </c>
      <c r="W150" t="s">
        <v>82</v>
      </c>
      <c r="X150" t="s">
        <v>91</v>
      </c>
      <c r="Y150" t="s">
        <v>484</v>
      </c>
      <c r="Z150" t="s">
        <v>631</v>
      </c>
      <c r="AM150" t="s">
        <v>106</v>
      </c>
      <c r="AO150"/>
      <c r="AV150" s="2"/>
      <c r="AZ150"/>
      <c r="BT150" s="2">
        <f>Tabla1[[#This Row],[FECHA_TRASPLANTE]]</f>
        <v>42907</v>
      </c>
      <c r="BU150">
        <f>IF(Tabla1[[#This Row],[FALLECIDO SI/NO]]="NO",0,1)</f>
        <v>0</v>
      </c>
      <c r="BV150" s="3">
        <f ca="1">IF(Tabla1[[#This Row],[FALLECIDO_COD]]=0,TODAY()-Tabla1[[#This Row],[FECHA_TRASPLANTE]],Tabla1[[#This Row],[FECHA DE DEFUNCIÓN]]-Tabla1[[#This Row],[FECHA_TRASPLANTE]])</f>
        <v>2968</v>
      </c>
      <c r="BW150" s="3">
        <f ca="1">IF(Tabla1[[#This Row],[FALLECIDO_COD]]=0,TODAY()-Tabla1[[#This Row],[FECHA_TRASPLANTE]],Tabla1[[#This Row],[FECHA DE DEFUNCIÓN]]-Tabla1[[#This Row],[FECHA_TRASPLANTE]])/30.4375</f>
        <v>97.511293634496923</v>
      </c>
      <c r="BX150" s="3">
        <f ca="1">IF(Tabla1[[#This Row],[FALLECIDO_COD]]=0,TODAY()-Tabla1[[#This Row],[FECHA_TRASPLANTE]],Tabla1[[#This Row],[FECHA DE DEFUNCIÓN]]-Tabla1[[#This Row],[FECHA_TRASPLANTE]])/365.25</f>
        <v>8.1259411362080769</v>
      </c>
      <c r="BY150"/>
      <c r="BZ150"/>
    </row>
    <row r="151" spans="1:78" hidden="1" x14ac:dyDescent="0.35">
      <c r="A151" t="s">
        <v>1385</v>
      </c>
      <c r="B151" t="s">
        <v>377</v>
      </c>
      <c r="D151" t="s">
        <v>1129</v>
      </c>
      <c r="E151" t="s">
        <v>375</v>
      </c>
      <c r="I151">
        <v>117.80645161290323</v>
      </c>
      <c r="J151" t="s">
        <v>1139</v>
      </c>
      <c r="K151">
        <v>21040017197146</v>
      </c>
      <c r="N151" s="11">
        <v>2104201701</v>
      </c>
      <c r="O151" s="2">
        <v>42911</v>
      </c>
      <c r="P151" t="s">
        <v>81</v>
      </c>
      <c r="R151" s="3">
        <f>(Tabla1[[#This Row],[FECHA_TRASPLANTE]]-Tabla1[[#This Row],[FECHA_NAC]])/365.25</f>
        <v>117.4839151266256</v>
      </c>
      <c r="S151" t="s">
        <v>1386</v>
      </c>
      <c r="T151"/>
      <c r="X151" t="s">
        <v>1387</v>
      </c>
      <c r="AM151" t="s">
        <v>106</v>
      </c>
      <c r="AO151"/>
      <c r="AV151" s="2"/>
      <c r="AZ151"/>
      <c r="BT151" s="2">
        <f>Tabla1[[#This Row],[FECHA_TRASPLANTE]]</f>
        <v>42911</v>
      </c>
      <c r="BU151">
        <f>IF(Tabla1[[#This Row],[FALLECIDO SI/NO]]="NO",0,1)</f>
        <v>0</v>
      </c>
      <c r="BV151" s="3">
        <f ca="1">IF(Tabla1[[#This Row],[FALLECIDO_COD]]=0,TODAY()-Tabla1[[#This Row],[FECHA_TRASPLANTE]],Tabla1[[#This Row],[FECHA DE DEFUNCIÓN]]-Tabla1[[#This Row],[FECHA_TRASPLANTE]])</f>
        <v>2964</v>
      </c>
      <c r="BW151" s="3">
        <f ca="1">IF(Tabla1[[#This Row],[FALLECIDO_COD]]=0,TODAY()-Tabla1[[#This Row],[FECHA_TRASPLANTE]],Tabla1[[#This Row],[FECHA DE DEFUNCIÓN]]-Tabla1[[#This Row],[FECHA_TRASPLANTE]])/30.4375</f>
        <v>97.379876796714584</v>
      </c>
      <c r="BX151" s="3">
        <f ca="1">IF(Tabla1[[#This Row],[FALLECIDO_COD]]=0,TODAY()-Tabla1[[#This Row],[FECHA_TRASPLANTE]],Tabla1[[#This Row],[FECHA DE DEFUNCIÓN]]-Tabla1[[#This Row],[FECHA_TRASPLANTE]])/365.25</f>
        <v>8.1149897330595486</v>
      </c>
      <c r="BY151"/>
      <c r="BZ151"/>
    </row>
    <row r="152" spans="1:78" hidden="1" x14ac:dyDescent="0.35">
      <c r="A152" t="s">
        <v>377</v>
      </c>
      <c r="D152" t="s">
        <v>1129</v>
      </c>
      <c r="E152" t="s">
        <v>375</v>
      </c>
      <c r="I152">
        <v>117.81468771448181</v>
      </c>
      <c r="J152" t="s">
        <v>1191</v>
      </c>
      <c r="K152" t="s">
        <v>1388</v>
      </c>
      <c r="L152" t="s">
        <v>1389</v>
      </c>
      <c r="M152" t="s">
        <v>360</v>
      </c>
      <c r="N152" s="11">
        <v>502030577</v>
      </c>
      <c r="O152" s="2">
        <v>42914</v>
      </c>
      <c r="P152" t="s">
        <v>90</v>
      </c>
      <c r="Q152" s="2">
        <v>22955</v>
      </c>
      <c r="R152" s="3">
        <f>(Tabla1[[#This Row],[FECHA_TRASPLANTE]]-Tabla1[[#This Row],[FECHA_NAC]])/365.25</f>
        <v>54.644763860369608</v>
      </c>
      <c r="T152"/>
      <c r="W152" t="s">
        <v>82</v>
      </c>
      <c r="X152" t="s">
        <v>1390</v>
      </c>
      <c r="AM152" t="s">
        <v>86</v>
      </c>
      <c r="AN152" s="2">
        <v>42990</v>
      </c>
      <c r="AO152"/>
      <c r="AV152" s="2"/>
      <c r="AZ152"/>
      <c r="BT152" s="2">
        <f>Tabla1[[#This Row],[FECHA_TRASPLANTE]]</f>
        <v>42914</v>
      </c>
      <c r="BU152">
        <f>IF(Tabla1[[#This Row],[FALLECIDO SI/NO]]="NO",0,1)</f>
        <v>1</v>
      </c>
      <c r="BV152" s="3">
        <f ca="1">IF(Tabla1[[#This Row],[FALLECIDO_COD]]=0,TODAY()-Tabla1[[#This Row],[FECHA_TRASPLANTE]],Tabla1[[#This Row],[FECHA DE DEFUNCIÓN]]-Tabla1[[#This Row],[FECHA_TRASPLANTE]])</f>
        <v>76</v>
      </c>
      <c r="BW152" s="3">
        <f ca="1">IF(Tabla1[[#This Row],[FALLECIDO_COD]]=0,TODAY()-Tabla1[[#This Row],[FECHA_TRASPLANTE]],Tabla1[[#This Row],[FECHA DE DEFUNCIÓN]]-Tabla1[[#This Row],[FECHA_TRASPLANTE]])/30.4375</f>
        <v>2.4969199178644765</v>
      </c>
      <c r="BX152" s="3">
        <f ca="1">IF(Tabla1[[#This Row],[FALLECIDO_COD]]=0,TODAY()-Tabla1[[#This Row],[FECHA_TRASPLANTE]],Tabla1[[#This Row],[FECHA DE DEFUNCIÓN]]-Tabla1[[#This Row],[FECHA_TRASPLANTE]])/365.25</f>
        <v>0.20807665982203971</v>
      </c>
      <c r="BY152"/>
      <c r="BZ152"/>
    </row>
    <row r="153" spans="1:78" hidden="1" x14ac:dyDescent="0.35">
      <c r="A153" t="s">
        <v>377</v>
      </c>
      <c r="D153" t="s">
        <v>1129</v>
      </c>
      <c r="E153" t="s">
        <v>375</v>
      </c>
      <c r="I153">
        <v>117.8366506520247</v>
      </c>
      <c r="J153" t="s">
        <v>1180</v>
      </c>
      <c r="K153" t="s">
        <v>1391</v>
      </c>
      <c r="L153" t="s">
        <v>155</v>
      </c>
      <c r="M153" t="s">
        <v>239</v>
      </c>
      <c r="N153" s="11">
        <v>205830750</v>
      </c>
      <c r="O153" s="2">
        <v>42922</v>
      </c>
      <c r="P153" t="s">
        <v>81</v>
      </c>
      <c r="Q153" s="2">
        <v>30475</v>
      </c>
      <c r="R153" s="3">
        <f>(Tabla1[[#This Row],[FECHA_TRASPLANTE]]-Tabla1[[#This Row],[FECHA_NAC]])/365.25</f>
        <v>34.078028747433265</v>
      </c>
      <c r="T153"/>
      <c r="W153" t="s">
        <v>82</v>
      </c>
      <c r="X153" t="s">
        <v>115</v>
      </c>
      <c r="Y153" t="s">
        <v>602</v>
      </c>
      <c r="Z153" t="s">
        <v>1392</v>
      </c>
      <c r="AM153" t="s">
        <v>106</v>
      </c>
      <c r="AO153"/>
      <c r="AV153" s="2"/>
      <c r="AZ153"/>
      <c r="BT153" s="2">
        <f>Tabla1[[#This Row],[FECHA_TRASPLANTE]]</f>
        <v>42922</v>
      </c>
      <c r="BU153">
        <f>IF(Tabla1[[#This Row],[FALLECIDO SI/NO]]="NO",0,1)</f>
        <v>0</v>
      </c>
      <c r="BV153" s="3">
        <f ca="1">IF(Tabla1[[#This Row],[FALLECIDO_COD]]=0,TODAY()-Tabla1[[#This Row],[FECHA_TRASPLANTE]],Tabla1[[#This Row],[FECHA DE DEFUNCIÓN]]-Tabla1[[#This Row],[FECHA_TRASPLANTE]])</f>
        <v>2953</v>
      </c>
      <c r="BW153" s="3">
        <f ca="1">IF(Tabla1[[#This Row],[FALLECIDO_COD]]=0,TODAY()-Tabla1[[#This Row],[FECHA_TRASPLANTE]],Tabla1[[#This Row],[FECHA DE DEFUNCIÓN]]-Tabla1[[#This Row],[FECHA_TRASPLANTE]])/30.4375</f>
        <v>97.01848049281314</v>
      </c>
      <c r="BX153" s="3">
        <f ca="1">IF(Tabla1[[#This Row],[FALLECIDO_COD]]=0,TODAY()-Tabla1[[#This Row],[FECHA_TRASPLANTE]],Tabla1[[#This Row],[FECHA DE DEFUNCIÓN]]-Tabla1[[#This Row],[FECHA_TRASPLANTE]])/365.25</f>
        <v>8.084873374401095</v>
      </c>
      <c r="BY153"/>
      <c r="BZ153"/>
    </row>
    <row r="154" spans="1:78" hidden="1" x14ac:dyDescent="0.35">
      <c r="A154" t="s">
        <v>376</v>
      </c>
      <c r="B154" t="s">
        <v>376</v>
      </c>
      <c r="D154" t="s">
        <v>1129</v>
      </c>
      <c r="E154" t="s">
        <v>77</v>
      </c>
      <c r="I154">
        <v>117.85312285518188</v>
      </c>
      <c r="K154" t="s">
        <v>1393</v>
      </c>
      <c r="L154" t="s">
        <v>228</v>
      </c>
      <c r="M154" t="s">
        <v>155</v>
      </c>
      <c r="N154" s="11">
        <v>208320683</v>
      </c>
      <c r="O154" s="2">
        <v>42928</v>
      </c>
      <c r="P154" t="s">
        <v>90</v>
      </c>
      <c r="Q154" s="2">
        <v>37493</v>
      </c>
      <c r="R154" s="3">
        <f>(Tabla1[[#This Row],[FECHA_TRASPLANTE]]-Tabla1[[#This Row],[FECHA_NAC]])/365.25</f>
        <v>14.880219028062971</v>
      </c>
      <c r="T154"/>
      <c r="W154" t="s">
        <v>82</v>
      </c>
      <c r="AM154" t="s">
        <v>86</v>
      </c>
      <c r="AN154" s="2">
        <v>43067</v>
      </c>
      <c r="AO154"/>
      <c r="AV154" s="2"/>
      <c r="AZ154"/>
      <c r="BT154" s="2">
        <f>Tabla1[[#This Row],[FECHA_TRASPLANTE]]</f>
        <v>42928</v>
      </c>
      <c r="BU154">
        <f>IF(Tabla1[[#This Row],[FALLECIDO SI/NO]]="NO",0,1)</f>
        <v>1</v>
      </c>
      <c r="BV154" s="3">
        <f ca="1">IF(Tabla1[[#This Row],[FALLECIDO_COD]]=0,TODAY()-Tabla1[[#This Row],[FECHA_TRASPLANTE]],Tabla1[[#This Row],[FECHA DE DEFUNCIÓN]]-Tabla1[[#This Row],[FECHA_TRASPLANTE]])</f>
        <v>139</v>
      </c>
      <c r="BW154" s="3">
        <f ca="1">IF(Tabla1[[#This Row],[FALLECIDO_COD]]=0,TODAY()-Tabla1[[#This Row],[FECHA_TRASPLANTE]],Tabla1[[#This Row],[FECHA DE DEFUNCIÓN]]-Tabla1[[#This Row],[FECHA_TRASPLANTE]])/30.4375</f>
        <v>4.5667351129363452</v>
      </c>
      <c r="BX154" s="3">
        <f ca="1">IF(Tabla1[[#This Row],[FALLECIDO_COD]]=0,TODAY()-Tabla1[[#This Row],[FECHA_TRASPLANTE]],Tabla1[[#This Row],[FECHA DE DEFUNCIÓN]]-Tabla1[[#This Row],[FECHA_TRASPLANTE]])/365.25</f>
        <v>0.3805612594113621</v>
      </c>
      <c r="BY154"/>
      <c r="BZ154"/>
    </row>
    <row r="155" spans="1:78" hidden="1" x14ac:dyDescent="0.35">
      <c r="A155" t="s">
        <v>377</v>
      </c>
      <c r="D155" t="s">
        <v>1129</v>
      </c>
      <c r="E155" t="s">
        <v>375</v>
      </c>
      <c r="I155">
        <v>117.85312285518188</v>
      </c>
      <c r="J155" t="s">
        <v>1394</v>
      </c>
      <c r="K155" t="s">
        <v>1395</v>
      </c>
      <c r="L155" t="s">
        <v>1396</v>
      </c>
      <c r="M155" t="s">
        <v>1396</v>
      </c>
      <c r="N155" s="11">
        <v>701350685</v>
      </c>
      <c r="O155" s="2">
        <v>42928</v>
      </c>
      <c r="P155" t="s">
        <v>81</v>
      </c>
      <c r="Q155" s="2">
        <v>29269</v>
      </c>
      <c r="R155" s="3">
        <f>(Tabla1[[#This Row],[FECHA_TRASPLANTE]]-Tabla1[[#This Row],[FECHA_NAC]])/365.25</f>
        <v>37.396303901437371</v>
      </c>
      <c r="T155"/>
      <c r="W155" t="s">
        <v>82</v>
      </c>
      <c r="X155" t="s">
        <v>1397</v>
      </c>
      <c r="AM155" t="s">
        <v>106</v>
      </c>
      <c r="AO155"/>
      <c r="AV155" s="2"/>
      <c r="AZ155"/>
      <c r="BT155" s="2">
        <f>Tabla1[[#This Row],[FECHA_TRASPLANTE]]</f>
        <v>42928</v>
      </c>
      <c r="BU155">
        <f>IF(Tabla1[[#This Row],[FALLECIDO SI/NO]]="NO",0,1)</f>
        <v>0</v>
      </c>
      <c r="BV155" s="3">
        <f ca="1">IF(Tabla1[[#This Row],[FALLECIDO_COD]]=0,TODAY()-Tabla1[[#This Row],[FECHA_TRASPLANTE]],Tabla1[[#This Row],[FECHA DE DEFUNCIÓN]]-Tabla1[[#This Row],[FECHA_TRASPLANTE]])</f>
        <v>2947</v>
      </c>
      <c r="BW155" s="3">
        <f ca="1">IF(Tabla1[[#This Row],[FALLECIDO_COD]]=0,TODAY()-Tabla1[[#This Row],[FECHA_TRASPLANTE]],Tabla1[[#This Row],[FECHA DE DEFUNCIÓN]]-Tabla1[[#This Row],[FECHA_TRASPLANTE]])/30.4375</f>
        <v>96.821355236139624</v>
      </c>
      <c r="BX155" s="3">
        <f ca="1">IF(Tabla1[[#This Row],[FALLECIDO_COD]]=0,TODAY()-Tabla1[[#This Row],[FECHA_TRASPLANTE]],Tabla1[[#This Row],[FECHA DE DEFUNCIÓN]]-Tabla1[[#This Row],[FECHA_TRASPLANTE]])/365.25</f>
        <v>8.0684462696783026</v>
      </c>
      <c r="BY155"/>
      <c r="BZ155"/>
    </row>
    <row r="156" spans="1:78" hidden="1" x14ac:dyDescent="0.35">
      <c r="A156" t="s">
        <v>377</v>
      </c>
      <c r="D156" t="s">
        <v>1129</v>
      </c>
      <c r="E156" t="s">
        <v>375</v>
      </c>
      <c r="I156">
        <v>117.85312285518188</v>
      </c>
      <c r="J156" t="s">
        <v>1394</v>
      </c>
      <c r="K156" t="s">
        <v>1395</v>
      </c>
      <c r="L156" t="s">
        <v>1396</v>
      </c>
      <c r="M156" t="s">
        <v>1396</v>
      </c>
      <c r="N156" s="11">
        <v>701350685</v>
      </c>
      <c r="O156" s="2">
        <v>42928</v>
      </c>
      <c r="P156" t="s">
        <v>81</v>
      </c>
      <c r="Q156" s="2">
        <v>29269</v>
      </c>
      <c r="R156" s="3">
        <f>(Tabla1[[#This Row],[FECHA_TRASPLANTE]]-Tabla1[[#This Row],[FECHA_NAC]])/365.25</f>
        <v>37.396303901437371</v>
      </c>
      <c r="T156"/>
      <c r="W156" t="s">
        <v>82</v>
      </c>
      <c r="X156" t="s">
        <v>120</v>
      </c>
      <c r="Y156" t="s">
        <v>84</v>
      </c>
      <c r="Z156" t="s">
        <v>120</v>
      </c>
      <c r="AM156" t="s">
        <v>106</v>
      </c>
      <c r="AO156"/>
      <c r="AV156" s="2"/>
      <c r="AZ156"/>
      <c r="BT156" s="2">
        <f>Tabla1[[#This Row],[FECHA_TRASPLANTE]]</f>
        <v>42928</v>
      </c>
      <c r="BU156">
        <f>IF(Tabla1[[#This Row],[FALLECIDO SI/NO]]="NO",0,1)</f>
        <v>0</v>
      </c>
      <c r="BV156" s="3">
        <f ca="1">IF(Tabla1[[#This Row],[FALLECIDO_COD]]=0,TODAY()-Tabla1[[#This Row],[FECHA_TRASPLANTE]],Tabla1[[#This Row],[FECHA DE DEFUNCIÓN]]-Tabla1[[#This Row],[FECHA_TRASPLANTE]])</f>
        <v>2947</v>
      </c>
      <c r="BW156" s="3">
        <f ca="1">IF(Tabla1[[#This Row],[FALLECIDO_COD]]=0,TODAY()-Tabla1[[#This Row],[FECHA_TRASPLANTE]],Tabla1[[#This Row],[FECHA DE DEFUNCIÓN]]-Tabla1[[#This Row],[FECHA_TRASPLANTE]])/30.4375</f>
        <v>96.821355236139624</v>
      </c>
      <c r="BX156" s="3">
        <f ca="1">IF(Tabla1[[#This Row],[FALLECIDO_COD]]=0,TODAY()-Tabla1[[#This Row],[FECHA_TRASPLANTE]],Tabla1[[#This Row],[FECHA DE DEFUNCIÓN]]-Tabla1[[#This Row],[FECHA_TRASPLANTE]])/365.25</f>
        <v>8.0684462696783026</v>
      </c>
      <c r="BY156"/>
      <c r="BZ156"/>
    </row>
    <row r="157" spans="1:78" hidden="1" x14ac:dyDescent="0.35">
      <c r="A157" t="s">
        <v>1125</v>
      </c>
      <c r="D157" t="s">
        <v>1129</v>
      </c>
      <c r="E157" t="s">
        <v>77</v>
      </c>
      <c r="I157">
        <v>117.53045859000684</v>
      </c>
      <c r="J157" t="s">
        <v>1334</v>
      </c>
      <c r="K157" t="s">
        <v>1398</v>
      </c>
      <c r="L157" t="s">
        <v>764</v>
      </c>
      <c r="M157" t="s">
        <v>764</v>
      </c>
      <c r="N157" s="11">
        <v>501610050</v>
      </c>
      <c r="O157" s="2">
        <v>42928</v>
      </c>
      <c r="R157" s="3">
        <f>(Tabla1[[#This Row],[FECHA_TRASPLANTE]]-Tabla1[[#This Row],[FECHA_NAC]])/365.25</f>
        <v>117.53045859000684</v>
      </c>
      <c r="T157"/>
      <c r="U157" t="s">
        <v>1348</v>
      </c>
      <c r="W157" t="s">
        <v>82</v>
      </c>
      <c r="X157" t="s">
        <v>91</v>
      </c>
      <c r="Y157" t="s">
        <v>484</v>
      </c>
      <c r="Z157" t="s">
        <v>484</v>
      </c>
      <c r="AM157" t="s">
        <v>86</v>
      </c>
      <c r="AN157" s="2">
        <v>44186</v>
      </c>
      <c r="AO157"/>
      <c r="AV157" s="2"/>
      <c r="AZ157"/>
      <c r="BT157" s="2">
        <f>Tabla1[[#This Row],[FECHA_TRASPLANTE]]</f>
        <v>42928</v>
      </c>
      <c r="BU157">
        <f>IF(Tabla1[[#This Row],[FALLECIDO SI/NO]]="NO",0,1)</f>
        <v>1</v>
      </c>
      <c r="BV157" s="3">
        <f ca="1">IF(Tabla1[[#This Row],[FALLECIDO_COD]]=0,TODAY()-Tabla1[[#This Row],[FECHA_TRASPLANTE]],Tabla1[[#This Row],[FECHA DE DEFUNCIÓN]]-Tabla1[[#This Row],[FECHA_TRASPLANTE]])</f>
        <v>1258</v>
      </c>
      <c r="BW157" s="3">
        <f ca="1">IF(Tabla1[[#This Row],[FALLECIDO_COD]]=0,TODAY()-Tabla1[[#This Row],[FECHA_TRASPLANTE]],Tabla1[[#This Row],[FECHA DE DEFUNCIÓN]]-Tabla1[[#This Row],[FECHA_TRASPLANTE]])/30.4375</f>
        <v>41.330595482546201</v>
      </c>
      <c r="BX157" s="3">
        <f ca="1">IF(Tabla1[[#This Row],[FALLECIDO_COD]]=0,TODAY()-Tabla1[[#This Row],[FECHA_TRASPLANTE]],Tabla1[[#This Row],[FECHA DE DEFUNCIÓN]]-Tabla1[[#This Row],[FECHA_TRASPLANTE]])/365.25</f>
        <v>3.4442162902121836</v>
      </c>
      <c r="BY157"/>
      <c r="BZ157"/>
    </row>
    <row r="158" spans="1:78" hidden="1" x14ac:dyDescent="0.35">
      <c r="A158" t="s">
        <v>377</v>
      </c>
      <c r="D158" t="s">
        <v>1129</v>
      </c>
      <c r="E158" t="s">
        <v>375</v>
      </c>
      <c r="I158">
        <v>117.87234042553192</v>
      </c>
      <c r="J158" t="s">
        <v>1399</v>
      </c>
      <c r="K158" t="s">
        <v>1400</v>
      </c>
      <c r="L158" t="s">
        <v>237</v>
      </c>
      <c r="M158" t="s">
        <v>167</v>
      </c>
      <c r="N158" s="11">
        <v>501700083</v>
      </c>
      <c r="O158" s="2">
        <v>42935</v>
      </c>
      <c r="P158" t="s">
        <v>81</v>
      </c>
      <c r="Q158" s="2">
        <v>21092</v>
      </c>
      <c r="R158" s="3">
        <f>(Tabla1[[#This Row],[FECHA_TRASPLANTE]]-Tabla1[[#This Row],[FECHA_NAC]])/365.25</f>
        <v>59.802874743326491</v>
      </c>
      <c r="T158"/>
      <c r="W158" t="s">
        <v>82</v>
      </c>
      <c r="X158" t="s">
        <v>1401</v>
      </c>
      <c r="AM158" t="s">
        <v>86</v>
      </c>
      <c r="AN158" s="2">
        <v>45301</v>
      </c>
      <c r="AO158"/>
      <c r="AV158" s="2"/>
      <c r="AZ158"/>
      <c r="BT158" s="2">
        <f>Tabla1[[#This Row],[FECHA_TRASPLANTE]]</f>
        <v>42935</v>
      </c>
      <c r="BU158">
        <f>IF(Tabla1[[#This Row],[FALLECIDO SI/NO]]="NO",0,1)</f>
        <v>1</v>
      </c>
      <c r="BV158" s="3">
        <f ca="1">IF(Tabla1[[#This Row],[FALLECIDO_COD]]=0,TODAY()-Tabla1[[#This Row],[FECHA_TRASPLANTE]],Tabla1[[#This Row],[FECHA DE DEFUNCIÓN]]-Tabla1[[#This Row],[FECHA_TRASPLANTE]])</f>
        <v>2366</v>
      </c>
      <c r="BW158" s="3">
        <f ca="1">IF(Tabla1[[#This Row],[FALLECIDO_COD]]=0,TODAY()-Tabla1[[#This Row],[FECHA_TRASPLANTE]],Tabla1[[#This Row],[FECHA DE DEFUNCIÓN]]-Tabla1[[#This Row],[FECHA_TRASPLANTE]])/30.4375</f>
        <v>77.733059548254616</v>
      </c>
      <c r="BX158" s="3">
        <f ca="1">IF(Tabla1[[#This Row],[FALLECIDO_COD]]=0,TODAY()-Tabla1[[#This Row],[FECHA_TRASPLANTE]],Tabla1[[#This Row],[FECHA DE DEFUNCIÓN]]-Tabla1[[#This Row],[FECHA_TRASPLANTE]])/365.25</f>
        <v>6.4777549623545516</v>
      </c>
      <c r="BY158"/>
      <c r="BZ158"/>
    </row>
    <row r="159" spans="1:78" hidden="1" x14ac:dyDescent="0.35">
      <c r="A159" t="s">
        <v>377</v>
      </c>
      <c r="D159" t="s">
        <v>1129</v>
      </c>
      <c r="E159" t="s">
        <v>375</v>
      </c>
      <c r="I159">
        <v>117.89155799588195</v>
      </c>
      <c r="K159" t="s">
        <v>1402</v>
      </c>
      <c r="L159" t="s">
        <v>274</v>
      </c>
      <c r="M159" t="s">
        <v>479</v>
      </c>
      <c r="N159" s="11">
        <v>502470310</v>
      </c>
      <c r="O159" s="2">
        <v>42942</v>
      </c>
      <c r="P159" t="s">
        <v>81</v>
      </c>
      <c r="Q159" s="2">
        <v>25018</v>
      </c>
      <c r="R159" s="3">
        <f>(Tabla1[[#This Row],[FECHA_TRASPLANTE]]-Tabla1[[#This Row],[FECHA_NAC]])/365.25</f>
        <v>49.073237508555785</v>
      </c>
      <c r="T159"/>
      <c r="W159" t="s">
        <v>82</v>
      </c>
      <c r="X159" t="s">
        <v>125</v>
      </c>
      <c r="Y159" t="s">
        <v>1186</v>
      </c>
      <c r="Z159" t="s">
        <v>1186</v>
      </c>
      <c r="AM159" t="s">
        <v>86</v>
      </c>
      <c r="AN159" s="2">
        <v>44957</v>
      </c>
      <c r="AO159"/>
      <c r="AV159" s="2"/>
      <c r="AZ159"/>
      <c r="BT159" s="2">
        <f>Tabla1[[#This Row],[FECHA_TRASPLANTE]]</f>
        <v>42942</v>
      </c>
      <c r="BU159">
        <f>IF(Tabla1[[#This Row],[FALLECIDO SI/NO]]="NO",0,1)</f>
        <v>1</v>
      </c>
      <c r="BV159" s="3">
        <f ca="1">IF(Tabla1[[#This Row],[FALLECIDO_COD]]=0,TODAY()-Tabla1[[#This Row],[FECHA_TRASPLANTE]],Tabla1[[#This Row],[FECHA DE DEFUNCIÓN]]-Tabla1[[#This Row],[FECHA_TRASPLANTE]])</f>
        <v>2015</v>
      </c>
      <c r="BW159" s="3">
        <f ca="1">IF(Tabla1[[#This Row],[FALLECIDO_COD]]=0,TODAY()-Tabla1[[#This Row],[FECHA_TRASPLANTE]],Tabla1[[#This Row],[FECHA DE DEFUNCIÓN]]-Tabla1[[#This Row],[FECHA_TRASPLANTE]])/30.4375</f>
        <v>66.201232032854207</v>
      </c>
      <c r="BX159" s="3">
        <f ca="1">IF(Tabla1[[#This Row],[FALLECIDO_COD]]=0,TODAY()-Tabla1[[#This Row],[FECHA_TRASPLANTE]],Tabla1[[#This Row],[FECHA DE DEFUNCIÓN]]-Tabla1[[#This Row],[FECHA_TRASPLANTE]])/365.25</f>
        <v>5.5167693360711842</v>
      </c>
      <c r="BY159"/>
      <c r="BZ159"/>
    </row>
    <row r="160" spans="1:78" hidden="1" x14ac:dyDescent="0.35">
      <c r="A160" t="s">
        <v>1125</v>
      </c>
      <c r="D160" t="s">
        <v>1129</v>
      </c>
      <c r="E160" t="s">
        <v>375</v>
      </c>
      <c r="I160">
        <v>117.56878850102669</v>
      </c>
      <c r="J160" t="s">
        <v>1346</v>
      </c>
      <c r="K160" t="s">
        <v>1403</v>
      </c>
      <c r="L160" t="s">
        <v>425</v>
      </c>
      <c r="M160" t="s">
        <v>425</v>
      </c>
      <c r="N160" s="11">
        <v>114260179</v>
      </c>
      <c r="O160" s="2">
        <v>42942</v>
      </c>
      <c r="R160" s="3">
        <f>(Tabla1[[#This Row],[FECHA_TRASPLANTE]]-Tabla1[[#This Row],[FECHA_NAC]])/365.25</f>
        <v>117.56878850102669</v>
      </c>
      <c r="T160"/>
      <c r="U160" t="s">
        <v>1348</v>
      </c>
      <c r="W160" t="s">
        <v>82</v>
      </c>
      <c r="AM160" t="s">
        <v>106</v>
      </c>
      <c r="AO160"/>
      <c r="AV160" s="2"/>
      <c r="AZ160"/>
      <c r="BT160" s="2">
        <f>Tabla1[[#This Row],[FECHA_TRASPLANTE]]</f>
        <v>42942</v>
      </c>
      <c r="BU160">
        <f>IF(Tabla1[[#This Row],[FALLECIDO SI/NO]]="NO",0,1)</f>
        <v>0</v>
      </c>
      <c r="BV160" s="3">
        <f ca="1">IF(Tabla1[[#This Row],[FALLECIDO_COD]]=0,TODAY()-Tabla1[[#This Row],[FECHA_TRASPLANTE]],Tabla1[[#This Row],[FECHA DE DEFUNCIÓN]]-Tabla1[[#This Row],[FECHA_TRASPLANTE]])</f>
        <v>2933</v>
      </c>
      <c r="BW160" s="3">
        <f ca="1">IF(Tabla1[[#This Row],[FALLECIDO_COD]]=0,TODAY()-Tabla1[[#This Row],[FECHA_TRASPLANTE]],Tabla1[[#This Row],[FECHA DE DEFUNCIÓN]]-Tabla1[[#This Row],[FECHA_TRASPLANTE]])/30.4375</f>
        <v>96.361396303901444</v>
      </c>
      <c r="BX160" s="3">
        <f ca="1">IF(Tabla1[[#This Row],[FALLECIDO_COD]]=0,TODAY()-Tabla1[[#This Row],[FECHA_TRASPLANTE]],Tabla1[[#This Row],[FECHA DE DEFUNCIÓN]]-Tabla1[[#This Row],[FECHA_TRASPLANTE]])/365.25</f>
        <v>8.0301163586584536</v>
      </c>
      <c r="BY160"/>
      <c r="BZ160"/>
    </row>
    <row r="161" spans="1:78" hidden="1" x14ac:dyDescent="0.35">
      <c r="A161" t="s">
        <v>377</v>
      </c>
      <c r="D161" t="s">
        <v>1129</v>
      </c>
      <c r="E161" t="s">
        <v>375</v>
      </c>
      <c r="I161">
        <v>117.91352093342485</v>
      </c>
      <c r="J161" t="s">
        <v>1404</v>
      </c>
      <c r="K161" t="s">
        <v>1405</v>
      </c>
      <c r="L161" t="s">
        <v>526</v>
      </c>
      <c r="M161" t="s">
        <v>496</v>
      </c>
      <c r="N161" s="11">
        <v>501650475</v>
      </c>
      <c r="O161" s="2">
        <v>42950</v>
      </c>
      <c r="P161" t="s">
        <v>90</v>
      </c>
      <c r="Q161" s="2">
        <v>20814</v>
      </c>
      <c r="R161" s="3">
        <f>(Tabla1[[#This Row],[FECHA_TRASPLANTE]]-Tabla1[[#This Row],[FECHA_NAC]])/365.25</f>
        <v>60.605065023956193</v>
      </c>
      <c r="T161"/>
      <c r="W161" t="s">
        <v>82</v>
      </c>
      <c r="X161" t="s">
        <v>115</v>
      </c>
      <c r="Y161" t="s">
        <v>84</v>
      </c>
      <c r="Z161" t="s">
        <v>115</v>
      </c>
      <c r="AM161" t="s">
        <v>106</v>
      </c>
      <c r="AO161"/>
      <c r="AV161" s="2"/>
      <c r="AZ161"/>
      <c r="BT161" s="2">
        <f>Tabla1[[#This Row],[FECHA_TRASPLANTE]]</f>
        <v>42950</v>
      </c>
      <c r="BU161">
        <f>IF(Tabla1[[#This Row],[FALLECIDO SI/NO]]="NO",0,1)</f>
        <v>0</v>
      </c>
      <c r="BV161" s="3">
        <f ca="1">IF(Tabla1[[#This Row],[FALLECIDO_COD]]=0,TODAY()-Tabla1[[#This Row],[FECHA_TRASPLANTE]],Tabla1[[#This Row],[FECHA DE DEFUNCIÓN]]-Tabla1[[#This Row],[FECHA_TRASPLANTE]])</f>
        <v>2925</v>
      </c>
      <c r="BW161" s="3">
        <f ca="1">IF(Tabla1[[#This Row],[FALLECIDO_COD]]=0,TODAY()-Tabla1[[#This Row],[FECHA_TRASPLANTE]],Tabla1[[#This Row],[FECHA DE DEFUNCIÓN]]-Tabla1[[#This Row],[FECHA_TRASPLANTE]])/30.4375</f>
        <v>96.098562628336751</v>
      </c>
      <c r="BX161" s="3">
        <f ca="1">IF(Tabla1[[#This Row],[FALLECIDO_COD]]=0,TODAY()-Tabla1[[#This Row],[FECHA_TRASPLANTE]],Tabla1[[#This Row],[FECHA DE DEFUNCIÓN]]-Tabla1[[#This Row],[FECHA_TRASPLANTE]])/365.25</f>
        <v>8.0082135523613971</v>
      </c>
      <c r="BY161"/>
      <c r="BZ161"/>
    </row>
    <row r="162" spans="1:78" hidden="1" x14ac:dyDescent="0.35">
      <c r="A162" t="s">
        <v>377</v>
      </c>
      <c r="D162" t="s">
        <v>1129</v>
      </c>
      <c r="E162" t="s">
        <v>77</v>
      </c>
      <c r="I162">
        <v>117.9245024021963</v>
      </c>
      <c r="K162" t="s">
        <v>1406</v>
      </c>
      <c r="L162" t="s">
        <v>1321</v>
      </c>
      <c r="M162" t="s">
        <v>98</v>
      </c>
      <c r="N162" s="11">
        <v>204560965</v>
      </c>
      <c r="O162" s="2">
        <v>42954</v>
      </c>
      <c r="P162" t="s">
        <v>81</v>
      </c>
      <c r="Q162" s="2">
        <v>25609</v>
      </c>
      <c r="R162" s="3">
        <f>(Tabla1[[#This Row],[FECHA_TRASPLANTE]]-Tabla1[[#This Row],[FECHA_NAC]])/365.25</f>
        <v>47.488021902806295</v>
      </c>
      <c r="T162"/>
      <c r="W162" t="s">
        <v>82</v>
      </c>
      <c r="X162" t="s">
        <v>1407</v>
      </c>
      <c r="AM162" t="s">
        <v>106</v>
      </c>
      <c r="AO162"/>
      <c r="AV162" s="2"/>
      <c r="AZ162"/>
      <c r="BT162" s="2">
        <f>Tabla1[[#This Row],[FECHA_TRASPLANTE]]</f>
        <v>42954</v>
      </c>
      <c r="BU162">
        <f>IF(Tabla1[[#This Row],[FALLECIDO SI/NO]]="NO",0,1)</f>
        <v>0</v>
      </c>
      <c r="BV162" s="3">
        <f ca="1">IF(Tabla1[[#This Row],[FALLECIDO_COD]]=0,TODAY()-Tabla1[[#This Row],[FECHA_TRASPLANTE]],Tabla1[[#This Row],[FECHA DE DEFUNCIÓN]]-Tabla1[[#This Row],[FECHA_TRASPLANTE]])</f>
        <v>2921</v>
      </c>
      <c r="BW162" s="3">
        <f ca="1">IF(Tabla1[[#This Row],[FALLECIDO_COD]]=0,TODAY()-Tabla1[[#This Row],[FECHA_TRASPLANTE]],Tabla1[[#This Row],[FECHA DE DEFUNCIÓN]]-Tabla1[[#This Row],[FECHA_TRASPLANTE]])/30.4375</f>
        <v>95.967145790554412</v>
      </c>
      <c r="BX162" s="3">
        <f ca="1">IF(Tabla1[[#This Row],[FALLECIDO_COD]]=0,TODAY()-Tabla1[[#This Row],[FECHA_TRASPLANTE]],Tabla1[[#This Row],[FECHA DE DEFUNCIÓN]]-Tabla1[[#This Row],[FECHA_TRASPLANTE]])/365.25</f>
        <v>7.9972621492128679</v>
      </c>
      <c r="BY162"/>
      <c r="BZ162"/>
    </row>
    <row r="163" spans="1:78" hidden="1" x14ac:dyDescent="0.35">
      <c r="A163" t="s">
        <v>377</v>
      </c>
      <c r="D163" t="s">
        <v>1129</v>
      </c>
      <c r="E163" t="s">
        <v>77</v>
      </c>
      <c r="I163">
        <v>117.9245024021963</v>
      </c>
      <c r="K163" t="s">
        <v>1408</v>
      </c>
      <c r="L163" t="s">
        <v>144</v>
      </c>
      <c r="M163" t="s">
        <v>470</v>
      </c>
      <c r="N163" s="11">
        <v>502980382</v>
      </c>
      <c r="O163" s="2">
        <v>42954</v>
      </c>
      <c r="P163" t="s">
        <v>81</v>
      </c>
      <c r="Q163" s="2">
        <v>28210</v>
      </c>
      <c r="R163" s="3">
        <f>(Tabla1[[#This Row],[FECHA_TRASPLANTE]]-Tabla1[[#This Row],[FECHA_NAC]])/365.25</f>
        <v>40.366872005475699</v>
      </c>
      <c r="T163"/>
      <c r="W163" t="s">
        <v>82</v>
      </c>
      <c r="X163" t="s">
        <v>125</v>
      </c>
      <c r="Y163" t="s">
        <v>1300</v>
      </c>
      <c r="Z163" t="s">
        <v>1300</v>
      </c>
      <c r="AM163" t="s">
        <v>106</v>
      </c>
      <c r="AO163"/>
      <c r="AV163" s="2"/>
      <c r="AZ163"/>
      <c r="BT163" s="2">
        <f>Tabla1[[#This Row],[FECHA_TRASPLANTE]]</f>
        <v>42954</v>
      </c>
      <c r="BU163">
        <f>IF(Tabla1[[#This Row],[FALLECIDO SI/NO]]="NO",0,1)</f>
        <v>0</v>
      </c>
      <c r="BV163" s="3">
        <f ca="1">IF(Tabla1[[#This Row],[FALLECIDO_COD]]=0,TODAY()-Tabla1[[#This Row],[FECHA_TRASPLANTE]],Tabla1[[#This Row],[FECHA DE DEFUNCIÓN]]-Tabla1[[#This Row],[FECHA_TRASPLANTE]])</f>
        <v>2921</v>
      </c>
      <c r="BW163" s="3">
        <f ca="1">IF(Tabla1[[#This Row],[FALLECIDO_COD]]=0,TODAY()-Tabla1[[#This Row],[FECHA_TRASPLANTE]],Tabla1[[#This Row],[FECHA DE DEFUNCIÓN]]-Tabla1[[#This Row],[FECHA_TRASPLANTE]])/30.4375</f>
        <v>95.967145790554412</v>
      </c>
      <c r="BX163" s="3">
        <f ca="1">IF(Tabla1[[#This Row],[FALLECIDO_COD]]=0,TODAY()-Tabla1[[#This Row],[FECHA_TRASPLANTE]],Tabla1[[#This Row],[FECHA DE DEFUNCIÓN]]-Tabla1[[#This Row],[FECHA_TRASPLANTE]])/365.25</f>
        <v>7.9972621492128679</v>
      </c>
      <c r="BY163"/>
      <c r="BZ163"/>
    </row>
    <row r="164" spans="1:78" hidden="1" x14ac:dyDescent="0.35">
      <c r="A164" t="s">
        <v>377</v>
      </c>
      <c r="D164" t="s">
        <v>1129</v>
      </c>
      <c r="E164" t="s">
        <v>375</v>
      </c>
      <c r="I164">
        <v>117.92999313658201</v>
      </c>
      <c r="J164" t="s">
        <v>1139</v>
      </c>
      <c r="K164" t="s">
        <v>1409</v>
      </c>
      <c r="L164" t="s">
        <v>94</v>
      </c>
      <c r="M164" t="s">
        <v>155</v>
      </c>
      <c r="N164" s="11">
        <v>206240810</v>
      </c>
      <c r="O164" s="2">
        <v>42956</v>
      </c>
      <c r="P164" t="s">
        <v>81</v>
      </c>
      <c r="Q164" s="2">
        <v>31674</v>
      </c>
      <c r="R164" s="3">
        <f>(Tabla1[[#This Row],[FECHA_TRASPLANTE]]-Tabla1[[#This Row],[FECHA_NAC]])/365.25</f>
        <v>30.888432580424368</v>
      </c>
      <c r="T164"/>
      <c r="W164" t="s">
        <v>82</v>
      </c>
      <c r="X164" t="s">
        <v>115</v>
      </c>
      <c r="Y164" t="s">
        <v>84</v>
      </c>
      <c r="Z164" t="s">
        <v>1410</v>
      </c>
      <c r="AM164" t="s">
        <v>106</v>
      </c>
      <c r="AO164"/>
      <c r="AV164" s="2"/>
      <c r="AZ164"/>
      <c r="BT164" s="2">
        <f>Tabla1[[#This Row],[FECHA_TRASPLANTE]]</f>
        <v>42956</v>
      </c>
      <c r="BU164">
        <f>IF(Tabla1[[#This Row],[FALLECIDO SI/NO]]="NO",0,1)</f>
        <v>0</v>
      </c>
      <c r="BV164" s="3">
        <f ca="1">IF(Tabla1[[#This Row],[FALLECIDO_COD]]=0,TODAY()-Tabla1[[#This Row],[FECHA_TRASPLANTE]],Tabla1[[#This Row],[FECHA DE DEFUNCIÓN]]-Tabla1[[#This Row],[FECHA_TRASPLANTE]])</f>
        <v>2919</v>
      </c>
      <c r="BW164" s="3">
        <f ca="1">IF(Tabla1[[#This Row],[FALLECIDO_COD]]=0,TODAY()-Tabla1[[#This Row],[FECHA_TRASPLANTE]],Tabla1[[#This Row],[FECHA DE DEFUNCIÓN]]-Tabla1[[#This Row],[FECHA_TRASPLANTE]])/30.4375</f>
        <v>95.901437371663249</v>
      </c>
      <c r="BX164" s="3">
        <f ca="1">IF(Tabla1[[#This Row],[FALLECIDO_COD]]=0,TODAY()-Tabla1[[#This Row],[FECHA_TRASPLANTE]],Tabla1[[#This Row],[FECHA DE DEFUNCIÓN]]-Tabla1[[#This Row],[FECHA_TRASPLANTE]])/365.25</f>
        <v>7.9917864476386038</v>
      </c>
      <c r="BY164"/>
      <c r="BZ164"/>
    </row>
    <row r="165" spans="1:78" hidden="1" x14ac:dyDescent="0.35">
      <c r="A165" t="s">
        <v>1125</v>
      </c>
      <c r="D165" t="s">
        <v>1129</v>
      </c>
      <c r="E165" t="s">
        <v>77</v>
      </c>
      <c r="I165">
        <v>117.6208076659822</v>
      </c>
      <c r="J165" t="s">
        <v>1334</v>
      </c>
      <c r="K165" t="s">
        <v>463</v>
      </c>
      <c r="L165" t="s">
        <v>1147</v>
      </c>
      <c r="M165" t="s">
        <v>1411</v>
      </c>
      <c r="N165" s="11">
        <v>117910918</v>
      </c>
      <c r="O165" s="2">
        <v>42961</v>
      </c>
      <c r="R165" s="3">
        <f>(Tabla1[[#This Row],[FECHA_TRASPLANTE]]-Tabla1[[#This Row],[FECHA_NAC]])/365.25</f>
        <v>117.6208076659822</v>
      </c>
      <c r="T165"/>
      <c r="U165" t="s">
        <v>1348</v>
      </c>
      <c r="W165" t="s">
        <v>82</v>
      </c>
      <c r="X165" t="s">
        <v>91</v>
      </c>
      <c r="Y165" t="s">
        <v>84</v>
      </c>
      <c r="Z165" t="s">
        <v>457</v>
      </c>
      <c r="AM165" t="s">
        <v>86</v>
      </c>
      <c r="AN165" s="2">
        <v>44860</v>
      </c>
      <c r="AO165"/>
      <c r="AV165" s="2"/>
      <c r="AZ165"/>
      <c r="BT165" s="2">
        <f>Tabla1[[#This Row],[FECHA_TRASPLANTE]]</f>
        <v>42961</v>
      </c>
      <c r="BU165">
        <f>IF(Tabla1[[#This Row],[FALLECIDO SI/NO]]="NO",0,1)</f>
        <v>1</v>
      </c>
      <c r="BV165" s="3">
        <f ca="1">IF(Tabla1[[#This Row],[FALLECIDO_COD]]=0,TODAY()-Tabla1[[#This Row],[FECHA_TRASPLANTE]],Tabla1[[#This Row],[FECHA DE DEFUNCIÓN]]-Tabla1[[#This Row],[FECHA_TRASPLANTE]])</f>
        <v>1899</v>
      </c>
      <c r="BW165" s="3">
        <f ca="1">IF(Tabla1[[#This Row],[FALLECIDO_COD]]=0,TODAY()-Tabla1[[#This Row],[FECHA_TRASPLANTE]],Tabla1[[#This Row],[FECHA DE DEFUNCIÓN]]-Tabla1[[#This Row],[FECHA_TRASPLANTE]])/30.4375</f>
        <v>62.390143737166326</v>
      </c>
      <c r="BX165" s="3">
        <f ca="1">IF(Tabla1[[#This Row],[FALLECIDO_COD]]=0,TODAY()-Tabla1[[#This Row],[FECHA_TRASPLANTE]],Tabla1[[#This Row],[FECHA DE DEFUNCIÓN]]-Tabla1[[#This Row],[FECHA_TRASPLANTE]])/365.25</f>
        <v>5.1991786447638599</v>
      </c>
      <c r="BY165"/>
      <c r="BZ165"/>
    </row>
    <row r="166" spans="1:78" hidden="1" x14ac:dyDescent="0.35">
      <c r="A166" t="s">
        <v>376</v>
      </c>
      <c r="B166" t="s">
        <v>376</v>
      </c>
      <c r="D166" t="s">
        <v>1129</v>
      </c>
      <c r="E166" t="s">
        <v>77</v>
      </c>
      <c r="I166">
        <v>117.94646533973919</v>
      </c>
      <c r="K166" t="s">
        <v>1412</v>
      </c>
      <c r="L166" t="s">
        <v>385</v>
      </c>
      <c r="M166" t="s">
        <v>605</v>
      </c>
      <c r="N166" s="11">
        <v>305910926</v>
      </c>
      <c r="O166" s="2">
        <v>42962</v>
      </c>
      <c r="P166" t="s">
        <v>81</v>
      </c>
      <c r="Q166" s="2">
        <v>40208</v>
      </c>
      <c r="R166" s="3">
        <f>(Tabla1[[#This Row],[FECHA_TRASPLANTE]]-Tabla1[[#This Row],[FECHA_NAC]])/365.25</f>
        <v>7.5400410677618073</v>
      </c>
      <c r="T166"/>
      <c r="W166" t="s">
        <v>82</v>
      </c>
      <c r="AM166" t="s">
        <v>106</v>
      </c>
      <c r="AO166"/>
      <c r="AV166" s="2"/>
      <c r="AZ166"/>
      <c r="BT166" s="2">
        <f>Tabla1[[#This Row],[FECHA_TRASPLANTE]]</f>
        <v>42962</v>
      </c>
      <c r="BU166">
        <f>IF(Tabla1[[#This Row],[FALLECIDO SI/NO]]="NO",0,1)</f>
        <v>0</v>
      </c>
      <c r="BV166" s="3">
        <f ca="1">IF(Tabla1[[#This Row],[FALLECIDO_COD]]=0,TODAY()-Tabla1[[#This Row],[FECHA_TRASPLANTE]],Tabla1[[#This Row],[FECHA DE DEFUNCIÓN]]-Tabla1[[#This Row],[FECHA_TRASPLANTE]])</f>
        <v>2913</v>
      </c>
      <c r="BW166" s="3">
        <f ca="1">IF(Tabla1[[#This Row],[FALLECIDO_COD]]=0,TODAY()-Tabla1[[#This Row],[FECHA_TRASPLANTE]],Tabla1[[#This Row],[FECHA DE DEFUNCIÓN]]-Tabla1[[#This Row],[FECHA_TRASPLANTE]])/30.4375</f>
        <v>95.704312114989733</v>
      </c>
      <c r="BX166" s="3">
        <f ca="1">IF(Tabla1[[#This Row],[FALLECIDO_COD]]=0,TODAY()-Tabla1[[#This Row],[FECHA_TRASPLANTE]],Tabla1[[#This Row],[FECHA DE DEFUNCIÓN]]-Tabla1[[#This Row],[FECHA_TRASPLANTE]])/365.25</f>
        <v>7.9753593429158114</v>
      </c>
      <c r="BY166"/>
      <c r="BZ166"/>
    </row>
    <row r="167" spans="1:78" hidden="1" x14ac:dyDescent="0.35">
      <c r="A167" t="s">
        <v>377</v>
      </c>
      <c r="D167" t="s">
        <v>1129</v>
      </c>
      <c r="E167" t="s">
        <v>77</v>
      </c>
      <c r="I167">
        <v>117.96293754289636</v>
      </c>
      <c r="K167" t="s">
        <v>1146</v>
      </c>
      <c r="L167" t="s">
        <v>1413</v>
      </c>
      <c r="M167" t="s">
        <v>132</v>
      </c>
      <c r="N167" s="11">
        <v>205340022</v>
      </c>
      <c r="O167" s="2">
        <v>42968</v>
      </c>
      <c r="P167" t="s">
        <v>81</v>
      </c>
      <c r="Q167" s="2">
        <v>28784</v>
      </c>
      <c r="R167" s="3">
        <f>(Tabla1[[#This Row],[FECHA_TRASPLANTE]]-Tabla1[[#This Row],[FECHA_NAC]])/365.25</f>
        <v>38.833675564681727</v>
      </c>
      <c r="T167"/>
      <c r="W167" t="s">
        <v>82</v>
      </c>
      <c r="X167" t="s">
        <v>115</v>
      </c>
      <c r="Y167" t="s">
        <v>172</v>
      </c>
      <c r="Z167" t="s">
        <v>173</v>
      </c>
      <c r="AM167" t="s">
        <v>86</v>
      </c>
      <c r="AN167" s="2">
        <v>44258</v>
      </c>
      <c r="AO167"/>
      <c r="AV167" s="2"/>
      <c r="AZ167"/>
      <c r="BT167" s="2">
        <f>Tabla1[[#This Row],[FECHA_TRASPLANTE]]</f>
        <v>42968</v>
      </c>
      <c r="BU167">
        <f>IF(Tabla1[[#This Row],[FALLECIDO SI/NO]]="NO",0,1)</f>
        <v>1</v>
      </c>
      <c r="BV167" s="3">
        <f ca="1">IF(Tabla1[[#This Row],[FALLECIDO_COD]]=0,TODAY()-Tabla1[[#This Row],[FECHA_TRASPLANTE]],Tabla1[[#This Row],[FECHA DE DEFUNCIÓN]]-Tabla1[[#This Row],[FECHA_TRASPLANTE]])</f>
        <v>1290</v>
      </c>
      <c r="BW167" s="3">
        <f ca="1">IF(Tabla1[[#This Row],[FALLECIDO_COD]]=0,TODAY()-Tabla1[[#This Row],[FECHA_TRASPLANTE]],Tabla1[[#This Row],[FECHA DE DEFUNCIÓN]]-Tabla1[[#This Row],[FECHA_TRASPLANTE]])/30.4375</f>
        <v>42.381930184804929</v>
      </c>
      <c r="BX167" s="3">
        <f ca="1">IF(Tabla1[[#This Row],[FALLECIDO_COD]]=0,TODAY()-Tabla1[[#This Row],[FECHA_TRASPLANTE]],Tabla1[[#This Row],[FECHA DE DEFUNCIÓN]]-Tabla1[[#This Row],[FECHA_TRASPLANTE]])/365.25</f>
        <v>3.5318275154004106</v>
      </c>
      <c r="BY167"/>
      <c r="BZ167"/>
    </row>
    <row r="168" spans="1:78" hidden="1" x14ac:dyDescent="0.35">
      <c r="A168" t="s">
        <v>75</v>
      </c>
      <c r="D168" t="s">
        <v>1129</v>
      </c>
      <c r="E168" t="s">
        <v>77</v>
      </c>
      <c r="I168">
        <v>117.96293754289636</v>
      </c>
      <c r="K168" t="s">
        <v>1414</v>
      </c>
      <c r="L168" t="s">
        <v>167</v>
      </c>
      <c r="M168" t="s">
        <v>237</v>
      </c>
      <c r="N168" s="11">
        <v>302220965</v>
      </c>
      <c r="O168" s="16">
        <v>42968</v>
      </c>
      <c r="P168" t="s">
        <v>81</v>
      </c>
      <c r="Q168" s="2">
        <v>21182</v>
      </c>
      <c r="R168" s="3">
        <f>(Tabla1[[#This Row],[FECHA_TRASPLANTE]]-Tabla1[[#This Row],[FECHA_NAC]])/365.25</f>
        <v>59.646817248459961</v>
      </c>
      <c r="T168"/>
      <c r="W168" t="s">
        <v>82</v>
      </c>
      <c r="AM168" t="s">
        <v>86</v>
      </c>
      <c r="AN168" s="2">
        <v>42975</v>
      </c>
      <c r="AO168"/>
      <c r="AV168" s="2"/>
      <c r="AZ168"/>
      <c r="BJ168" s="2"/>
      <c r="BT168" s="2">
        <f>Tabla1[[#This Row],[FECHA_TRASPLANTE]]</f>
        <v>42968</v>
      </c>
      <c r="BU168">
        <f>IF(Tabla1[[#This Row],[FALLECIDO SI/NO]]="NO",0,1)</f>
        <v>1</v>
      </c>
      <c r="BV168" s="3">
        <f ca="1">IF(Tabla1[[#This Row],[FALLECIDO_COD]]=0,TODAY()-Tabla1[[#This Row],[FECHA_TRASPLANTE]],Tabla1[[#This Row],[FECHA DE DEFUNCIÓN]]-Tabla1[[#This Row],[FECHA_TRASPLANTE]])</f>
        <v>7</v>
      </c>
      <c r="BW168" s="3">
        <f ca="1">IF(Tabla1[[#This Row],[FALLECIDO_COD]]=0,TODAY()-Tabla1[[#This Row],[FECHA_TRASPLANTE]],Tabla1[[#This Row],[FECHA DE DEFUNCIÓN]]-Tabla1[[#This Row],[FECHA_TRASPLANTE]])/30.4375</f>
        <v>0.2299794661190965</v>
      </c>
      <c r="BX168" s="3">
        <f ca="1">IF(Tabla1[[#This Row],[FALLECIDO_COD]]=0,TODAY()-Tabla1[[#This Row],[FECHA_TRASPLANTE]],Tabla1[[#This Row],[FECHA DE DEFUNCIÓN]]-Tabla1[[#This Row],[FECHA_TRASPLANTE]])/365.25</f>
        <v>1.9164955509924708E-2</v>
      </c>
      <c r="BY168"/>
      <c r="BZ168"/>
    </row>
    <row r="169" spans="1:78" hidden="1" x14ac:dyDescent="0.35">
      <c r="A169" t="s">
        <v>377</v>
      </c>
      <c r="D169" t="s">
        <v>1129</v>
      </c>
      <c r="E169" t="s">
        <v>375</v>
      </c>
      <c r="I169">
        <v>117.96842827728209</v>
      </c>
      <c r="J169" t="s">
        <v>1202</v>
      </c>
      <c r="K169" t="s">
        <v>1415</v>
      </c>
      <c r="L169" t="s">
        <v>448</v>
      </c>
      <c r="M169" t="s">
        <v>1416</v>
      </c>
      <c r="N169" s="11">
        <v>900800738</v>
      </c>
      <c r="O169" s="2">
        <v>42970</v>
      </c>
      <c r="P169" t="s">
        <v>90</v>
      </c>
      <c r="Q169" s="2">
        <v>23032</v>
      </c>
      <c r="R169" s="3">
        <f>(Tabla1[[#This Row],[FECHA_TRASPLANTE]]-Tabla1[[#This Row],[FECHA_NAC]])/365.25</f>
        <v>54.587268993839835</v>
      </c>
      <c r="T169"/>
      <c r="W169" t="s">
        <v>82</v>
      </c>
      <c r="X169" t="s">
        <v>125</v>
      </c>
      <c r="Y169" t="s">
        <v>168</v>
      </c>
      <c r="Z169" t="s">
        <v>168</v>
      </c>
      <c r="AM169" t="s">
        <v>86</v>
      </c>
      <c r="AN169" s="2">
        <v>43796</v>
      </c>
      <c r="AO169"/>
      <c r="AV169" s="2"/>
      <c r="AZ169"/>
      <c r="BT169" s="2">
        <f>Tabla1[[#This Row],[FECHA_TRASPLANTE]]</f>
        <v>42970</v>
      </c>
      <c r="BU169">
        <f>IF(Tabla1[[#This Row],[FALLECIDO SI/NO]]="NO",0,1)</f>
        <v>1</v>
      </c>
      <c r="BV169" s="3">
        <f ca="1">IF(Tabla1[[#This Row],[FALLECIDO_COD]]=0,TODAY()-Tabla1[[#This Row],[FECHA_TRASPLANTE]],Tabla1[[#This Row],[FECHA DE DEFUNCIÓN]]-Tabla1[[#This Row],[FECHA_TRASPLANTE]])</f>
        <v>826</v>
      </c>
      <c r="BW169" s="3">
        <f ca="1">IF(Tabla1[[#This Row],[FALLECIDO_COD]]=0,TODAY()-Tabla1[[#This Row],[FECHA_TRASPLANTE]],Tabla1[[#This Row],[FECHA DE DEFUNCIÓN]]-Tabla1[[#This Row],[FECHA_TRASPLANTE]])/30.4375</f>
        <v>27.137577002053387</v>
      </c>
      <c r="BX169" s="3">
        <f ca="1">IF(Tabla1[[#This Row],[FALLECIDO_COD]]=0,TODAY()-Tabla1[[#This Row],[FECHA_TRASPLANTE]],Tabla1[[#This Row],[FECHA DE DEFUNCIÓN]]-Tabla1[[#This Row],[FECHA_TRASPLANTE]])/365.25</f>
        <v>2.2614647501711156</v>
      </c>
      <c r="BY169"/>
      <c r="BZ169"/>
    </row>
    <row r="170" spans="1:78" hidden="1" x14ac:dyDescent="0.35">
      <c r="A170" t="s">
        <v>1126</v>
      </c>
      <c r="D170" t="s">
        <v>1333</v>
      </c>
      <c r="E170" t="s">
        <v>77</v>
      </c>
      <c r="I170">
        <v>117.66735112936345</v>
      </c>
      <c r="J170" t="s">
        <v>1334</v>
      </c>
      <c r="N170" s="11">
        <v>114990721</v>
      </c>
      <c r="O170" s="2">
        <v>42978</v>
      </c>
      <c r="R170" s="3">
        <f>(Tabla1[[#This Row],[FECHA_TRASPLANTE]]-Tabla1[[#This Row],[FECHA_NAC]])/365.25</f>
        <v>117.66735112936345</v>
      </c>
      <c r="AM170" t="s">
        <v>86</v>
      </c>
      <c r="AN170" s="2">
        <v>43790</v>
      </c>
      <c r="AR170" s="2"/>
      <c r="AS170" s="2"/>
      <c r="AV170" s="2"/>
      <c r="AZ170"/>
      <c r="BT170" s="2">
        <f>Tabla1[[#This Row],[FECHA_TRASPLANTE]]</f>
        <v>42978</v>
      </c>
      <c r="BU170">
        <f>IF(Tabla1[[#This Row],[FALLECIDO SI/NO]]="NO",0,1)</f>
        <v>1</v>
      </c>
      <c r="BV170" s="3">
        <f ca="1">IF(Tabla1[[#This Row],[FALLECIDO_COD]]=0,TODAY()-Tabla1[[#This Row],[FECHA_TRASPLANTE]],Tabla1[[#This Row],[FECHA DE DEFUNCIÓN]]-Tabla1[[#This Row],[FECHA_TRASPLANTE]])</f>
        <v>812</v>
      </c>
      <c r="BW170" s="3">
        <f ca="1">IF(Tabla1[[#This Row],[FALLECIDO_COD]]=0,TODAY()-Tabla1[[#This Row],[FECHA_TRASPLANTE]],Tabla1[[#This Row],[FECHA DE DEFUNCIÓN]]-Tabla1[[#This Row],[FECHA_TRASPLANTE]])/30.4375</f>
        <v>26.677618069815196</v>
      </c>
      <c r="BX170" s="3">
        <f ca="1">IF(Tabla1[[#This Row],[FALLECIDO_COD]]=0,TODAY()-Tabla1[[#This Row],[FECHA_TRASPLANTE]],Tabla1[[#This Row],[FECHA DE DEFUNCIÓN]]-Tabla1[[#This Row],[FECHA_TRASPLANTE]])/365.25</f>
        <v>2.2231348391512662</v>
      </c>
      <c r="BY170"/>
      <c r="BZ170"/>
    </row>
    <row r="171" spans="1:78" hidden="1" x14ac:dyDescent="0.35">
      <c r="A171" t="s">
        <v>1126</v>
      </c>
      <c r="D171" t="s">
        <v>1333</v>
      </c>
      <c r="E171" t="s">
        <v>77</v>
      </c>
      <c r="I171">
        <v>117.66735112936345</v>
      </c>
      <c r="J171" t="s">
        <v>1334</v>
      </c>
      <c r="N171" s="11">
        <v>303180494</v>
      </c>
      <c r="O171" s="2">
        <v>42978</v>
      </c>
      <c r="R171" s="3">
        <f>(Tabla1[[#This Row],[FECHA_TRASPLANTE]]-Tabla1[[#This Row],[FECHA_NAC]])/365.25</f>
        <v>117.66735112936345</v>
      </c>
      <c r="AM171" t="s">
        <v>86</v>
      </c>
      <c r="AN171" s="2">
        <v>42979</v>
      </c>
      <c r="AR171" s="2"/>
      <c r="AS171" s="2"/>
      <c r="AV171" s="2"/>
      <c r="AZ171"/>
      <c r="BT171" s="2">
        <f>Tabla1[[#This Row],[FECHA_TRASPLANTE]]</f>
        <v>42978</v>
      </c>
      <c r="BU171">
        <f>IF(Tabla1[[#This Row],[FALLECIDO SI/NO]]="NO",0,1)</f>
        <v>1</v>
      </c>
      <c r="BV171" s="3">
        <f ca="1">IF(Tabla1[[#This Row],[FALLECIDO_COD]]=0,TODAY()-Tabla1[[#This Row],[FECHA_TRASPLANTE]],Tabla1[[#This Row],[FECHA DE DEFUNCIÓN]]-Tabla1[[#This Row],[FECHA_TRASPLANTE]])</f>
        <v>1</v>
      </c>
      <c r="BW171" s="3">
        <f ca="1">IF(Tabla1[[#This Row],[FALLECIDO_COD]]=0,TODAY()-Tabla1[[#This Row],[FECHA_TRASPLANTE]],Tabla1[[#This Row],[FECHA DE DEFUNCIÓN]]-Tabla1[[#This Row],[FECHA_TRASPLANTE]])/30.4375</f>
        <v>3.2854209445585217E-2</v>
      </c>
      <c r="BX171" s="3">
        <f ca="1">IF(Tabla1[[#This Row],[FALLECIDO_COD]]=0,TODAY()-Tabla1[[#This Row],[FECHA_TRASPLANTE]],Tabla1[[#This Row],[FECHA DE DEFUNCIÓN]]-Tabla1[[#This Row],[FECHA_TRASPLANTE]])/365.25</f>
        <v>2.7378507871321013E-3</v>
      </c>
      <c r="BY171"/>
      <c r="BZ171"/>
    </row>
    <row r="172" spans="1:78" hidden="1" x14ac:dyDescent="0.35">
      <c r="A172" t="s">
        <v>75</v>
      </c>
      <c r="D172" t="s">
        <v>1129</v>
      </c>
      <c r="E172" t="s">
        <v>77</v>
      </c>
      <c r="I172">
        <v>117.99313658201784</v>
      </c>
      <c r="K172" t="s">
        <v>1417</v>
      </c>
      <c r="L172" t="s">
        <v>514</v>
      </c>
      <c r="M172" t="s">
        <v>132</v>
      </c>
      <c r="N172" s="11">
        <v>700750082</v>
      </c>
      <c r="O172" s="16">
        <v>42979</v>
      </c>
      <c r="P172" t="s">
        <v>81</v>
      </c>
      <c r="Q172" s="2">
        <v>22946</v>
      </c>
      <c r="R172" s="3">
        <f>(Tabla1[[#This Row],[FECHA_TRASPLANTE]]-Tabla1[[#This Row],[FECHA_NAC]])/365.25</f>
        <v>54.847364818617386</v>
      </c>
      <c r="T172"/>
      <c r="W172" t="s">
        <v>82</v>
      </c>
      <c r="X172" t="s">
        <v>120</v>
      </c>
      <c r="Y172" t="s">
        <v>1269</v>
      </c>
      <c r="Z172" t="s">
        <v>1269</v>
      </c>
      <c r="AM172" t="s">
        <v>86</v>
      </c>
      <c r="AN172" s="2">
        <v>44509</v>
      </c>
      <c r="AO172"/>
      <c r="AV172" s="2"/>
      <c r="AZ172"/>
      <c r="BJ172" s="2"/>
      <c r="BT172" s="2">
        <f>Tabla1[[#This Row],[FECHA_TRASPLANTE]]</f>
        <v>42979</v>
      </c>
      <c r="BU172">
        <f>IF(Tabla1[[#This Row],[FALLECIDO SI/NO]]="NO",0,1)</f>
        <v>1</v>
      </c>
      <c r="BV172" s="3">
        <f ca="1">IF(Tabla1[[#This Row],[FALLECIDO_COD]]=0,TODAY()-Tabla1[[#This Row],[FECHA_TRASPLANTE]],Tabla1[[#This Row],[FECHA DE DEFUNCIÓN]]-Tabla1[[#This Row],[FECHA_TRASPLANTE]])</f>
        <v>1530</v>
      </c>
      <c r="BW172" s="3">
        <f ca="1">IF(Tabla1[[#This Row],[FALLECIDO_COD]]=0,TODAY()-Tabla1[[#This Row],[FECHA_TRASPLANTE]],Tabla1[[#This Row],[FECHA DE DEFUNCIÓN]]-Tabla1[[#This Row],[FECHA_TRASPLANTE]])/30.4375</f>
        <v>50.266940451745377</v>
      </c>
      <c r="BX172" s="3">
        <f ca="1">IF(Tabla1[[#This Row],[FALLECIDO_COD]]=0,TODAY()-Tabla1[[#This Row],[FECHA_TRASPLANTE]],Tabla1[[#This Row],[FECHA DE DEFUNCIÓN]]-Tabla1[[#This Row],[FECHA_TRASPLANTE]])/365.25</f>
        <v>4.1889117043121153</v>
      </c>
      <c r="BY172"/>
      <c r="BZ172"/>
    </row>
    <row r="173" spans="1:78" hidden="1" x14ac:dyDescent="0.35">
      <c r="A173" t="s">
        <v>75</v>
      </c>
      <c r="D173" t="s">
        <v>1129</v>
      </c>
      <c r="E173" t="s">
        <v>77</v>
      </c>
      <c r="I173">
        <v>117.99313658201784</v>
      </c>
      <c r="K173" t="s">
        <v>1418</v>
      </c>
      <c r="L173" t="s">
        <v>184</v>
      </c>
      <c r="M173" t="s">
        <v>132</v>
      </c>
      <c r="N173" s="11">
        <v>700940903</v>
      </c>
      <c r="O173" s="16">
        <v>42979</v>
      </c>
      <c r="P173" t="s">
        <v>90</v>
      </c>
      <c r="Q173" s="2">
        <v>25462</v>
      </c>
      <c r="R173" s="3">
        <f>(Tabla1[[#This Row],[FECHA_TRASPLANTE]]-Tabla1[[#This Row],[FECHA_NAC]])/365.25</f>
        <v>47.958932238193022</v>
      </c>
      <c r="T173"/>
      <c r="W173" t="s">
        <v>82</v>
      </c>
      <c r="AM173" t="s">
        <v>106</v>
      </c>
      <c r="AO173"/>
      <c r="AV173" s="2"/>
      <c r="AZ173"/>
      <c r="BJ173" s="2"/>
      <c r="BT173" s="2">
        <f>Tabla1[[#This Row],[FECHA_TRASPLANTE]]</f>
        <v>42979</v>
      </c>
      <c r="BU173">
        <f>IF(Tabla1[[#This Row],[FALLECIDO SI/NO]]="NO",0,1)</f>
        <v>0</v>
      </c>
      <c r="BV173" s="3">
        <f ca="1">IF(Tabla1[[#This Row],[FALLECIDO_COD]]=0,TODAY()-Tabla1[[#This Row],[FECHA_TRASPLANTE]],Tabla1[[#This Row],[FECHA DE DEFUNCIÓN]]-Tabla1[[#This Row],[FECHA_TRASPLANTE]])</f>
        <v>2896</v>
      </c>
      <c r="BW173" s="3">
        <f ca="1">IF(Tabla1[[#This Row],[FALLECIDO_COD]]=0,TODAY()-Tabla1[[#This Row],[FECHA_TRASPLANTE]],Tabla1[[#This Row],[FECHA DE DEFUNCIÓN]]-Tabla1[[#This Row],[FECHA_TRASPLANTE]])/30.4375</f>
        <v>95.145790554414788</v>
      </c>
      <c r="BX173" s="3">
        <f ca="1">IF(Tabla1[[#This Row],[FALLECIDO_COD]]=0,TODAY()-Tabla1[[#This Row],[FECHA_TRASPLANTE]],Tabla1[[#This Row],[FECHA DE DEFUNCIÓN]]-Tabla1[[#This Row],[FECHA_TRASPLANTE]])/365.25</f>
        <v>7.9288158795345653</v>
      </c>
      <c r="BY173"/>
      <c r="BZ173"/>
    </row>
    <row r="174" spans="1:78" hidden="1" x14ac:dyDescent="0.35">
      <c r="A174" t="s">
        <v>377</v>
      </c>
      <c r="D174" t="s">
        <v>1129</v>
      </c>
      <c r="E174" t="s">
        <v>77</v>
      </c>
      <c r="I174">
        <v>118.03706245710364</v>
      </c>
      <c r="K174" t="s">
        <v>1419</v>
      </c>
      <c r="L174" t="s">
        <v>149</v>
      </c>
      <c r="M174" t="s">
        <v>453</v>
      </c>
      <c r="N174" s="11">
        <v>401790249</v>
      </c>
      <c r="O174" s="2">
        <v>42995</v>
      </c>
      <c r="P174" t="s">
        <v>90</v>
      </c>
      <c r="Q174" s="2">
        <v>30241</v>
      </c>
      <c r="R174" s="3">
        <f>(Tabla1[[#This Row],[FECHA_TRASPLANTE]]-Tabla1[[#This Row],[FECHA_NAC]])/365.25</f>
        <v>34.918548939082818</v>
      </c>
      <c r="T174"/>
      <c r="W174" t="s">
        <v>82</v>
      </c>
      <c r="X174" t="s">
        <v>261</v>
      </c>
      <c r="Y174" t="s">
        <v>454</v>
      </c>
      <c r="Z174" t="s">
        <v>417</v>
      </c>
      <c r="AM174" t="s">
        <v>86</v>
      </c>
      <c r="AN174" s="2">
        <v>44930</v>
      </c>
      <c r="AO174"/>
      <c r="AV174" s="2"/>
      <c r="AZ174"/>
      <c r="BT174" s="2">
        <f>Tabla1[[#This Row],[FECHA_TRASPLANTE]]</f>
        <v>42995</v>
      </c>
      <c r="BU174">
        <f>IF(Tabla1[[#This Row],[FALLECIDO SI/NO]]="NO",0,1)</f>
        <v>1</v>
      </c>
      <c r="BV174" s="3">
        <f ca="1">IF(Tabla1[[#This Row],[FALLECIDO_COD]]=0,TODAY()-Tabla1[[#This Row],[FECHA_TRASPLANTE]],Tabla1[[#This Row],[FECHA DE DEFUNCIÓN]]-Tabla1[[#This Row],[FECHA_TRASPLANTE]])</f>
        <v>1935</v>
      </c>
      <c r="BW174" s="3">
        <f ca="1">IF(Tabla1[[#This Row],[FALLECIDO_COD]]=0,TODAY()-Tabla1[[#This Row],[FECHA_TRASPLANTE]],Tabla1[[#This Row],[FECHA DE DEFUNCIÓN]]-Tabla1[[#This Row],[FECHA_TRASPLANTE]])/30.4375</f>
        <v>63.572895277207394</v>
      </c>
      <c r="BX174" s="3">
        <f ca="1">IF(Tabla1[[#This Row],[FALLECIDO_COD]]=0,TODAY()-Tabla1[[#This Row],[FECHA_TRASPLANTE]],Tabla1[[#This Row],[FECHA DE DEFUNCIÓN]]-Tabla1[[#This Row],[FECHA_TRASPLANTE]])/365.25</f>
        <v>5.2977412731006162</v>
      </c>
      <c r="BY174"/>
      <c r="BZ174"/>
    </row>
    <row r="175" spans="1:78" hidden="1" x14ac:dyDescent="0.35">
      <c r="A175" t="s">
        <v>377</v>
      </c>
      <c r="D175" t="s">
        <v>1129</v>
      </c>
      <c r="E175" t="s">
        <v>77</v>
      </c>
      <c r="I175">
        <v>118.03706245710364</v>
      </c>
      <c r="K175" t="s">
        <v>1420</v>
      </c>
      <c r="L175" t="s">
        <v>1421</v>
      </c>
      <c r="M175" t="s">
        <v>1422</v>
      </c>
      <c r="N175" s="11">
        <v>1650101752</v>
      </c>
      <c r="O175" s="2">
        <v>42995</v>
      </c>
      <c r="P175" t="s">
        <v>81</v>
      </c>
      <c r="Q175" s="2">
        <v>23989</v>
      </c>
      <c r="R175" s="3">
        <f>(Tabla1[[#This Row],[FECHA_TRASPLANTE]]-Tabla1[[#This Row],[FECHA_NAC]])/365.25</f>
        <v>52.035592060232716</v>
      </c>
      <c r="T175"/>
      <c r="W175" t="s">
        <v>1423</v>
      </c>
      <c r="X175" t="s">
        <v>1424</v>
      </c>
      <c r="AM175" t="s">
        <v>106</v>
      </c>
      <c r="AO175"/>
      <c r="AV175" s="2"/>
      <c r="AZ175"/>
      <c r="BT175" s="2">
        <f>Tabla1[[#This Row],[FECHA_TRASPLANTE]]</f>
        <v>42995</v>
      </c>
      <c r="BU175">
        <f>IF(Tabla1[[#This Row],[FALLECIDO SI/NO]]="NO",0,1)</f>
        <v>0</v>
      </c>
      <c r="BV175" s="3">
        <f ca="1">IF(Tabla1[[#This Row],[FALLECIDO_COD]]=0,TODAY()-Tabla1[[#This Row],[FECHA_TRASPLANTE]],Tabla1[[#This Row],[FECHA DE DEFUNCIÓN]]-Tabla1[[#This Row],[FECHA_TRASPLANTE]])</f>
        <v>2880</v>
      </c>
      <c r="BW175" s="3">
        <f ca="1">IF(Tabla1[[#This Row],[FALLECIDO_COD]]=0,TODAY()-Tabla1[[#This Row],[FECHA_TRASPLANTE]],Tabla1[[#This Row],[FECHA DE DEFUNCIÓN]]-Tabla1[[#This Row],[FECHA_TRASPLANTE]])/30.4375</f>
        <v>94.620123203285416</v>
      </c>
      <c r="BX175" s="3">
        <f ca="1">IF(Tabla1[[#This Row],[FALLECIDO_COD]]=0,TODAY()-Tabla1[[#This Row],[FECHA_TRASPLANTE]],Tabla1[[#This Row],[FECHA DE DEFUNCIÓN]]-Tabla1[[#This Row],[FECHA_TRASPLANTE]])/365.25</f>
        <v>7.8850102669404514</v>
      </c>
      <c r="BY175"/>
      <c r="BZ175"/>
    </row>
    <row r="176" spans="1:78" hidden="1" x14ac:dyDescent="0.35">
      <c r="A176" t="s">
        <v>75</v>
      </c>
      <c r="D176" t="s">
        <v>1129</v>
      </c>
      <c r="E176" t="s">
        <v>77</v>
      </c>
      <c r="I176">
        <v>118.04255319148936</v>
      </c>
      <c r="K176" t="s">
        <v>1425</v>
      </c>
      <c r="L176" t="s">
        <v>1426</v>
      </c>
      <c r="M176" t="s">
        <v>108</v>
      </c>
      <c r="N176" s="11">
        <v>700350588</v>
      </c>
      <c r="O176" s="16">
        <v>42997</v>
      </c>
      <c r="P176" t="s">
        <v>90</v>
      </c>
      <c r="Q176" s="2">
        <v>16296</v>
      </c>
      <c r="R176" s="3">
        <f>(Tabla1[[#This Row],[FECHA_TRASPLANTE]]-Tabla1[[#This Row],[FECHA_NAC]])/365.25</f>
        <v>73.103353867214238</v>
      </c>
      <c r="T176"/>
      <c r="W176" t="s">
        <v>82</v>
      </c>
      <c r="AM176" t="s">
        <v>86</v>
      </c>
      <c r="AN176" s="2">
        <v>44654</v>
      </c>
      <c r="AO176"/>
      <c r="AV176" s="2"/>
      <c r="AZ176"/>
      <c r="BJ176" s="2"/>
      <c r="BT176" s="2">
        <f>Tabla1[[#This Row],[FECHA_TRASPLANTE]]</f>
        <v>42997</v>
      </c>
      <c r="BU176">
        <f>IF(Tabla1[[#This Row],[FALLECIDO SI/NO]]="NO",0,1)</f>
        <v>1</v>
      </c>
      <c r="BV176" s="3">
        <f ca="1">IF(Tabla1[[#This Row],[FALLECIDO_COD]]=0,TODAY()-Tabla1[[#This Row],[FECHA_TRASPLANTE]],Tabla1[[#This Row],[FECHA DE DEFUNCIÓN]]-Tabla1[[#This Row],[FECHA_TRASPLANTE]])</f>
        <v>1657</v>
      </c>
      <c r="BW176" s="3">
        <f ca="1">IF(Tabla1[[#This Row],[FALLECIDO_COD]]=0,TODAY()-Tabla1[[#This Row],[FECHA_TRASPLANTE]],Tabla1[[#This Row],[FECHA DE DEFUNCIÓN]]-Tabla1[[#This Row],[FECHA_TRASPLANTE]])/30.4375</f>
        <v>54.439425051334702</v>
      </c>
      <c r="BX176" s="3">
        <f ca="1">IF(Tabla1[[#This Row],[FALLECIDO_COD]]=0,TODAY()-Tabla1[[#This Row],[FECHA_TRASPLANTE]],Tabla1[[#This Row],[FECHA DE DEFUNCIÓN]]-Tabla1[[#This Row],[FECHA_TRASPLANTE]])/365.25</f>
        <v>4.5366187542778915</v>
      </c>
      <c r="BY176"/>
      <c r="BZ176"/>
    </row>
    <row r="177" spans="1:78" hidden="1" x14ac:dyDescent="0.35">
      <c r="A177" t="s">
        <v>75</v>
      </c>
      <c r="D177" t="s">
        <v>1129</v>
      </c>
      <c r="E177" t="s">
        <v>77</v>
      </c>
      <c r="I177">
        <v>118.07824296499656</v>
      </c>
      <c r="K177" t="s">
        <v>1427</v>
      </c>
      <c r="L177" t="s">
        <v>132</v>
      </c>
      <c r="M177" t="s">
        <v>827</v>
      </c>
      <c r="N177" s="11">
        <v>116500181</v>
      </c>
      <c r="O177" s="16">
        <v>43010</v>
      </c>
      <c r="P177" t="s">
        <v>90</v>
      </c>
      <c r="Q177" s="2">
        <v>35294</v>
      </c>
      <c r="R177" s="3">
        <f>(Tabla1[[#This Row],[FECHA_TRASPLANTE]]-Tabla1[[#This Row],[FECHA_NAC]])/365.25</f>
        <v>21.125256673511295</v>
      </c>
      <c r="T177"/>
      <c r="W177" t="s">
        <v>82</v>
      </c>
      <c r="AM177" t="s">
        <v>86</v>
      </c>
      <c r="AN177" s="2">
        <v>43039</v>
      </c>
      <c r="AO177"/>
      <c r="AV177" s="2"/>
      <c r="AZ177"/>
      <c r="BJ177" s="2"/>
      <c r="BT177" s="2">
        <f>Tabla1[[#This Row],[FECHA_TRASPLANTE]]</f>
        <v>43010</v>
      </c>
      <c r="BU177">
        <f>IF(Tabla1[[#This Row],[FALLECIDO SI/NO]]="NO",0,1)</f>
        <v>1</v>
      </c>
      <c r="BV177" s="3">
        <f ca="1">IF(Tabla1[[#This Row],[FALLECIDO_COD]]=0,TODAY()-Tabla1[[#This Row],[FECHA_TRASPLANTE]],Tabla1[[#This Row],[FECHA DE DEFUNCIÓN]]-Tabla1[[#This Row],[FECHA_TRASPLANTE]])</f>
        <v>29</v>
      </c>
      <c r="BW177" s="3">
        <f ca="1">IF(Tabla1[[#This Row],[FALLECIDO_COD]]=0,TODAY()-Tabla1[[#This Row],[FECHA_TRASPLANTE]],Tabla1[[#This Row],[FECHA DE DEFUNCIÓN]]-Tabla1[[#This Row],[FECHA_TRASPLANTE]])/30.4375</f>
        <v>0.95277207392197127</v>
      </c>
      <c r="BX177" s="3">
        <f ca="1">IF(Tabla1[[#This Row],[FALLECIDO_COD]]=0,TODAY()-Tabla1[[#This Row],[FECHA_TRASPLANTE]],Tabla1[[#This Row],[FECHA DE DEFUNCIÓN]]-Tabla1[[#This Row],[FECHA_TRASPLANTE]])/365.25</f>
        <v>7.939767282683094E-2</v>
      </c>
      <c r="BY177"/>
      <c r="BZ177"/>
    </row>
    <row r="178" spans="1:78" hidden="1" x14ac:dyDescent="0.35">
      <c r="A178" t="s">
        <v>377</v>
      </c>
      <c r="D178" t="s">
        <v>1129</v>
      </c>
      <c r="E178" t="s">
        <v>77</v>
      </c>
      <c r="I178">
        <v>118.07824296499656</v>
      </c>
      <c r="K178" t="s">
        <v>1428</v>
      </c>
      <c r="L178" t="s">
        <v>280</v>
      </c>
      <c r="M178" t="s">
        <v>1002</v>
      </c>
      <c r="N178" s="11">
        <v>502240312</v>
      </c>
      <c r="O178" s="2">
        <v>43010</v>
      </c>
      <c r="P178" t="s">
        <v>81</v>
      </c>
      <c r="Q178" s="2">
        <v>23803</v>
      </c>
      <c r="R178" s="3">
        <f>(Tabla1[[#This Row],[FECHA_TRASPLANTE]]-Tabla1[[#This Row],[FECHA_NAC]])/365.25</f>
        <v>52.585900068446271</v>
      </c>
      <c r="T178"/>
      <c r="W178" t="s">
        <v>82</v>
      </c>
      <c r="X178" t="s">
        <v>1429</v>
      </c>
      <c r="AM178" t="s">
        <v>106</v>
      </c>
      <c r="AO178"/>
      <c r="AV178" s="2"/>
      <c r="AZ178"/>
      <c r="BT178" s="2">
        <f>Tabla1[[#This Row],[FECHA_TRASPLANTE]]</f>
        <v>43010</v>
      </c>
      <c r="BU178">
        <f>IF(Tabla1[[#This Row],[FALLECIDO SI/NO]]="NO",0,1)</f>
        <v>0</v>
      </c>
      <c r="BV178" s="3">
        <f ca="1">IF(Tabla1[[#This Row],[FALLECIDO_COD]]=0,TODAY()-Tabla1[[#This Row],[FECHA_TRASPLANTE]],Tabla1[[#This Row],[FECHA DE DEFUNCIÓN]]-Tabla1[[#This Row],[FECHA_TRASPLANTE]])</f>
        <v>2865</v>
      </c>
      <c r="BW178" s="3">
        <f ca="1">IF(Tabla1[[#This Row],[FALLECIDO_COD]]=0,TODAY()-Tabla1[[#This Row],[FECHA_TRASPLANTE]],Tabla1[[#This Row],[FECHA DE DEFUNCIÓN]]-Tabla1[[#This Row],[FECHA_TRASPLANTE]])/30.4375</f>
        <v>94.127310061601648</v>
      </c>
      <c r="BX178" s="3">
        <f ca="1">IF(Tabla1[[#This Row],[FALLECIDO_COD]]=0,TODAY()-Tabla1[[#This Row],[FECHA_TRASPLANTE]],Tabla1[[#This Row],[FECHA DE DEFUNCIÓN]]-Tabla1[[#This Row],[FECHA_TRASPLANTE]])/365.25</f>
        <v>7.8439425051334704</v>
      </c>
      <c r="BY178"/>
      <c r="BZ178"/>
    </row>
    <row r="179" spans="1:78" hidden="1" x14ac:dyDescent="0.35">
      <c r="A179" t="s">
        <v>1125</v>
      </c>
      <c r="D179" t="s">
        <v>1129</v>
      </c>
      <c r="E179" t="s">
        <v>375</v>
      </c>
      <c r="I179">
        <v>117.76043805612593</v>
      </c>
      <c r="J179" t="s">
        <v>1346</v>
      </c>
      <c r="N179" s="11">
        <v>29404934</v>
      </c>
      <c r="O179" s="2">
        <v>43012</v>
      </c>
      <c r="R179" s="3">
        <f>(Tabla1[[#This Row],[FECHA_TRASPLANTE]]-Tabla1[[#This Row],[FECHA_NAC]])/365.25</f>
        <v>117.76043805612593</v>
      </c>
      <c r="T179"/>
      <c r="U179" t="s">
        <v>1348</v>
      </c>
      <c r="AM179" t="s">
        <v>106</v>
      </c>
      <c r="AO179"/>
      <c r="AV179" s="2"/>
      <c r="AZ179"/>
      <c r="BT179" s="2">
        <f>Tabla1[[#This Row],[FECHA_TRASPLANTE]]</f>
        <v>43012</v>
      </c>
      <c r="BU179">
        <f>IF(Tabla1[[#This Row],[FALLECIDO SI/NO]]="NO",0,1)</f>
        <v>0</v>
      </c>
      <c r="BV179" s="3">
        <f ca="1">IF(Tabla1[[#This Row],[FALLECIDO_COD]]=0,TODAY()-Tabla1[[#This Row],[FECHA_TRASPLANTE]],Tabla1[[#This Row],[FECHA DE DEFUNCIÓN]]-Tabla1[[#This Row],[FECHA_TRASPLANTE]])</f>
        <v>2863</v>
      </c>
      <c r="BW179" s="3">
        <f ca="1">IF(Tabla1[[#This Row],[FALLECIDO_COD]]=0,TODAY()-Tabla1[[#This Row],[FECHA_TRASPLANTE]],Tabla1[[#This Row],[FECHA DE DEFUNCIÓN]]-Tabla1[[#This Row],[FECHA_TRASPLANTE]])/30.4375</f>
        <v>94.061601642710471</v>
      </c>
      <c r="BX179" s="3">
        <f ca="1">IF(Tabla1[[#This Row],[FALLECIDO_COD]]=0,TODAY()-Tabla1[[#This Row],[FECHA_TRASPLANTE]],Tabla1[[#This Row],[FECHA DE DEFUNCIÓN]]-Tabla1[[#This Row],[FECHA_TRASPLANTE]])/365.25</f>
        <v>7.8384668035592062</v>
      </c>
      <c r="BY179"/>
      <c r="BZ179"/>
    </row>
    <row r="180" spans="1:78" hidden="1" x14ac:dyDescent="0.35">
      <c r="A180" t="s">
        <v>376</v>
      </c>
      <c r="B180" t="s">
        <v>376</v>
      </c>
      <c r="D180" t="s">
        <v>1129</v>
      </c>
      <c r="E180" t="s">
        <v>77</v>
      </c>
      <c r="I180">
        <v>118.09196980096088</v>
      </c>
      <c r="K180" t="s">
        <v>1430</v>
      </c>
      <c r="L180" t="s">
        <v>440</v>
      </c>
      <c r="M180" t="s">
        <v>324</v>
      </c>
      <c r="N180" s="11">
        <v>118200518</v>
      </c>
      <c r="O180" s="2">
        <v>43015</v>
      </c>
      <c r="P180" t="s">
        <v>81</v>
      </c>
      <c r="Q180" s="2">
        <v>37117</v>
      </c>
      <c r="R180" s="3">
        <f>(Tabla1[[#This Row],[FECHA_TRASPLANTE]]-Tabla1[[#This Row],[FECHA_NAC]])/365.25</f>
        <v>16.147843942505133</v>
      </c>
      <c r="T180"/>
      <c r="W180" t="s">
        <v>82</v>
      </c>
      <c r="AM180" t="s">
        <v>106</v>
      </c>
      <c r="AO180"/>
      <c r="AV180" s="2"/>
      <c r="AZ180"/>
      <c r="BT180" s="2">
        <f>Tabla1[[#This Row],[FECHA_TRASPLANTE]]</f>
        <v>43015</v>
      </c>
      <c r="BU180">
        <f>IF(Tabla1[[#This Row],[FALLECIDO SI/NO]]="NO",0,1)</f>
        <v>0</v>
      </c>
      <c r="BV180" s="3">
        <f ca="1">IF(Tabla1[[#This Row],[FALLECIDO_COD]]=0,TODAY()-Tabla1[[#This Row],[FECHA_TRASPLANTE]],Tabla1[[#This Row],[FECHA DE DEFUNCIÓN]]-Tabla1[[#This Row],[FECHA_TRASPLANTE]])</f>
        <v>2860</v>
      </c>
      <c r="BW180" s="3">
        <f ca="1">IF(Tabla1[[#This Row],[FALLECIDO_COD]]=0,TODAY()-Tabla1[[#This Row],[FECHA_TRASPLANTE]],Tabla1[[#This Row],[FECHA DE DEFUNCIÓN]]-Tabla1[[#This Row],[FECHA_TRASPLANTE]])/30.4375</f>
        <v>93.96303901437372</v>
      </c>
      <c r="BX180" s="3">
        <f ca="1">IF(Tabla1[[#This Row],[FALLECIDO_COD]]=0,TODAY()-Tabla1[[#This Row],[FECHA_TRASPLANTE]],Tabla1[[#This Row],[FECHA DE DEFUNCIÓN]]-Tabla1[[#This Row],[FECHA_TRASPLANTE]])/365.25</f>
        <v>7.83025325119781</v>
      </c>
      <c r="BY180"/>
      <c r="BZ180"/>
    </row>
    <row r="181" spans="1:78" hidden="1" x14ac:dyDescent="0.35">
      <c r="A181" t="s">
        <v>75</v>
      </c>
      <c r="D181" t="s">
        <v>1129</v>
      </c>
      <c r="E181" t="s">
        <v>77</v>
      </c>
      <c r="I181">
        <v>118.09196980096088</v>
      </c>
      <c r="K181" t="s">
        <v>1431</v>
      </c>
      <c r="L181" t="s">
        <v>195</v>
      </c>
      <c r="M181" t="s">
        <v>921</v>
      </c>
      <c r="N181" s="11">
        <v>302180501</v>
      </c>
      <c r="O181" s="16">
        <v>43015</v>
      </c>
      <c r="P181" t="s">
        <v>81</v>
      </c>
      <c r="Q181" s="2">
        <v>20815</v>
      </c>
      <c r="R181" s="3">
        <f>(Tabla1[[#This Row],[FECHA_TRASPLANTE]]-Tabla1[[#This Row],[FECHA_NAC]])/365.25</f>
        <v>60.780287474332646</v>
      </c>
      <c r="T181"/>
      <c r="W181" t="s">
        <v>82</v>
      </c>
      <c r="AM181" t="s">
        <v>86</v>
      </c>
      <c r="AN181" s="2">
        <v>44277</v>
      </c>
      <c r="AO181"/>
      <c r="AV181" s="2"/>
      <c r="AZ181"/>
      <c r="BJ181" s="2"/>
      <c r="BT181" s="2">
        <f>Tabla1[[#This Row],[FECHA_TRASPLANTE]]</f>
        <v>43015</v>
      </c>
      <c r="BU181">
        <f>IF(Tabla1[[#This Row],[FALLECIDO SI/NO]]="NO",0,1)</f>
        <v>1</v>
      </c>
      <c r="BV181" s="3">
        <f ca="1">IF(Tabla1[[#This Row],[FALLECIDO_COD]]=0,TODAY()-Tabla1[[#This Row],[FECHA_TRASPLANTE]],Tabla1[[#This Row],[FECHA DE DEFUNCIÓN]]-Tabla1[[#This Row],[FECHA_TRASPLANTE]])</f>
        <v>1262</v>
      </c>
      <c r="BW181" s="3">
        <f ca="1">IF(Tabla1[[#This Row],[FALLECIDO_COD]]=0,TODAY()-Tabla1[[#This Row],[FECHA_TRASPLANTE]],Tabla1[[#This Row],[FECHA DE DEFUNCIÓN]]-Tabla1[[#This Row],[FECHA_TRASPLANTE]])/30.4375</f>
        <v>41.46201232032854</v>
      </c>
      <c r="BX181" s="3">
        <f ca="1">IF(Tabla1[[#This Row],[FALLECIDO_COD]]=0,TODAY()-Tabla1[[#This Row],[FECHA_TRASPLANTE]],Tabla1[[#This Row],[FECHA DE DEFUNCIÓN]]-Tabla1[[#This Row],[FECHA_TRASPLANTE]])/365.25</f>
        <v>3.4551676933607118</v>
      </c>
      <c r="BY181"/>
      <c r="BZ181"/>
    </row>
    <row r="182" spans="1:78" hidden="1" x14ac:dyDescent="0.35">
      <c r="A182" t="s">
        <v>1126</v>
      </c>
      <c r="D182" t="s">
        <v>1333</v>
      </c>
      <c r="E182" t="s">
        <v>77</v>
      </c>
      <c r="I182">
        <v>117.77686516084873</v>
      </c>
      <c r="J182" t="s">
        <v>1334</v>
      </c>
      <c r="N182" s="11">
        <v>303310236</v>
      </c>
      <c r="O182" s="2">
        <v>43018</v>
      </c>
      <c r="R182" s="3">
        <f>(Tabla1[[#This Row],[FECHA_TRASPLANTE]]-Tabla1[[#This Row],[FECHA_NAC]])/365.25</f>
        <v>117.77686516084873</v>
      </c>
      <c r="AM182" t="s">
        <v>106</v>
      </c>
      <c r="AR182" s="2"/>
      <c r="AS182" s="2"/>
      <c r="AV182" s="2"/>
      <c r="AZ182"/>
      <c r="BT182" s="2">
        <f>Tabla1[[#This Row],[FECHA_TRASPLANTE]]</f>
        <v>43018</v>
      </c>
      <c r="BU182">
        <f>IF(Tabla1[[#This Row],[FALLECIDO SI/NO]]="NO",0,1)</f>
        <v>0</v>
      </c>
      <c r="BV182" s="3">
        <f ca="1">IF(Tabla1[[#This Row],[FALLECIDO_COD]]=0,TODAY()-Tabla1[[#This Row],[FECHA_TRASPLANTE]],Tabla1[[#This Row],[FECHA DE DEFUNCIÓN]]-Tabla1[[#This Row],[FECHA_TRASPLANTE]])</f>
        <v>2857</v>
      </c>
      <c r="BW182" s="3">
        <f ca="1">IF(Tabla1[[#This Row],[FALLECIDO_COD]]=0,TODAY()-Tabla1[[#This Row],[FECHA_TRASPLANTE]],Tabla1[[#This Row],[FECHA DE DEFUNCIÓN]]-Tabla1[[#This Row],[FECHA_TRASPLANTE]])/30.4375</f>
        <v>93.864476386036955</v>
      </c>
      <c r="BX182" s="3">
        <f ca="1">IF(Tabla1[[#This Row],[FALLECIDO_COD]]=0,TODAY()-Tabla1[[#This Row],[FECHA_TRASPLANTE]],Tabla1[[#This Row],[FECHA DE DEFUNCIÓN]]-Tabla1[[#This Row],[FECHA_TRASPLANTE]])/365.25</f>
        <v>7.8220396988364138</v>
      </c>
      <c r="BY182"/>
      <c r="BZ182"/>
    </row>
    <row r="183" spans="1:78" hidden="1" x14ac:dyDescent="0.35">
      <c r="A183" t="s">
        <v>377</v>
      </c>
      <c r="D183" t="s">
        <v>1129</v>
      </c>
      <c r="E183" t="s">
        <v>77</v>
      </c>
      <c r="I183">
        <v>118.10295126973233</v>
      </c>
      <c r="K183" t="s">
        <v>1432</v>
      </c>
      <c r="L183" t="s">
        <v>1433</v>
      </c>
      <c r="M183" t="s">
        <v>440</v>
      </c>
      <c r="N183" s="11">
        <v>207030297</v>
      </c>
      <c r="O183" s="2">
        <v>43019</v>
      </c>
      <c r="P183" t="s">
        <v>81</v>
      </c>
      <c r="Q183" s="2">
        <v>33844</v>
      </c>
      <c r="R183" s="3">
        <f>(Tabla1[[#This Row],[FECHA_TRASPLANTE]]-Tabla1[[#This Row],[FECHA_NAC]])/365.25</f>
        <v>25.119780971937029</v>
      </c>
      <c r="T183"/>
      <c r="W183" t="s">
        <v>82</v>
      </c>
      <c r="X183" t="s">
        <v>125</v>
      </c>
      <c r="Y183" t="s">
        <v>441</v>
      </c>
      <c r="Z183" t="s">
        <v>1434</v>
      </c>
      <c r="AM183" t="s">
        <v>106</v>
      </c>
      <c r="AO183"/>
      <c r="AV183" s="2"/>
      <c r="AZ183"/>
      <c r="BT183" s="2">
        <f>Tabla1[[#This Row],[FECHA_TRASPLANTE]]</f>
        <v>43019</v>
      </c>
      <c r="BU183">
        <f>IF(Tabla1[[#This Row],[FALLECIDO SI/NO]]="NO",0,1)</f>
        <v>0</v>
      </c>
      <c r="BV183" s="3">
        <f ca="1">IF(Tabla1[[#This Row],[FALLECIDO_COD]]=0,TODAY()-Tabla1[[#This Row],[FECHA_TRASPLANTE]],Tabla1[[#This Row],[FECHA DE DEFUNCIÓN]]-Tabla1[[#This Row],[FECHA_TRASPLANTE]])</f>
        <v>2856</v>
      </c>
      <c r="BW183" s="3">
        <f ca="1">IF(Tabla1[[#This Row],[FALLECIDO_COD]]=0,TODAY()-Tabla1[[#This Row],[FECHA_TRASPLANTE]],Tabla1[[#This Row],[FECHA DE DEFUNCIÓN]]-Tabla1[[#This Row],[FECHA_TRASPLANTE]])/30.4375</f>
        <v>93.831622176591381</v>
      </c>
      <c r="BX183" s="3">
        <f ca="1">IF(Tabla1[[#This Row],[FALLECIDO_COD]]=0,TODAY()-Tabla1[[#This Row],[FECHA_TRASPLANTE]],Tabla1[[#This Row],[FECHA DE DEFUNCIÓN]]-Tabla1[[#This Row],[FECHA_TRASPLANTE]])/365.25</f>
        <v>7.8193018480492817</v>
      </c>
      <c r="BY183"/>
      <c r="BZ183"/>
    </row>
    <row r="184" spans="1:78" hidden="1" x14ac:dyDescent="0.35">
      <c r="A184" t="s">
        <v>377</v>
      </c>
      <c r="D184" t="s">
        <v>1129</v>
      </c>
      <c r="E184" t="s">
        <v>375</v>
      </c>
      <c r="I184">
        <v>118.10295126973233</v>
      </c>
      <c r="J184" t="s">
        <v>1435</v>
      </c>
      <c r="K184" t="s">
        <v>1436</v>
      </c>
      <c r="L184" t="s">
        <v>99</v>
      </c>
      <c r="M184" t="s">
        <v>403</v>
      </c>
      <c r="N184" s="11">
        <v>501860858</v>
      </c>
      <c r="O184" s="2">
        <v>43019</v>
      </c>
      <c r="P184" t="s">
        <v>81</v>
      </c>
      <c r="Q184" s="2">
        <v>22086</v>
      </c>
      <c r="R184" s="3">
        <f>(Tabla1[[#This Row],[FECHA_TRASPLANTE]]-Tabla1[[#This Row],[FECHA_NAC]])/365.25</f>
        <v>57.311430527036279</v>
      </c>
      <c r="T184"/>
      <c r="W184" t="s">
        <v>82</v>
      </c>
      <c r="X184" t="s">
        <v>125</v>
      </c>
      <c r="Y184" t="s">
        <v>1186</v>
      </c>
      <c r="Z184" t="s">
        <v>1437</v>
      </c>
      <c r="AM184" t="s">
        <v>86</v>
      </c>
      <c r="AN184" s="2">
        <v>43929</v>
      </c>
      <c r="AO184"/>
      <c r="AV184" s="2"/>
      <c r="AZ184"/>
      <c r="BT184" s="2">
        <f>Tabla1[[#This Row],[FECHA_TRASPLANTE]]</f>
        <v>43019</v>
      </c>
      <c r="BU184">
        <f>IF(Tabla1[[#This Row],[FALLECIDO SI/NO]]="NO",0,1)</f>
        <v>1</v>
      </c>
      <c r="BV184" s="3">
        <f ca="1">IF(Tabla1[[#This Row],[FALLECIDO_COD]]=0,TODAY()-Tabla1[[#This Row],[FECHA_TRASPLANTE]],Tabla1[[#This Row],[FECHA DE DEFUNCIÓN]]-Tabla1[[#This Row],[FECHA_TRASPLANTE]])</f>
        <v>910</v>
      </c>
      <c r="BW184" s="3">
        <f ca="1">IF(Tabla1[[#This Row],[FALLECIDO_COD]]=0,TODAY()-Tabla1[[#This Row],[FECHA_TRASPLANTE]],Tabla1[[#This Row],[FECHA DE DEFUNCIÓN]]-Tabla1[[#This Row],[FECHA_TRASPLANTE]])/30.4375</f>
        <v>29.897330595482547</v>
      </c>
      <c r="BX184" s="3">
        <f ca="1">IF(Tabla1[[#This Row],[FALLECIDO_COD]]=0,TODAY()-Tabla1[[#This Row],[FECHA_TRASPLANTE]],Tabla1[[#This Row],[FECHA DE DEFUNCIÓN]]-Tabla1[[#This Row],[FECHA_TRASPLANTE]])/365.25</f>
        <v>2.4914442162902124</v>
      </c>
      <c r="BY184"/>
      <c r="BZ184"/>
    </row>
    <row r="185" spans="1:78" hidden="1" x14ac:dyDescent="0.35">
      <c r="A185" t="s">
        <v>1125</v>
      </c>
      <c r="D185" t="s">
        <v>1129</v>
      </c>
      <c r="E185" t="s">
        <v>375</v>
      </c>
      <c r="I185">
        <v>117.77960301163587</v>
      </c>
      <c r="J185" t="s">
        <v>1346</v>
      </c>
      <c r="K185" t="s">
        <v>1438</v>
      </c>
      <c r="L185" t="s">
        <v>479</v>
      </c>
      <c r="M185" t="s">
        <v>1439</v>
      </c>
      <c r="N185" s="11">
        <v>110320504</v>
      </c>
      <c r="O185" s="2">
        <v>43019</v>
      </c>
      <c r="R185" s="3">
        <f>(Tabla1[[#This Row],[FECHA_TRASPLANTE]]-Tabla1[[#This Row],[FECHA_NAC]])/365.25</f>
        <v>117.77960301163587</v>
      </c>
      <c r="T185"/>
      <c r="U185" t="s">
        <v>1348</v>
      </c>
      <c r="W185" t="s">
        <v>82</v>
      </c>
      <c r="X185" t="s">
        <v>110</v>
      </c>
      <c r="Y185" t="s">
        <v>196</v>
      </c>
      <c r="Z185" t="s">
        <v>230</v>
      </c>
      <c r="AM185" t="s">
        <v>106</v>
      </c>
      <c r="AO185"/>
      <c r="AV185" s="2"/>
      <c r="AZ185"/>
      <c r="BT185" s="2">
        <f>Tabla1[[#This Row],[FECHA_TRASPLANTE]]</f>
        <v>43019</v>
      </c>
      <c r="BU185">
        <f>IF(Tabla1[[#This Row],[FALLECIDO SI/NO]]="NO",0,1)</f>
        <v>0</v>
      </c>
      <c r="BV185" s="3">
        <f ca="1">IF(Tabla1[[#This Row],[FALLECIDO_COD]]=0,TODAY()-Tabla1[[#This Row],[FECHA_TRASPLANTE]],Tabla1[[#This Row],[FECHA DE DEFUNCIÓN]]-Tabla1[[#This Row],[FECHA_TRASPLANTE]])</f>
        <v>2856</v>
      </c>
      <c r="BW185" s="3">
        <f ca="1">IF(Tabla1[[#This Row],[FALLECIDO_COD]]=0,TODAY()-Tabla1[[#This Row],[FECHA_TRASPLANTE]],Tabla1[[#This Row],[FECHA DE DEFUNCIÓN]]-Tabla1[[#This Row],[FECHA_TRASPLANTE]])/30.4375</f>
        <v>93.831622176591381</v>
      </c>
      <c r="BX185" s="3">
        <f ca="1">IF(Tabla1[[#This Row],[FALLECIDO_COD]]=0,TODAY()-Tabla1[[#This Row],[FECHA_TRASPLANTE]],Tabla1[[#This Row],[FECHA DE DEFUNCIÓN]]-Tabla1[[#This Row],[FECHA_TRASPLANTE]])/365.25</f>
        <v>7.8193018480492817</v>
      </c>
      <c r="BY185"/>
      <c r="BZ185"/>
    </row>
    <row r="186" spans="1:78" hidden="1" x14ac:dyDescent="0.35">
      <c r="A186" t="s">
        <v>1126</v>
      </c>
      <c r="D186" t="s">
        <v>1333</v>
      </c>
      <c r="E186" t="s">
        <v>77</v>
      </c>
      <c r="I186">
        <v>117.7905544147844</v>
      </c>
      <c r="J186" t="s">
        <v>1334</v>
      </c>
      <c r="N186" s="11">
        <v>304210042</v>
      </c>
      <c r="O186" s="2">
        <v>43023</v>
      </c>
      <c r="R186" s="3">
        <f>(Tabla1[[#This Row],[FECHA_TRASPLANTE]]-Tabla1[[#This Row],[FECHA_NAC]])/365.25</f>
        <v>117.7905544147844</v>
      </c>
      <c r="AM186" t="s">
        <v>106</v>
      </c>
      <c r="AR186" s="2"/>
      <c r="AS186" s="2"/>
      <c r="AV186" s="2"/>
      <c r="AZ186"/>
      <c r="BT186" s="2">
        <f>Tabla1[[#This Row],[FECHA_TRASPLANTE]]</f>
        <v>43023</v>
      </c>
      <c r="BU186">
        <f>IF(Tabla1[[#This Row],[FALLECIDO SI/NO]]="NO",0,1)</f>
        <v>0</v>
      </c>
      <c r="BV186" s="3">
        <f ca="1">IF(Tabla1[[#This Row],[FALLECIDO_COD]]=0,TODAY()-Tabla1[[#This Row],[FECHA_TRASPLANTE]],Tabla1[[#This Row],[FECHA DE DEFUNCIÓN]]-Tabla1[[#This Row],[FECHA_TRASPLANTE]])</f>
        <v>2852</v>
      </c>
      <c r="BW186" s="3">
        <f ca="1">IF(Tabla1[[#This Row],[FALLECIDO_COD]]=0,TODAY()-Tabla1[[#This Row],[FECHA_TRASPLANTE]],Tabla1[[#This Row],[FECHA DE DEFUNCIÓN]]-Tabla1[[#This Row],[FECHA_TRASPLANTE]])/30.4375</f>
        <v>93.700205338809042</v>
      </c>
      <c r="BX186" s="3">
        <f ca="1">IF(Tabla1[[#This Row],[FALLECIDO_COD]]=0,TODAY()-Tabla1[[#This Row],[FECHA_TRASPLANTE]],Tabla1[[#This Row],[FECHA DE DEFUNCIÓN]]-Tabla1[[#This Row],[FECHA_TRASPLANTE]])/365.25</f>
        <v>7.8083504449007526</v>
      </c>
      <c r="BY186"/>
      <c r="BZ186"/>
    </row>
    <row r="187" spans="1:78" hidden="1" x14ac:dyDescent="0.35">
      <c r="A187" t="s">
        <v>1125</v>
      </c>
      <c r="D187" t="s">
        <v>1129</v>
      </c>
      <c r="E187" t="s">
        <v>375</v>
      </c>
      <c r="I187">
        <v>117.81793292265571</v>
      </c>
      <c r="J187" t="s">
        <v>1346</v>
      </c>
      <c r="K187" t="s">
        <v>1226</v>
      </c>
      <c r="L187" t="s">
        <v>1440</v>
      </c>
      <c r="M187" t="s">
        <v>1441</v>
      </c>
      <c r="N187" s="11">
        <v>104460767</v>
      </c>
      <c r="O187" s="2">
        <v>43033</v>
      </c>
      <c r="R187" s="3">
        <f>(Tabla1[[#This Row],[FECHA_TRASPLANTE]]-Tabla1[[#This Row],[FECHA_NAC]])/365.25</f>
        <v>117.81793292265571</v>
      </c>
      <c r="T187"/>
      <c r="U187" t="s">
        <v>1348</v>
      </c>
      <c r="W187" t="s">
        <v>82</v>
      </c>
      <c r="X187" t="s">
        <v>91</v>
      </c>
      <c r="Y187" t="s">
        <v>498</v>
      </c>
      <c r="Z187" t="s">
        <v>1442</v>
      </c>
      <c r="AM187" t="s">
        <v>106</v>
      </c>
      <c r="AO187"/>
      <c r="AV187" s="2"/>
      <c r="AZ187"/>
      <c r="BT187" s="2">
        <f>Tabla1[[#This Row],[FECHA_TRASPLANTE]]</f>
        <v>43033</v>
      </c>
      <c r="BU187">
        <f>IF(Tabla1[[#This Row],[FALLECIDO SI/NO]]="NO",0,1)</f>
        <v>0</v>
      </c>
      <c r="BV187" s="3">
        <f ca="1">IF(Tabla1[[#This Row],[FALLECIDO_COD]]=0,TODAY()-Tabla1[[#This Row],[FECHA_TRASPLANTE]],Tabla1[[#This Row],[FECHA DE DEFUNCIÓN]]-Tabla1[[#This Row],[FECHA_TRASPLANTE]])</f>
        <v>2842</v>
      </c>
      <c r="BW187" s="3">
        <f ca="1">IF(Tabla1[[#This Row],[FALLECIDO_COD]]=0,TODAY()-Tabla1[[#This Row],[FECHA_TRASPLANTE]],Tabla1[[#This Row],[FECHA DE DEFUNCIÓN]]-Tabla1[[#This Row],[FECHA_TRASPLANTE]])/30.4375</f>
        <v>93.371663244353186</v>
      </c>
      <c r="BX187" s="3">
        <f ca="1">IF(Tabla1[[#This Row],[FALLECIDO_COD]]=0,TODAY()-Tabla1[[#This Row],[FECHA_TRASPLANTE]],Tabla1[[#This Row],[FECHA DE DEFUNCIÓN]]-Tabla1[[#This Row],[FECHA_TRASPLANTE]])/365.25</f>
        <v>7.7809719370294319</v>
      </c>
      <c r="BY187"/>
      <c r="BZ187"/>
    </row>
    <row r="188" spans="1:78" hidden="1" x14ac:dyDescent="0.35">
      <c r="A188" t="s">
        <v>75</v>
      </c>
      <c r="D188" t="s">
        <v>1129</v>
      </c>
      <c r="E188" t="s">
        <v>77</v>
      </c>
      <c r="I188">
        <v>118.15511324639671</v>
      </c>
      <c r="K188" t="s">
        <v>1443</v>
      </c>
      <c r="L188" t="s">
        <v>1444</v>
      </c>
      <c r="M188" t="s">
        <v>648</v>
      </c>
      <c r="N188" s="11">
        <v>113750866</v>
      </c>
      <c r="O188" s="16">
        <v>43038</v>
      </c>
      <c r="P188" t="s">
        <v>81</v>
      </c>
      <c r="Q188" s="2">
        <v>32507</v>
      </c>
      <c r="R188" s="3">
        <f>(Tabla1[[#This Row],[FECHA_TRASPLANTE]]-Tabla1[[#This Row],[FECHA_NAC]])/365.25</f>
        <v>28.832306639288159</v>
      </c>
      <c r="T188"/>
      <c r="W188" t="s">
        <v>82</v>
      </c>
      <c r="X188" t="s">
        <v>91</v>
      </c>
      <c r="Y188" t="s">
        <v>176</v>
      </c>
      <c r="Z188" t="s">
        <v>435</v>
      </c>
      <c r="AM188" t="s">
        <v>106</v>
      </c>
      <c r="AO188"/>
      <c r="AV188" s="2"/>
      <c r="AZ188"/>
      <c r="BJ188" s="2"/>
      <c r="BT188" s="2">
        <f>Tabla1[[#This Row],[FECHA_TRASPLANTE]]</f>
        <v>43038</v>
      </c>
      <c r="BU188">
        <f>IF(Tabla1[[#This Row],[FALLECIDO SI/NO]]="NO",0,1)</f>
        <v>0</v>
      </c>
      <c r="BV188" s="3">
        <f ca="1">IF(Tabla1[[#This Row],[FALLECIDO_COD]]=0,TODAY()-Tabla1[[#This Row],[FECHA_TRASPLANTE]],Tabla1[[#This Row],[FECHA DE DEFUNCIÓN]]-Tabla1[[#This Row],[FECHA_TRASPLANTE]])</f>
        <v>2837</v>
      </c>
      <c r="BW188" s="3">
        <f ca="1">IF(Tabla1[[#This Row],[FALLECIDO_COD]]=0,TODAY()-Tabla1[[#This Row],[FECHA_TRASPLANTE]],Tabla1[[#This Row],[FECHA DE DEFUNCIÓN]]-Tabla1[[#This Row],[FECHA_TRASPLANTE]])/30.4375</f>
        <v>93.207392197125259</v>
      </c>
      <c r="BX188" s="3">
        <f ca="1">IF(Tabla1[[#This Row],[FALLECIDO_COD]]=0,TODAY()-Tabla1[[#This Row],[FECHA_TRASPLANTE]],Tabla1[[#This Row],[FECHA DE DEFUNCIÓN]]-Tabla1[[#This Row],[FECHA_TRASPLANTE]])/365.25</f>
        <v>7.7672826830937716</v>
      </c>
      <c r="BY188"/>
      <c r="BZ188"/>
    </row>
    <row r="189" spans="1:78" hidden="1" x14ac:dyDescent="0.35">
      <c r="A189" t="s">
        <v>377</v>
      </c>
      <c r="D189" t="s">
        <v>1129</v>
      </c>
      <c r="E189" t="s">
        <v>375</v>
      </c>
      <c r="I189">
        <v>118.16060398078243</v>
      </c>
      <c r="J189" t="s">
        <v>1154</v>
      </c>
      <c r="K189" t="s">
        <v>1445</v>
      </c>
      <c r="L189" t="s">
        <v>274</v>
      </c>
      <c r="M189" t="s">
        <v>1446</v>
      </c>
      <c r="N189" s="11">
        <v>107050341</v>
      </c>
      <c r="O189" s="2">
        <v>43040</v>
      </c>
      <c r="P189" t="s">
        <v>81</v>
      </c>
      <c r="Q189" s="2">
        <v>24682</v>
      </c>
      <c r="R189" s="3">
        <f>(Tabla1[[#This Row],[FECHA_TRASPLANTE]]-Tabla1[[#This Row],[FECHA_NAC]])/365.25</f>
        <v>50.261464750171115</v>
      </c>
      <c r="T189"/>
      <c r="W189" t="s">
        <v>82</v>
      </c>
      <c r="X189" t="s">
        <v>261</v>
      </c>
      <c r="Y189" t="s">
        <v>84</v>
      </c>
      <c r="Z189" t="s">
        <v>302</v>
      </c>
      <c r="AM189" t="s">
        <v>106</v>
      </c>
      <c r="AO189"/>
      <c r="AV189" s="2"/>
      <c r="AZ189"/>
      <c r="BT189" s="2">
        <f>Tabla1[[#This Row],[FECHA_TRASPLANTE]]</f>
        <v>43040</v>
      </c>
      <c r="BU189">
        <f>IF(Tabla1[[#This Row],[FALLECIDO SI/NO]]="NO",0,1)</f>
        <v>0</v>
      </c>
      <c r="BV189" s="3">
        <f ca="1">IF(Tabla1[[#This Row],[FALLECIDO_COD]]=0,TODAY()-Tabla1[[#This Row],[FECHA_TRASPLANTE]],Tabla1[[#This Row],[FECHA DE DEFUNCIÓN]]-Tabla1[[#This Row],[FECHA_TRASPLANTE]])</f>
        <v>2835</v>
      </c>
      <c r="BW189" s="3">
        <f ca="1">IF(Tabla1[[#This Row],[FALLECIDO_COD]]=0,TODAY()-Tabla1[[#This Row],[FECHA_TRASPLANTE]],Tabla1[[#This Row],[FECHA DE DEFUNCIÓN]]-Tabla1[[#This Row],[FECHA_TRASPLANTE]])/30.4375</f>
        <v>93.141683778234082</v>
      </c>
      <c r="BX189" s="3">
        <f ca="1">IF(Tabla1[[#This Row],[FALLECIDO_COD]]=0,TODAY()-Tabla1[[#This Row],[FECHA_TRASPLANTE]],Tabla1[[#This Row],[FECHA DE DEFUNCIÓN]]-Tabla1[[#This Row],[FECHA_TRASPLANTE]])/365.25</f>
        <v>7.7618069815195074</v>
      </c>
      <c r="BY189"/>
      <c r="BZ189"/>
    </row>
    <row r="190" spans="1:78" hidden="1" x14ac:dyDescent="0.35">
      <c r="A190" t="s">
        <v>1125</v>
      </c>
      <c r="D190" t="s">
        <v>1129</v>
      </c>
      <c r="E190" t="s">
        <v>77</v>
      </c>
      <c r="I190">
        <v>117.83709787816564</v>
      </c>
      <c r="J190" t="s">
        <v>1334</v>
      </c>
      <c r="K190" t="s">
        <v>1447</v>
      </c>
      <c r="L190" t="s">
        <v>1448</v>
      </c>
      <c r="M190" t="s">
        <v>1449</v>
      </c>
      <c r="N190" s="11">
        <v>601340926</v>
      </c>
      <c r="O190" s="2">
        <v>43040</v>
      </c>
      <c r="R190" s="3">
        <f>(Tabla1[[#This Row],[FECHA_TRASPLANTE]]-Tabla1[[#This Row],[FECHA_NAC]])/365.25</f>
        <v>117.83709787816564</v>
      </c>
      <c r="T190"/>
      <c r="U190" t="s">
        <v>1348</v>
      </c>
      <c r="W190" t="s">
        <v>82</v>
      </c>
      <c r="AM190" t="s">
        <v>106</v>
      </c>
      <c r="AO190"/>
      <c r="AV190" s="2"/>
      <c r="AZ190"/>
      <c r="BT190" s="2">
        <f>Tabla1[[#This Row],[FECHA_TRASPLANTE]]</f>
        <v>43040</v>
      </c>
      <c r="BU190">
        <f>IF(Tabla1[[#This Row],[FALLECIDO SI/NO]]="NO",0,1)</f>
        <v>0</v>
      </c>
      <c r="BV190" s="3">
        <f ca="1">IF(Tabla1[[#This Row],[FALLECIDO_COD]]=0,TODAY()-Tabla1[[#This Row],[FECHA_TRASPLANTE]],Tabla1[[#This Row],[FECHA DE DEFUNCIÓN]]-Tabla1[[#This Row],[FECHA_TRASPLANTE]])</f>
        <v>2835</v>
      </c>
      <c r="BW190" s="3">
        <f ca="1">IF(Tabla1[[#This Row],[FALLECIDO_COD]]=0,TODAY()-Tabla1[[#This Row],[FECHA_TRASPLANTE]],Tabla1[[#This Row],[FECHA DE DEFUNCIÓN]]-Tabla1[[#This Row],[FECHA_TRASPLANTE]])/30.4375</f>
        <v>93.141683778234082</v>
      </c>
      <c r="BX190" s="3">
        <f ca="1">IF(Tabla1[[#This Row],[FALLECIDO_COD]]=0,TODAY()-Tabla1[[#This Row],[FECHA_TRASPLANTE]],Tabla1[[#This Row],[FECHA DE DEFUNCIÓN]]-Tabla1[[#This Row],[FECHA_TRASPLANTE]])/365.25</f>
        <v>7.7618069815195074</v>
      </c>
      <c r="BY190"/>
      <c r="BZ190"/>
    </row>
    <row r="191" spans="1:78" hidden="1" x14ac:dyDescent="0.35">
      <c r="A191" t="s">
        <v>75</v>
      </c>
      <c r="D191" t="s">
        <v>1129</v>
      </c>
      <c r="E191" t="s">
        <v>77</v>
      </c>
      <c r="I191">
        <v>118.20452985586822</v>
      </c>
      <c r="K191" t="s">
        <v>942</v>
      </c>
      <c r="L191" t="s">
        <v>1450</v>
      </c>
      <c r="M191" t="s">
        <v>185</v>
      </c>
      <c r="N191" s="11">
        <v>104001332</v>
      </c>
      <c r="O191" s="16">
        <v>43056</v>
      </c>
      <c r="P191" t="s">
        <v>81</v>
      </c>
      <c r="Q191" s="2">
        <v>18920</v>
      </c>
      <c r="R191" s="3">
        <f>(Tabla1[[#This Row],[FECHA_TRASPLANTE]]-Tabla1[[#This Row],[FECHA_NAC]])/365.25</f>
        <v>66.080766598220393</v>
      </c>
      <c r="T191"/>
      <c r="W191" t="s">
        <v>82</v>
      </c>
      <c r="X191" t="s">
        <v>91</v>
      </c>
      <c r="Y191" t="s">
        <v>116</v>
      </c>
      <c r="Z191" t="s">
        <v>116</v>
      </c>
      <c r="AM191" t="s">
        <v>86</v>
      </c>
      <c r="AN191" s="2">
        <v>43341</v>
      </c>
      <c r="AO191"/>
      <c r="AV191" s="2"/>
      <c r="AZ191"/>
      <c r="BJ191" s="2"/>
      <c r="BT191" s="2">
        <f>Tabla1[[#This Row],[FECHA_TRASPLANTE]]</f>
        <v>43056</v>
      </c>
      <c r="BU191">
        <f>IF(Tabla1[[#This Row],[FALLECIDO SI/NO]]="NO",0,1)</f>
        <v>1</v>
      </c>
      <c r="BV191" s="3">
        <f ca="1">IF(Tabla1[[#This Row],[FALLECIDO_COD]]=0,TODAY()-Tabla1[[#This Row],[FECHA_TRASPLANTE]],Tabla1[[#This Row],[FECHA DE DEFUNCIÓN]]-Tabla1[[#This Row],[FECHA_TRASPLANTE]])</f>
        <v>285</v>
      </c>
      <c r="BW191" s="3">
        <f ca="1">IF(Tabla1[[#This Row],[FALLECIDO_COD]]=0,TODAY()-Tabla1[[#This Row],[FECHA_TRASPLANTE]],Tabla1[[#This Row],[FECHA DE DEFUNCIÓN]]-Tabla1[[#This Row],[FECHA_TRASPLANTE]])/30.4375</f>
        <v>9.3634496919917858</v>
      </c>
      <c r="BX191" s="3">
        <f ca="1">IF(Tabla1[[#This Row],[FALLECIDO_COD]]=0,TODAY()-Tabla1[[#This Row],[FECHA_TRASPLANTE]],Tabla1[[#This Row],[FECHA DE DEFUNCIÓN]]-Tabla1[[#This Row],[FECHA_TRASPLANTE]])/365.25</f>
        <v>0.78028747433264889</v>
      </c>
      <c r="BY191"/>
      <c r="BZ191"/>
    </row>
    <row r="192" spans="1:78" hidden="1" x14ac:dyDescent="0.35">
      <c r="A192" t="s">
        <v>377</v>
      </c>
      <c r="D192" t="s">
        <v>1129</v>
      </c>
      <c r="E192" t="s">
        <v>77</v>
      </c>
      <c r="I192">
        <v>118.20452985586822</v>
      </c>
      <c r="K192" t="s">
        <v>1451</v>
      </c>
      <c r="L192" t="s">
        <v>1257</v>
      </c>
      <c r="M192" t="s">
        <v>385</v>
      </c>
      <c r="N192" s="11">
        <v>108510711</v>
      </c>
      <c r="O192" s="2">
        <v>43056</v>
      </c>
      <c r="P192" t="s">
        <v>81</v>
      </c>
      <c r="Q192" s="2">
        <v>26792</v>
      </c>
      <c r="R192" s="3">
        <f>(Tabla1[[#This Row],[FECHA_TRASPLANTE]]-Tabla1[[#This Row],[FECHA_NAC]])/365.25</f>
        <v>44.528405201916499</v>
      </c>
      <c r="T192"/>
      <c r="W192" t="s">
        <v>82</v>
      </c>
      <c r="X192" t="s">
        <v>1452</v>
      </c>
      <c r="AM192" t="s">
        <v>106</v>
      </c>
      <c r="AO192"/>
      <c r="AV192" s="2"/>
      <c r="AZ192"/>
      <c r="BT192" s="2">
        <f>Tabla1[[#This Row],[FECHA_TRASPLANTE]]</f>
        <v>43056</v>
      </c>
      <c r="BU192">
        <f>IF(Tabla1[[#This Row],[FALLECIDO SI/NO]]="NO",0,1)</f>
        <v>0</v>
      </c>
      <c r="BV192" s="3">
        <f ca="1">IF(Tabla1[[#This Row],[FALLECIDO_COD]]=0,TODAY()-Tabla1[[#This Row],[FECHA_TRASPLANTE]],Tabla1[[#This Row],[FECHA DE DEFUNCIÓN]]-Tabla1[[#This Row],[FECHA_TRASPLANTE]])</f>
        <v>2819</v>
      </c>
      <c r="BW192" s="3">
        <f ca="1">IF(Tabla1[[#This Row],[FALLECIDO_COD]]=0,TODAY()-Tabla1[[#This Row],[FECHA_TRASPLANTE]],Tabla1[[#This Row],[FECHA DE DEFUNCIÓN]]-Tabla1[[#This Row],[FECHA_TRASPLANTE]])/30.4375</f>
        <v>92.616016427104725</v>
      </c>
      <c r="BX192" s="3">
        <f ca="1">IF(Tabla1[[#This Row],[FALLECIDO_COD]]=0,TODAY()-Tabla1[[#This Row],[FECHA_TRASPLANTE]],Tabla1[[#This Row],[FECHA DE DEFUNCIÓN]]-Tabla1[[#This Row],[FECHA_TRASPLANTE]])/365.25</f>
        <v>7.7180013689253935</v>
      </c>
      <c r="BY192"/>
      <c r="BZ192"/>
    </row>
    <row r="193" spans="1:78" hidden="1" x14ac:dyDescent="0.35">
      <c r="A193" t="s">
        <v>377</v>
      </c>
      <c r="D193" t="s">
        <v>1129</v>
      </c>
      <c r="E193" t="s">
        <v>375</v>
      </c>
      <c r="I193">
        <v>118.23747426218257</v>
      </c>
      <c r="J193" t="s">
        <v>1453</v>
      </c>
      <c r="K193" t="s">
        <v>1454</v>
      </c>
      <c r="L193" t="s">
        <v>324</v>
      </c>
      <c r="M193" t="s">
        <v>388</v>
      </c>
      <c r="N193" s="11">
        <v>109570320</v>
      </c>
      <c r="O193" s="2">
        <v>43068</v>
      </c>
      <c r="P193" t="s">
        <v>81</v>
      </c>
      <c r="Q193" s="2">
        <v>28108</v>
      </c>
      <c r="R193" s="3">
        <f>(Tabla1[[#This Row],[FECHA_TRASPLANTE]]-Tabla1[[#This Row],[FECHA_NAC]])/365.25</f>
        <v>40.958247775496233</v>
      </c>
      <c r="T193"/>
      <c r="W193" t="s">
        <v>82</v>
      </c>
      <c r="X193" t="s">
        <v>261</v>
      </c>
      <c r="Y193" t="s">
        <v>1455</v>
      </c>
      <c r="Z193" t="s">
        <v>353</v>
      </c>
      <c r="AM193" t="s">
        <v>106</v>
      </c>
      <c r="AO193"/>
      <c r="AV193" s="2"/>
      <c r="AZ193"/>
      <c r="BT193" s="2">
        <f>Tabla1[[#This Row],[FECHA_TRASPLANTE]]</f>
        <v>43068</v>
      </c>
      <c r="BU193">
        <f>IF(Tabla1[[#This Row],[FALLECIDO SI/NO]]="NO",0,1)</f>
        <v>0</v>
      </c>
      <c r="BV193" s="3">
        <f ca="1">IF(Tabla1[[#This Row],[FALLECIDO_COD]]=0,TODAY()-Tabla1[[#This Row],[FECHA_TRASPLANTE]],Tabla1[[#This Row],[FECHA DE DEFUNCIÓN]]-Tabla1[[#This Row],[FECHA_TRASPLANTE]])</f>
        <v>2807</v>
      </c>
      <c r="BW193" s="3">
        <f ca="1">IF(Tabla1[[#This Row],[FALLECIDO_COD]]=0,TODAY()-Tabla1[[#This Row],[FECHA_TRASPLANTE]],Tabla1[[#This Row],[FECHA DE DEFUNCIÓN]]-Tabla1[[#This Row],[FECHA_TRASPLANTE]])/30.4375</f>
        <v>92.221765913757707</v>
      </c>
      <c r="BX193" s="3">
        <f ca="1">IF(Tabla1[[#This Row],[FALLECIDO_COD]]=0,TODAY()-Tabla1[[#This Row],[FECHA_TRASPLANTE]],Tabla1[[#This Row],[FECHA DE DEFUNCIÓN]]-Tabla1[[#This Row],[FECHA_TRASPLANTE]])/365.25</f>
        <v>7.6851471594798086</v>
      </c>
      <c r="BY193"/>
      <c r="BZ193"/>
    </row>
    <row r="194" spans="1:78" hidden="1" x14ac:dyDescent="0.35">
      <c r="A194" t="s">
        <v>1125</v>
      </c>
      <c r="D194" t="s">
        <v>1129</v>
      </c>
      <c r="E194" t="s">
        <v>375</v>
      </c>
      <c r="I194">
        <v>117.95208761122518</v>
      </c>
      <c r="J194" t="s">
        <v>1346</v>
      </c>
      <c r="K194" t="s">
        <v>1456</v>
      </c>
      <c r="L194" t="s">
        <v>156</v>
      </c>
      <c r="M194" t="s">
        <v>189</v>
      </c>
      <c r="N194" s="11">
        <v>17519100</v>
      </c>
      <c r="O194" s="2">
        <v>43082</v>
      </c>
      <c r="R194" s="3">
        <f>(Tabla1[[#This Row],[FECHA_TRASPLANTE]]-Tabla1[[#This Row],[FECHA_NAC]])/365.25</f>
        <v>117.95208761122518</v>
      </c>
      <c r="T194"/>
      <c r="U194" t="s">
        <v>1348</v>
      </c>
      <c r="W194" t="s">
        <v>146</v>
      </c>
      <c r="AM194" t="s">
        <v>106</v>
      </c>
      <c r="AO194"/>
      <c r="AV194" s="2"/>
      <c r="AZ194"/>
      <c r="BT194" s="2">
        <f>Tabla1[[#This Row],[FECHA_TRASPLANTE]]</f>
        <v>43082</v>
      </c>
      <c r="BU194">
        <f>IF(Tabla1[[#This Row],[FALLECIDO SI/NO]]="NO",0,1)</f>
        <v>0</v>
      </c>
      <c r="BV194" s="3">
        <f ca="1">IF(Tabla1[[#This Row],[FALLECIDO_COD]]=0,TODAY()-Tabla1[[#This Row],[FECHA_TRASPLANTE]],Tabla1[[#This Row],[FECHA DE DEFUNCIÓN]]-Tabla1[[#This Row],[FECHA_TRASPLANTE]])</f>
        <v>2793</v>
      </c>
      <c r="BW194" s="3">
        <f ca="1">IF(Tabla1[[#This Row],[FALLECIDO_COD]]=0,TODAY()-Tabla1[[#This Row],[FECHA_TRASPLANTE]],Tabla1[[#This Row],[FECHA DE DEFUNCIÓN]]-Tabla1[[#This Row],[FECHA_TRASPLANTE]])/30.4375</f>
        <v>91.761806981519513</v>
      </c>
      <c r="BX194" s="3">
        <f ca="1">IF(Tabla1[[#This Row],[FALLECIDO_COD]]=0,TODAY()-Tabla1[[#This Row],[FECHA_TRASPLANTE]],Tabla1[[#This Row],[FECHA DE DEFUNCIÓN]]-Tabla1[[#This Row],[FECHA_TRASPLANTE]])/365.25</f>
        <v>7.6468172484599588</v>
      </c>
      <c r="BY194"/>
      <c r="BZ194"/>
    </row>
    <row r="195" spans="1:78" hidden="1" x14ac:dyDescent="0.35">
      <c r="A195" t="s">
        <v>75</v>
      </c>
      <c r="B195" t="s">
        <v>75</v>
      </c>
      <c r="D195" t="s">
        <v>138</v>
      </c>
      <c r="E195" t="s">
        <v>77</v>
      </c>
      <c r="I195">
        <v>118.33356211393274</v>
      </c>
      <c r="K195" t="s">
        <v>139</v>
      </c>
      <c r="L195" t="s">
        <v>140</v>
      </c>
      <c r="M195" t="s">
        <v>141</v>
      </c>
      <c r="N195" s="11">
        <v>104840658</v>
      </c>
      <c r="O195" s="16">
        <v>43103</v>
      </c>
      <c r="P195" t="s">
        <v>81</v>
      </c>
      <c r="Q195" s="2">
        <v>21242</v>
      </c>
      <c r="R195" s="3">
        <f>(Tabla1[[#This Row],[FECHA_TRASPLANTE]]-Tabla1[[#This Row],[FECHA_NAC]])/365.25</f>
        <v>59.852156057494867</v>
      </c>
      <c r="T195"/>
      <c r="W195" t="s">
        <v>82</v>
      </c>
      <c r="X195" t="s">
        <v>91</v>
      </c>
      <c r="Y195" t="s">
        <v>116</v>
      </c>
      <c r="Z195" t="s">
        <v>142</v>
      </c>
      <c r="AM195" t="s">
        <v>86</v>
      </c>
      <c r="AN195" s="2">
        <v>43234</v>
      </c>
      <c r="AO195"/>
      <c r="AV195" s="2"/>
      <c r="AZ195"/>
      <c r="BJ195" s="2"/>
      <c r="BT195" s="2">
        <f>Tabla1[[#This Row],[FECHA_TRASPLANTE]]</f>
        <v>43103</v>
      </c>
      <c r="BU195">
        <f>IF(Tabla1[[#This Row],[FALLECIDO SI/NO]]="NO",0,1)</f>
        <v>1</v>
      </c>
      <c r="BV195" s="3">
        <f ca="1">IF(Tabla1[[#This Row],[FALLECIDO_COD]]=0,TODAY()-Tabla1[[#This Row],[FECHA_TRASPLANTE]],Tabla1[[#This Row],[FECHA DE DEFUNCIÓN]]-Tabla1[[#This Row],[FECHA_TRASPLANTE]])</f>
        <v>131</v>
      </c>
      <c r="BW195" s="3">
        <f ca="1">IF(Tabla1[[#This Row],[FALLECIDO_COD]]=0,TODAY()-Tabla1[[#This Row],[FECHA_TRASPLANTE]],Tabla1[[#This Row],[FECHA DE DEFUNCIÓN]]-Tabla1[[#This Row],[FECHA_TRASPLANTE]])/30.4375</f>
        <v>4.3039014373716631</v>
      </c>
      <c r="BX195" s="3">
        <f ca="1">IF(Tabla1[[#This Row],[FALLECIDO_COD]]=0,TODAY()-Tabla1[[#This Row],[FECHA_TRASPLANTE]],Tabla1[[#This Row],[FECHA DE DEFUNCIÓN]]-Tabla1[[#This Row],[FECHA_TRASPLANTE]])/365.25</f>
        <v>0.35865845311430528</v>
      </c>
      <c r="BY195"/>
      <c r="BZ195"/>
    </row>
    <row r="196" spans="1:78" hidden="1" x14ac:dyDescent="0.35">
      <c r="A196" t="s">
        <v>377</v>
      </c>
      <c r="D196" t="s">
        <v>1129</v>
      </c>
      <c r="E196" t="s">
        <v>77</v>
      </c>
      <c r="I196">
        <v>118.33356211393274</v>
      </c>
      <c r="K196" t="s">
        <v>1457</v>
      </c>
      <c r="L196" t="s">
        <v>1041</v>
      </c>
      <c r="M196" t="s">
        <v>184</v>
      </c>
      <c r="N196" s="11">
        <v>203370368</v>
      </c>
      <c r="O196" s="2">
        <v>43103</v>
      </c>
      <c r="P196" t="s">
        <v>90</v>
      </c>
      <c r="Q196" s="2">
        <v>21534</v>
      </c>
      <c r="R196" s="3">
        <f>(Tabla1[[#This Row],[FECHA_TRASPLANTE]]-Tabla1[[#This Row],[FECHA_NAC]])/365.25</f>
        <v>59.052703627652292</v>
      </c>
      <c r="T196"/>
      <c r="W196" t="s">
        <v>82</v>
      </c>
      <c r="AM196" t="s">
        <v>86</v>
      </c>
      <c r="AN196" s="2">
        <v>43154</v>
      </c>
      <c r="AO196"/>
      <c r="AV196" s="2"/>
      <c r="AZ196"/>
      <c r="BT196" s="2">
        <f>Tabla1[[#This Row],[FECHA_TRASPLANTE]]</f>
        <v>43103</v>
      </c>
      <c r="BU196">
        <f>IF(Tabla1[[#This Row],[FALLECIDO SI/NO]]="NO",0,1)</f>
        <v>1</v>
      </c>
      <c r="BV196" s="3">
        <f ca="1">IF(Tabla1[[#This Row],[FALLECIDO_COD]]=0,TODAY()-Tabla1[[#This Row],[FECHA_TRASPLANTE]],Tabla1[[#This Row],[FECHA DE DEFUNCIÓN]]-Tabla1[[#This Row],[FECHA_TRASPLANTE]])</f>
        <v>51</v>
      </c>
      <c r="BW196" s="3">
        <f ca="1">IF(Tabla1[[#This Row],[FALLECIDO_COD]]=0,TODAY()-Tabla1[[#This Row],[FECHA_TRASPLANTE]],Tabla1[[#This Row],[FECHA DE DEFUNCIÓN]]-Tabla1[[#This Row],[FECHA_TRASPLANTE]])/30.4375</f>
        <v>1.675564681724846</v>
      </c>
      <c r="BX196" s="3">
        <f ca="1">IF(Tabla1[[#This Row],[FALLECIDO_COD]]=0,TODAY()-Tabla1[[#This Row],[FECHA_TRASPLANTE]],Tabla1[[#This Row],[FECHA DE DEFUNCIÓN]]-Tabla1[[#This Row],[FECHA_TRASPLANTE]])/365.25</f>
        <v>0.13963039014373715</v>
      </c>
      <c r="BY196"/>
      <c r="BZ196"/>
    </row>
    <row r="197" spans="1:78" hidden="1" x14ac:dyDescent="0.35">
      <c r="A197" t="s">
        <v>377</v>
      </c>
      <c r="D197" t="s">
        <v>1129</v>
      </c>
      <c r="E197" t="s">
        <v>375</v>
      </c>
      <c r="I197">
        <v>118.39121482498284</v>
      </c>
      <c r="K197" t="s">
        <v>544</v>
      </c>
      <c r="L197" t="s">
        <v>388</v>
      </c>
      <c r="M197" t="s">
        <v>1458</v>
      </c>
      <c r="N197" s="11">
        <v>401430796</v>
      </c>
      <c r="O197" s="2">
        <v>43124</v>
      </c>
      <c r="P197" t="s">
        <v>81</v>
      </c>
      <c r="Q197" s="2">
        <v>24604</v>
      </c>
      <c r="R197" s="3">
        <f>(Tabla1[[#This Row],[FECHA_TRASPLANTE]]-Tabla1[[#This Row],[FECHA_NAC]])/365.25</f>
        <v>50.704996577686515</v>
      </c>
      <c r="T197"/>
      <c r="W197" t="s">
        <v>82</v>
      </c>
      <c r="AM197" t="s">
        <v>106</v>
      </c>
      <c r="AO197"/>
      <c r="AV197" s="2"/>
      <c r="AZ197"/>
      <c r="BT197" s="2">
        <f>Tabla1[[#This Row],[FECHA_TRASPLANTE]]</f>
        <v>43124</v>
      </c>
      <c r="BU197">
        <f>IF(Tabla1[[#This Row],[FALLECIDO SI/NO]]="NO",0,1)</f>
        <v>0</v>
      </c>
      <c r="BV197" s="3">
        <f ca="1">IF(Tabla1[[#This Row],[FALLECIDO_COD]]=0,TODAY()-Tabla1[[#This Row],[FECHA_TRASPLANTE]],Tabla1[[#This Row],[FECHA DE DEFUNCIÓN]]-Tabla1[[#This Row],[FECHA_TRASPLANTE]])</f>
        <v>2751</v>
      </c>
      <c r="BW197" s="3">
        <f ca="1">IF(Tabla1[[#This Row],[FALLECIDO_COD]]=0,TODAY()-Tabla1[[#This Row],[FECHA_TRASPLANTE]],Tabla1[[#This Row],[FECHA DE DEFUNCIÓN]]-Tabla1[[#This Row],[FECHA_TRASPLANTE]])/30.4375</f>
        <v>90.381930184804929</v>
      </c>
      <c r="BX197" s="3">
        <f ca="1">IF(Tabla1[[#This Row],[FALLECIDO_COD]]=0,TODAY()-Tabla1[[#This Row],[FECHA_TRASPLANTE]],Tabla1[[#This Row],[FECHA DE DEFUNCIÓN]]-Tabla1[[#This Row],[FECHA_TRASPLANTE]])/365.25</f>
        <v>7.5318275154004111</v>
      </c>
      <c r="BY197"/>
      <c r="BZ197"/>
    </row>
    <row r="198" spans="1:78" hidden="1" x14ac:dyDescent="0.35">
      <c r="A198" t="s">
        <v>377</v>
      </c>
      <c r="D198" t="s">
        <v>1129</v>
      </c>
      <c r="E198" t="s">
        <v>375</v>
      </c>
      <c r="I198">
        <v>118.41043239533288</v>
      </c>
      <c r="K198" t="s">
        <v>1459</v>
      </c>
      <c r="L198" t="s">
        <v>1460</v>
      </c>
      <c r="M198" t="s">
        <v>1461</v>
      </c>
      <c r="N198" s="11">
        <v>105400439</v>
      </c>
      <c r="O198" s="2">
        <v>43131</v>
      </c>
      <c r="P198" t="s">
        <v>81</v>
      </c>
      <c r="Q198" s="2">
        <v>22139</v>
      </c>
      <c r="R198" s="3">
        <f>(Tabla1[[#This Row],[FECHA_TRASPLANTE]]-Tabla1[[#This Row],[FECHA_NAC]])/365.25</f>
        <v>57.472963723477072</v>
      </c>
      <c r="T198"/>
      <c r="W198" t="s">
        <v>82</v>
      </c>
      <c r="X198" t="s">
        <v>91</v>
      </c>
      <c r="Y198" t="s">
        <v>84</v>
      </c>
      <c r="Z198" t="s">
        <v>307</v>
      </c>
      <c r="AM198" t="s">
        <v>106</v>
      </c>
      <c r="AO198"/>
      <c r="AV198" s="2"/>
      <c r="AZ198"/>
      <c r="BT198" s="2">
        <f>Tabla1[[#This Row],[FECHA_TRASPLANTE]]</f>
        <v>43131</v>
      </c>
      <c r="BU198">
        <f>IF(Tabla1[[#This Row],[FALLECIDO SI/NO]]="NO",0,1)</f>
        <v>0</v>
      </c>
      <c r="BV198" s="3">
        <f ca="1">IF(Tabla1[[#This Row],[FALLECIDO_COD]]=0,TODAY()-Tabla1[[#This Row],[FECHA_TRASPLANTE]],Tabla1[[#This Row],[FECHA DE DEFUNCIÓN]]-Tabla1[[#This Row],[FECHA_TRASPLANTE]])</f>
        <v>2744</v>
      </c>
      <c r="BW198" s="3">
        <f ca="1">IF(Tabla1[[#This Row],[FALLECIDO_COD]]=0,TODAY()-Tabla1[[#This Row],[FECHA_TRASPLANTE]],Tabla1[[#This Row],[FECHA DE DEFUNCIÓN]]-Tabla1[[#This Row],[FECHA_TRASPLANTE]])/30.4375</f>
        <v>90.151950718685825</v>
      </c>
      <c r="BX198" s="3">
        <f ca="1">IF(Tabla1[[#This Row],[FALLECIDO_COD]]=0,TODAY()-Tabla1[[#This Row],[FECHA_TRASPLANTE]],Tabla1[[#This Row],[FECHA DE DEFUNCIÓN]]-Tabla1[[#This Row],[FECHA_TRASPLANTE]])/365.25</f>
        <v>7.5126625598904857</v>
      </c>
      <c r="BY198"/>
      <c r="BZ198"/>
    </row>
    <row r="199" spans="1:78" hidden="1" x14ac:dyDescent="0.35">
      <c r="A199" t="s">
        <v>1125</v>
      </c>
      <c r="D199" t="s">
        <v>1129</v>
      </c>
      <c r="E199" t="s">
        <v>375</v>
      </c>
      <c r="I199">
        <v>118.08624229979466</v>
      </c>
      <c r="J199" t="s">
        <v>1346</v>
      </c>
      <c r="K199" t="s">
        <v>1462</v>
      </c>
      <c r="L199" t="s">
        <v>149</v>
      </c>
      <c r="M199" t="s">
        <v>619</v>
      </c>
      <c r="N199" s="11">
        <v>116430961</v>
      </c>
      <c r="O199" s="2">
        <v>43131</v>
      </c>
      <c r="R199" s="3">
        <f>(Tabla1[[#This Row],[FECHA_TRASPLANTE]]-Tabla1[[#This Row],[FECHA_NAC]])/365.25</f>
        <v>118.08624229979466</v>
      </c>
      <c r="T199"/>
      <c r="U199" t="s">
        <v>1348</v>
      </c>
      <c r="W199" t="s">
        <v>82</v>
      </c>
      <c r="AM199" t="s">
        <v>106</v>
      </c>
      <c r="AO199"/>
      <c r="AV199" s="2"/>
      <c r="AZ199"/>
      <c r="BT199" s="2">
        <f>Tabla1[[#This Row],[FECHA_TRASPLANTE]]</f>
        <v>43131</v>
      </c>
      <c r="BU199">
        <f>IF(Tabla1[[#This Row],[FALLECIDO SI/NO]]="NO",0,1)</f>
        <v>0</v>
      </c>
      <c r="BV199" s="3">
        <f ca="1">IF(Tabla1[[#This Row],[FALLECIDO_COD]]=0,TODAY()-Tabla1[[#This Row],[FECHA_TRASPLANTE]],Tabla1[[#This Row],[FECHA DE DEFUNCIÓN]]-Tabla1[[#This Row],[FECHA_TRASPLANTE]])</f>
        <v>2744</v>
      </c>
      <c r="BW199" s="3">
        <f ca="1">IF(Tabla1[[#This Row],[FALLECIDO_COD]]=0,TODAY()-Tabla1[[#This Row],[FECHA_TRASPLANTE]],Tabla1[[#This Row],[FECHA DE DEFUNCIÓN]]-Tabla1[[#This Row],[FECHA_TRASPLANTE]])/30.4375</f>
        <v>90.151950718685825</v>
      </c>
      <c r="BX199" s="3">
        <f ca="1">IF(Tabla1[[#This Row],[FALLECIDO_COD]]=0,TODAY()-Tabla1[[#This Row],[FECHA_TRASPLANTE]],Tabla1[[#This Row],[FECHA DE DEFUNCIÓN]]-Tabla1[[#This Row],[FECHA_TRASPLANTE]])/365.25</f>
        <v>7.5126625598904857</v>
      </c>
      <c r="BY199"/>
      <c r="BZ199"/>
    </row>
    <row r="200" spans="1:78" hidden="1" x14ac:dyDescent="0.35">
      <c r="A200" t="s">
        <v>377</v>
      </c>
      <c r="D200" t="s">
        <v>1129</v>
      </c>
      <c r="E200" t="s">
        <v>375</v>
      </c>
      <c r="I200">
        <v>118.42964996568291</v>
      </c>
      <c r="K200" t="s">
        <v>1184</v>
      </c>
      <c r="L200" t="s">
        <v>119</v>
      </c>
      <c r="M200" t="s">
        <v>483</v>
      </c>
      <c r="N200" s="11">
        <v>900890662</v>
      </c>
      <c r="O200" s="2">
        <v>43138</v>
      </c>
      <c r="P200" t="s">
        <v>81</v>
      </c>
      <c r="Q200" s="2">
        <v>25816</v>
      </c>
      <c r="R200" s="3">
        <f>(Tabla1[[#This Row],[FECHA_TRASPLANTE]]-Tabla1[[#This Row],[FECHA_NAC]])/365.25</f>
        <v>47.42505133470226</v>
      </c>
      <c r="T200"/>
      <c r="W200" t="s">
        <v>82</v>
      </c>
      <c r="X200" t="s">
        <v>125</v>
      </c>
      <c r="Y200" t="s">
        <v>667</v>
      </c>
      <c r="Z200" t="s">
        <v>667</v>
      </c>
      <c r="AM200" t="s">
        <v>86</v>
      </c>
      <c r="AN200" s="2">
        <v>43170</v>
      </c>
      <c r="AO200"/>
      <c r="AV200" s="2"/>
      <c r="AZ200"/>
      <c r="BT200" s="2">
        <f>Tabla1[[#This Row],[FECHA_TRASPLANTE]]</f>
        <v>43138</v>
      </c>
      <c r="BU200">
        <f>IF(Tabla1[[#This Row],[FALLECIDO SI/NO]]="NO",0,1)</f>
        <v>1</v>
      </c>
      <c r="BV200" s="3">
        <f ca="1">IF(Tabla1[[#This Row],[FALLECIDO_COD]]=0,TODAY()-Tabla1[[#This Row],[FECHA_TRASPLANTE]],Tabla1[[#This Row],[FECHA DE DEFUNCIÓN]]-Tabla1[[#This Row],[FECHA_TRASPLANTE]])</f>
        <v>32</v>
      </c>
      <c r="BW200" s="3">
        <f ca="1">IF(Tabla1[[#This Row],[FALLECIDO_COD]]=0,TODAY()-Tabla1[[#This Row],[FECHA_TRASPLANTE]],Tabla1[[#This Row],[FECHA DE DEFUNCIÓN]]-Tabla1[[#This Row],[FECHA_TRASPLANTE]])/30.4375</f>
        <v>1.0513347022587269</v>
      </c>
      <c r="BX200" s="3">
        <f ca="1">IF(Tabla1[[#This Row],[FALLECIDO_COD]]=0,TODAY()-Tabla1[[#This Row],[FECHA_TRASPLANTE]],Tabla1[[#This Row],[FECHA DE DEFUNCIÓN]]-Tabla1[[#This Row],[FECHA_TRASPLANTE]])/365.25</f>
        <v>8.761122518822724E-2</v>
      </c>
      <c r="BY200"/>
      <c r="BZ200"/>
    </row>
    <row r="201" spans="1:78" hidden="1" x14ac:dyDescent="0.35">
      <c r="A201" t="s">
        <v>75</v>
      </c>
      <c r="D201" t="s">
        <v>1129</v>
      </c>
      <c r="E201" t="s">
        <v>77</v>
      </c>
      <c r="I201">
        <v>118.44337680164722</v>
      </c>
      <c r="K201" t="s">
        <v>1463</v>
      </c>
      <c r="L201" t="s">
        <v>155</v>
      </c>
      <c r="M201" t="s">
        <v>541</v>
      </c>
      <c r="N201" s="11">
        <v>203220038</v>
      </c>
      <c r="O201" s="16">
        <v>43143</v>
      </c>
      <c r="P201" t="s">
        <v>90</v>
      </c>
      <c r="Q201" s="2">
        <v>18543</v>
      </c>
      <c r="R201" s="3">
        <f>(Tabla1[[#This Row],[FECHA_TRASPLANTE]]-Tabla1[[#This Row],[FECHA_NAC]])/365.25</f>
        <v>67.351129363449687</v>
      </c>
      <c r="T201"/>
      <c r="W201" t="s">
        <v>82</v>
      </c>
      <c r="AM201" t="s">
        <v>86</v>
      </c>
      <c r="AN201" s="2">
        <v>43299</v>
      </c>
      <c r="AO201"/>
      <c r="AV201" s="2"/>
      <c r="AZ201"/>
      <c r="BJ201" s="2"/>
      <c r="BT201" s="2">
        <f>Tabla1[[#This Row],[FECHA_TRASPLANTE]]</f>
        <v>43143</v>
      </c>
      <c r="BU201">
        <f>IF(Tabla1[[#This Row],[FALLECIDO SI/NO]]="NO",0,1)</f>
        <v>1</v>
      </c>
      <c r="BV201" s="3">
        <f ca="1">IF(Tabla1[[#This Row],[FALLECIDO_COD]]=0,TODAY()-Tabla1[[#This Row],[FECHA_TRASPLANTE]],Tabla1[[#This Row],[FECHA DE DEFUNCIÓN]]-Tabla1[[#This Row],[FECHA_TRASPLANTE]])</f>
        <v>156</v>
      </c>
      <c r="BW201" s="3">
        <f ca="1">IF(Tabla1[[#This Row],[FALLECIDO_COD]]=0,TODAY()-Tabla1[[#This Row],[FECHA_TRASPLANTE]],Tabla1[[#This Row],[FECHA DE DEFUNCIÓN]]-Tabla1[[#This Row],[FECHA_TRASPLANTE]])/30.4375</f>
        <v>5.1252566735112932</v>
      </c>
      <c r="BX201" s="3">
        <f ca="1">IF(Tabla1[[#This Row],[FALLECIDO_COD]]=0,TODAY()-Tabla1[[#This Row],[FECHA_TRASPLANTE]],Tabla1[[#This Row],[FECHA DE DEFUNCIÓN]]-Tabla1[[#This Row],[FECHA_TRASPLANTE]])/365.25</f>
        <v>0.4271047227926078</v>
      </c>
      <c r="BY201"/>
      <c r="BZ201"/>
    </row>
    <row r="202" spans="1:78" hidden="1" x14ac:dyDescent="0.35">
      <c r="A202" t="s">
        <v>75</v>
      </c>
      <c r="D202" t="s">
        <v>1129</v>
      </c>
      <c r="E202" t="s">
        <v>77</v>
      </c>
      <c r="I202">
        <v>118.46533973919011</v>
      </c>
      <c r="K202" t="s">
        <v>985</v>
      </c>
      <c r="L202" t="s">
        <v>236</v>
      </c>
      <c r="M202" t="s">
        <v>1464</v>
      </c>
      <c r="N202" s="11">
        <v>107370074</v>
      </c>
      <c r="O202" s="16">
        <v>43151</v>
      </c>
      <c r="P202" t="s">
        <v>81</v>
      </c>
      <c r="Q202" s="2">
        <v>25156</v>
      </c>
      <c r="R202" s="3">
        <f>(Tabla1[[#This Row],[FECHA_TRASPLANTE]]-Tabla1[[#This Row],[FECHA_NAC]])/365.25</f>
        <v>49.267624914442166</v>
      </c>
      <c r="T202"/>
      <c r="W202" t="s">
        <v>82</v>
      </c>
      <c r="X202" t="s">
        <v>91</v>
      </c>
      <c r="Y202" t="s">
        <v>176</v>
      </c>
      <c r="Z202" t="s">
        <v>311</v>
      </c>
      <c r="AM202" t="s">
        <v>86</v>
      </c>
      <c r="AN202" s="2">
        <v>44182</v>
      </c>
      <c r="AO202"/>
      <c r="AV202" s="2"/>
      <c r="AZ202"/>
      <c r="BJ202" s="2"/>
      <c r="BT202" s="2">
        <f>Tabla1[[#This Row],[FECHA_TRASPLANTE]]</f>
        <v>43151</v>
      </c>
      <c r="BU202">
        <f>IF(Tabla1[[#This Row],[FALLECIDO SI/NO]]="NO",0,1)</f>
        <v>1</v>
      </c>
      <c r="BV202" s="3">
        <f ca="1">IF(Tabla1[[#This Row],[FALLECIDO_COD]]=0,TODAY()-Tabla1[[#This Row],[FECHA_TRASPLANTE]],Tabla1[[#This Row],[FECHA DE DEFUNCIÓN]]-Tabla1[[#This Row],[FECHA_TRASPLANTE]])</f>
        <v>1031</v>
      </c>
      <c r="BW202" s="3">
        <f ca="1">IF(Tabla1[[#This Row],[FALLECIDO_COD]]=0,TODAY()-Tabla1[[#This Row],[FECHA_TRASPLANTE]],Tabla1[[#This Row],[FECHA DE DEFUNCIÓN]]-Tabla1[[#This Row],[FECHA_TRASPLANTE]])/30.4375</f>
        <v>33.872689938398359</v>
      </c>
      <c r="BX202" s="3">
        <f ca="1">IF(Tabla1[[#This Row],[FALLECIDO_COD]]=0,TODAY()-Tabla1[[#This Row],[FECHA_TRASPLANTE]],Tabla1[[#This Row],[FECHA DE DEFUNCIÓN]]-Tabla1[[#This Row],[FECHA_TRASPLANTE]])/365.25</f>
        <v>2.8227241615331966</v>
      </c>
      <c r="BY202"/>
      <c r="BZ202"/>
    </row>
    <row r="203" spans="1:78" hidden="1" x14ac:dyDescent="0.35">
      <c r="A203" t="s">
        <v>75</v>
      </c>
      <c r="D203" t="s">
        <v>1129</v>
      </c>
      <c r="E203" t="s">
        <v>77</v>
      </c>
      <c r="I203">
        <v>118.46533973919011</v>
      </c>
      <c r="K203" t="s">
        <v>1465</v>
      </c>
      <c r="L203" t="s">
        <v>1466</v>
      </c>
      <c r="M203" t="s">
        <v>1467</v>
      </c>
      <c r="N203" s="11">
        <v>700960534</v>
      </c>
      <c r="O203" s="16">
        <v>43151</v>
      </c>
      <c r="P203" t="s">
        <v>90</v>
      </c>
      <c r="Q203" s="2">
        <v>25498</v>
      </c>
      <c r="R203" s="3">
        <f>(Tabla1[[#This Row],[FECHA_TRASPLANTE]]-Tabla1[[#This Row],[FECHA_NAC]])/365.25</f>
        <v>48.331279945242983</v>
      </c>
      <c r="T203"/>
      <c r="W203" t="s">
        <v>82</v>
      </c>
      <c r="X203" t="s">
        <v>120</v>
      </c>
      <c r="Y203" t="s">
        <v>84</v>
      </c>
      <c r="Z203" t="s">
        <v>120</v>
      </c>
      <c r="AM203" t="s">
        <v>106</v>
      </c>
      <c r="AO203"/>
      <c r="AV203" s="2"/>
      <c r="AZ203"/>
      <c r="BJ203" s="2"/>
      <c r="BT203" s="2">
        <f>Tabla1[[#This Row],[FECHA_TRASPLANTE]]</f>
        <v>43151</v>
      </c>
      <c r="BU203">
        <f>IF(Tabla1[[#This Row],[FALLECIDO SI/NO]]="NO",0,1)</f>
        <v>0</v>
      </c>
      <c r="BV203" s="3">
        <f ca="1">IF(Tabla1[[#This Row],[FALLECIDO_COD]]=0,TODAY()-Tabla1[[#This Row],[FECHA_TRASPLANTE]],Tabla1[[#This Row],[FECHA DE DEFUNCIÓN]]-Tabla1[[#This Row],[FECHA_TRASPLANTE]])</f>
        <v>2724</v>
      </c>
      <c r="BW203" s="3">
        <f ca="1">IF(Tabla1[[#This Row],[FALLECIDO_COD]]=0,TODAY()-Tabla1[[#This Row],[FECHA_TRASPLANTE]],Tabla1[[#This Row],[FECHA DE DEFUNCIÓN]]-Tabla1[[#This Row],[FECHA_TRASPLANTE]])/30.4375</f>
        <v>89.494866529774129</v>
      </c>
      <c r="BX203" s="3">
        <f ca="1">IF(Tabla1[[#This Row],[FALLECIDO_COD]]=0,TODAY()-Tabla1[[#This Row],[FECHA_TRASPLANTE]],Tabla1[[#This Row],[FECHA DE DEFUNCIÓN]]-Tabla1[[#This Row],[FECHA_TRASPLANTE]])/365.25</f>
        <v>7.4579055441478443</v>
      </c>
      <c r="BY203"/>
      <c r="BZ203"/>
    </row>
    <row r="204" spans="1:78" hidden="1" x14ac:dyDescent="0.35">
      <c r="A204" t="s">
        <v>377</v>
      </c>
      <c r="D204" t="s">
        <v>1129</v>
      </c>
      <c r="E204" t="s">
        <v>375</v>
      </c>
      <c r="I204">
        <v>118.50652024708305</v>
      </c>
      <c r="K204" t="s">
        <v>1204</v>
      </c>
      <c r="L204" t="s">
        <v>141</v>
      </c>
      <c r="M204" t="s">
        <v>692</v>
      </c>
      <c r="N204" s="11">
        <v>402040922</v>
      </c>
      <c r="O204" s="2">
        <v>43166</v>
      </c>
      <c r="P204" t="s">
        <v>81</v>
      </c>
      <c r="Q204" s="2">
        <v>32854</v>
      </c>
      <c r="R204" s="3">
        <f>(Tabla1[[#This Row],[FECHA_TRASPLANTE]]-Tabla1[[#This Row],[FECHA_NAC]])/365.25</f>
        <v>28.232717316906228</v>
      </c>
      <c r="T204"/>
      <c r="W204" t="s">
        <v>82</v>
      </c>
      <c r="AM204" t="s">
        <v>86</v>
      </c>
      <c r="AN204" s="2">
        <v>44489</v>
      </c>
      <c r="AO204"/>
      <c r="AV204" s="2"/>
      <c r="AZ204"/>
      <c r="BT204" s="2">
        <f>Tabla1[[#This Row],[FECHA_TRASPLANTE]]</f>
        <v>43166</v>
      </c>
      <c r="BU204">
        <f>IF(Tabla1[[#This Row],[FALLECIDO SI/NO]]="NO",0,1)</f>
        <v>1</v>
      </c>
      <c r="BV204" s="3">
        <f ca="1">IF(Tabla1[[#This Row],[FALLECIDO_COD]]=0,TODAY()-Tabla1[[#This Row],[FECHA_TRASPLANTE]],Tabla1[[#This Row],[FECHA DE DEFUNCIÓN]]-Tabla1[[#This Row],[FECHA_TRASPLANTE]])</f>
        <v>1323</v>
      </c>
      <c r="BW204" s="3">
        <f ca="1">IF(Tabla1[[#This Row],[FALLECIDO_COD]]=0,TODAY()-Tabla1[[#This Row],[FECHA_TRASPLANTE]],Tabla1[[#This Row],[FECHA DE DEFUNCIÓN]]-Tabla1[[#This Row],[FECHA_TRASPLANTE]])/30.4375</f>
        <v>43.466119096509239</v>
      </c>
      <c r="BX204" s="3">
        <f ca="1">IF(Tabla1[[#This Row],[FALLECIDO_COD]]=0,TODAY()-Tabla1[[#This Row],[FECHA_TRASPLANTE]],Tabla1[[#This Row],[FECHA DE DEFUNCIÓN]]-Tabla1[[#This Row],[FECHA_TRASPLANTE]])/365.25</f>
        <v>3.6221765913757702</v>
      </c>
      <c r="BY204"/>
      <c r="BZ204"/>
    </row>
    <row r="205" spans="1:78" hidden="1" x14ac:dyDescent="0.35">
      <c r="A205" t="s">
        <v>75</v>
      </c>
      <c r="D205" t="s">
        <v>1129</v>
      </c>
      <c r="E205" t="s">
        <v>77</v>
      </c>
      <c r="I205">
        <v>118.52299245024022</v>
      </c>
      <c r="K205" t="s">
        <v>1468</v>
      </c>
      <c r="L205" t="s">
        <v>114</v>
      </c>
      <c r="M205" t="s">
        <v>1002</v>
      </c>
      <c r="N205" s="11">
        <v>106270004</v>
      </c>
      <c r="O205" s="16">
        <v>43172</v>
      </c>
      <c r="P205" t="s">
        <v>81</v>
      </c>
      <c r="Q205" s="2">
        <v>23482</v>
      </c>
      <c r="R205" s="3">
        <f>(Tabla1[[#This Row],[FECHA_TRASPLANTE]]-Tabla1[[#This Row],[FECHA_NAC]])/365.25</f>
        <v>53.908281998631075</v>
      </c>
      <c r="T205"/>
      <c r="W205" t="s">
        <v>82</v>
      </c>
      <c r="X205" t="s">
        <v>261</v>
      </c>
      <c r="Y205" t="s">
        <v>84</v>
      </c>
      <c r="Z205" t="s">
        <v>585</v>
      </c>
      <c r="AM205" t="s">
        <v>106</v>
      </c>
      <c r="AO205"/>
      <c r="AV205" s="2"/>
      <c r="AZ205"/>
      <c r="BJ205" s="2"/>
      <c r="BT205" s="2">
        <f>Tabla1[[#This Row],[FECHA_TRASPLANTE]]</f>
        <v>43172</v>
      </c>
      <c r="BU205">
        <f>IF(Tabla1[[#This Row],[FALLECIDO SI/NO]]="NO",0,1)</f>
        <v>0</v>
      </c>
      <c r="BV205" s="3">
        <f ca="1">IF(Tabla1[[#This Row],[FALLECIDO_COD]]=0,TODAY()-Tabla1[[#This Row],[FECHA_TRASPLANTE]],Tabla1[[#This Row],[FECHA DE DEFUNCIÓN]]-Tabla1[[#This Row],[FECHA_TRASPLANTE]])</f>
        <v>2703</v>
      </c>
      <c r="BW205" s="3">
        <f ca="1">IF(Tabla1[[#This Row],[FALLECIDO_COD]]=0,TODAY()-Tabla1[[#This Row],[FECHA_TRASPLANTE]],Tabla1[[#This Row],[FECHA DE DEFUNCIÓN]]-Tabla1[[#This Row],[FECHA_TRASPLANTE]])/30.4375</f>
        <v>88.804928131416844</v>
      </c>
      <c r="BX205" s="3">
        <f ca="1">IF(Tabla1[[#This Row],[FALLECIDO_COD]]=0,TODAY()-Tabla1[[#This Row],[FECHA_TRASPLANTE]],Tabla1[[#This Row],[FECHA DE DEFUNCIÓN]]-Tabla1[[#This Row],[FECHA_TRASPLANTE]])/365.25</f>
        <v>7.40041067761807</v>
      </c>
      <c r="BY205"/>
      <c r="BZ205"/>
    </row>
    <row r="206" spans="1:78" hidden="1" x14ac:dyDescent="0.35">
      <c r="A206" t="s">
        <v>75</v>
      </c>
      <c r="D206" t="s">
        <v>1129</v>
      </c>
      <c r="E206" t="s">
        <v>77</v>
      </c>
      <c r="I206">
        <v>118.52299245024022</v>
      </c>
      <c r="K206" t="s">
        <v>1469</v>
      </c>
      <c r="L206" t="s">
        <v>109</v>
      </c>
      <c r="M206" t="s">
        <v>237</v>
      </c>
      <c r="N206" s="11">
        <v>109160054</v>
      </c>
      <c r="O206" s="16">
        <v>43172</v>
      </c>
      <c r="P206" t="s">
        <v>81</v>
      </c>
      <c r="Q206" s="2">
        <v>27591</v>
      </c>
      <c r="R206" s="3">
        <f>(Tabla1[[#This Row],[FECHA_TRASPLANTE]]-Tabla1[[#This Row],[FECHA_NAC]])/365.25</f>
        <v>42.658453114305267</v>
      </c>
      <c r="T206"/>
      <c r="W206" t="s">
        <v>82</v>
      </c>
      <c r="X206" t="s">
        <v>91</v>
      </c>
      <c r="Y206" t="s">
        <v>193</v>
      </c>
      <c r="Z206" t="s">
        <v>193</v>
      </c>
      <c r="AM206" t="s">
        <v>106</v>
      </c>
      <c r="AO206"/>
      <c r="AV206" s="2"/>
      <c r="AZ206"/>
      <c r="BJ206" s="2"/>
      <c r="BT206" s="2">
        <f>Tabla1[[#This Row],[FECHA_TRASPLANTE]]</f>
        <v>43172</v>
      </c>
      <c r="BU206">
        <f>IF(Tabla1[[#This Row],[FALLECIDO SI/NO]]="NO",0,1)</f>
        <v>0</v>
      </c>
      <c r="BV206" s="3">
        <f ca="1">IF(Tabla1[[#This Row],[FALLECIDO_COD]]=0,TODAY()-Tabla1[[#This Row],[FECHA_TRASPLANTE]],Tabla1[[#This Row],[FECHA DE DEFUNCIÓN]]-Tabla1[[#This Row],[FECHA_TRASPLANTE]])</f>
        <v>2703</v>
      </c>
      <c r="BW206" s="3">
        <f ca="1">IF(Tabla1[[#This Row],[FALLECIDO_COD]]=0,TODAY()-Tabla1[[#This Row],[FECHA_TRASPLANTE]],Tabla1[[#This Row],[FECHA DE DEFUNCIÓN]]-Tabla1[[#This Row],[FECHA_TRASPLANTE]])/30.4375</f>
        <v>88.804928131416844</v>
      </c>
      <c r="BX206" s="3">
        <f ca="1">IF(Tabla1[[#This Row],[FALLECIDO_COD]]=0,TODAY()-Tabla1[[#This Row],[FECHA_TRASPLANTE]],Tabla1[[#This Row],[FECHA DE DEFUNCIÓN]]-Tabla1[[#This Row],[FECHA_TRASPLANTE]])/365.25</f>
        <v>7.40041067761807</v>
      </c>
      <c r="BY206"/>
      <c r="BZ206"/>
    </row>
    <row r="207" spans="1:78" hidden="1" x14ac:dyDescent="0.35">
      <c r="A207" t="s">
        <v>75</v>
      </c>
      <c r="D207" t="s">
        <v>1129</v>
      </c>
      <c r="E207" t="s">
        <v>77</v>
      </c>
      <c r="I207">
        <v>118.53946465339739</v>
      </c>
      <c r="K207" t="s">
        <v>481</v>
      </c>
      <c r="L207" t="s">
        <v>240</v>
      </c>
      <c r="M207" t="s">
        <v>171</v>
      </c>
      <c r="N207" s="11">
        <v>106930795</v>
      </c>
      <c r="O207" s="16">
        <v>43178</v>
      </c>
      <c r="P207" t="s">
        <v>81</v>
      </c>
      <c r="Q207" s="2">
        <v>24504</v>
      </c>
      <c r="R207" s="3">
        <f>(Tabla1[[#This Row],[FECHA_TRASPLANTE]]-Tabla1[[#This Row],[FECHA_NAC]])/365.25</f>
        <v>51.126625598904859</v>
      </c>
      <c r="T207"/>
      <c r="W207" t="s">
        <v>82</v>
      </c>
      <c r="X207" t="s">
        <v>91</v>
      </c>
      <c r="Y207" t="s">
        <v>84</v>
      </c>
      <c r="Z207" t="s">
        <v>598</v>
      </c>
      <c r="AM207" t="s">
        <v>86</v>
      </c>
      <c r="AN207" s="2">
        <v>43213</v>
      </c>
      <c r="AO207"/>
      <c r="AV207" s="2"/>
      <c r="AZ207"/>
      <c r="BJ207" s="2"/>
      <c r="BT207" s="2">
        <f>Tabla1[[#This Row],[FECHA_TRASPLANTE]]</f>
        <v>43178</v>
      </c>
      <c r="BU207">
        <f>IF(Tabla1[[#This Row],[FALLECIDO SI/NO]]="NO",0,1)</f>
        <v>1</v>
      </c>
      <c r="BV207" s="3">
        <f ca="1">IF(Tabla1[[#This Row],[FALLECIDO_COD]]=0,TODAY()-Tabla1[[#This Row],[FECHA_TRASPLANTE]],Tabla1[[#This Row],[FECHA DE DEFUNCIÓN]]-Tabla1[[#This Row],[FECHA_TRASPLANTE]])</f>
        <v>35</v>
      </c>
      <c r="BW207" s="3">
        <f ca="1">IF(Tabla1[[#This Row],[FALLECIDO_COD]]=0,TODAY()-Tabla1[[#This Row],[FECHA_TRASPLANTE]],Tabla1[[#This Row],[FECHA DE DEFUNCIÓN]]-Tabla1[[#This Row],[FECHA_TRASPLANTE]])/30.4375</f>
        <v>1.1498973305954825</v>
      </c>
      <c r="BX207" s="3">
        <f ca="1">IF(Tabla1[[#This Row],[FALLECIDO_COD]]=0,TODAY()-Tabla1[[#This Row],[FECHA_TRASPLANTE]],Tabla1[[#This Row],[FECHA DE DEFUNCIÓN]]-Tabla1[[#This Row],[FECHA_TRASPLANTE]])/365.25</f>
        <v>9.5824777549623541E-2</v>
      </c>
      <c r="BY207"/>
      <c r="BZ207"/>
    </row>
    <row r="208" spans="1:78" hidden="1" x14ac:dyDescent="0.35">
      <c r="A208" t="s">
        <v>377</v>
      </c>
      <c r="D208" t="s">
        <v>1129</v>
      </c>
      <c r="E208" t="s">
        <v>77</v>
      </c>
      <c r="I208">
        <v>118.53946465339739</v>
      </c>
      <c r="K208" t="s">
        <v>1470</v>
      </c>
      <c r="L208" t="s">
        <v>1471</v>
      </c>
      <c r="M208" t="s">
        <v>652</v>
      </c>
      <c r="N208" s="11">
        <v>108280496</v>
      </c>
      <c r="O208" s="2">
        <v>43178</v>
      </c>
      <c r="P208" t="s">
        <v>90</v>
      </c>
      <c r="Q208" s="2">
        <v>26470</v>
      </c>
      <c r="R208" s="3">
        <f>(Tabla1[[#This Row],[FECHA_TRASPLANTE]]-Tabla1[[#This Row],[FECHA_NAC]])/365.25</f>
        <v>45.744010951403148</v>
      </c>
      <c r="T208"/>
      <c r="W208" t="s">
        <v>82</v>
      </c>
      <c r="X208" t="s">
        <v>91</v>
      </c>
      <c r="Y208" t="s">
        <v>211</v>
      </c>
      <c r="Z208" t="s">
        <v>607</v>
      </c>
      <c r="AM208" t="s">
        <v>106</v>
      </c>
      <c r="AO208"/>
      <c r="AV208" s="2"/>
      <c r="AZ208"/>
      <c r="BT208" s="2">
        <f>Tabla1[[#This Row],[FECHA_TRASPLANTE]]</f>
        <v>43178</v>
      </c>
      <c r="BU208">
        <f>IF(Tabla1[[#This Row],[FALLECIDO SI/NO]]="NO",0,1)</f>
        <v>0</v>
      </c>
      <c r="BV208" s="3">
        <f ca="1">IF(Tabla1[[#This Row],[FALLECIDO_COD]]=0,TODAY()-Tabla1[[#This Row],[FECHA_TRASPLANTE]],Tabla1[[#This Row],[FECHA DE DEFUNCIÓN]]-Tabla1[[#This Row],[FECHA_TRASPLANTE]])</f>
        <v>2697</v>
      </c>
      <c r="BW208" s="3">
        <f ca="1">IF(Tabla1[[#This Row],[FALLECIDO_COD]]=0,TODAY()-Tabla1[[#This Row],[FECHA_TRASPLANTE]],Tabla1[[#This Row],[FECHA DE DEFUNCIÓN]]-Tabla1[[#This Row],[FECHA_TRASPLANTE]])/30.4375</f>
        <v>88.607802874743328</v>
      </c>
      <c r="BX208" s="3">
        <f ca="1">IF(Tabla1[[#This Row],[FALLECIDO_COD]]=0,TODAY()-Tabla1[[#This Row],[FECHA_TRASPLANTE]],Tabla1[[#This Row],[FECHA DE DEFUNCIÓN]]-Tabla1[[#This Row],[FECHA_TRASPLANTE]])/365.25</f>
        <v>7.3839835728952776</v>
      </c>
      <c r="BY208"/>
      <c r="BZ208"/>
    </row>
    <row r="209" spans="1:78" hidden="1" x14ac:dyDescent="0.35">
      <c r="A209" t="s">
        <v>75</v>
      </c>
      <c r="D209" t="s">
        <v>1129</v>
      </c>
      <c r="E209" t="s">
        <v>77</v>
      </c>
      <c r="I209">
        <v>118.53946465339739</v>
      </c>
      <c r="K209" t="s">
        <v>1472</v>
      </c>
      <c r="L209" t="s">
        <v>1473</v>
      </c>
      <c r="M209" t="s">
        <v>866</v>
      </c>
      <c r="N209" s="11">
        <v>2770101036</v>
      </c>
      <c r="O209" s="16">
        <v>43178</v>
      </c>
      <c r="P209" t="s">
        <v>90</v>
      </c>
      <c r="Q209" s="2">
        <v>28483</v>
      </c>
      <c r="R209" s="3">
        <f>(Tabla1[[#This Row],[FECHA_TRASPLANTE]]-Tabla1[[#This Row],[FECHA_NAC]])/365.25</f>
        <v>40.232717316906232</v>
      </c>
      <c r="T209"/>
      <c r="W209" t="s">
        <v>146</v>
      </c>
      <c r="AM209" t="s">
        <v>86</v>
      </c>
      <c r="AN209" s="2">
        <v>44500</v>
      </c>
      <c r="AO209"/>
      <c r="AV209" s="2"/>
      <c r="AZ209"/>
      <c r="BJ209" s="2"/>
      <c r="BT209" s="2">
        <f>Tabla1[[#This Row],[FECHA_TRASPLANTE]]</f>
        <v>43178</v>
      </c>
      <c r="BU209">
        <f>IF(Tabla1[[#This Row],[FALLECIDO SI/NO]]="NO",0,1)</f>
        <v>1</v>
      </c>
      <c r="BV209" s="3">
        <f ca="1">IF(Tabla1[[#This Row],[FALLECIDO_COD]]=0,TODAY()-Tabla1[[#This Row],[FECHA_TRASPLANTE]],Tabla1[[#This Row],[FECHA DE DEFUNCIÓN]]-Tabla1[[#This Row],[FECHA_TRASPLANTE]])</f>
        <v>1322</v>
      </c>
      <c r="BW209" s="3">
        <f ca="1">IF(Tabla1[[#This Row],[FALLECIDO_COD]]=0,TODAY()-Tabla1[[#This Row],[FECHA_TRASPLANTE]],Tabla1[[#This Row],[FECHA DE DEFUNCIÓN]]-Tabla1[[#This Row],[FECHA_TRASPLANTE]])/30.4375</f>
        <v>43.433264887063658</v>
      </c>
      <c r="BX209" s="3">
        <f ca="1">IF(Tabla1[[#This Row],[FALLECIDO_COD]]=0,TODAY()-Tabla1[[#This Row],[FECHA_TRASPLANTE]],Tabla1[[#This Row],[FECHA DE DEFUNCIÓN]]-Tabla1[[#This Row],[FECHA_TRASPLANTE]])/365.25</f>
        <v>3.6194387405886381</v>
      </c>
      <c r="BY209"/>
      <c r="BZ209"/>
    </row>
    <row r="210" spans="1:78" hidden="1" x14ac:dyDescent="0.35">
      <c r="A210" t="s">
        <v>1126</v>
      </c>
      <c r="D210" t="s">
        <v>1333</v>
      </c>
      <c r="E210" t="s">
        <v>77</v>
      </c>
      <c r="I210">
        <v>118.21492128678987</v>
      </c>
      <c r="J210" t="s">
        <v>1334</v>
      </c>
      <c r="N210" s="11">
        <v>112800798</v>
      </c>
      <c r="O210" s="2">
        <v>43178</v>
      </c>
      <c r="R210" s="3">
        <f>(Tabla1[[#This Row],[FECHA_TRASPLANTE]]-Tabla1[[#This Row],[FECHA_NAC]])/365.25</f>
        <v>118.21492128678987</v>
      </c>
      <c r="AM210" t="s">
        <v>106</v>
      </c>
      <c r="AR210" s="2"/>
      <c r="AS210" s="2"/>
      <c r="AV210" s="2"/>
      <c r="AZ210"/>
      <c r="BT210" s="2">
        <f>Tabla1[[#This Row],[FECHA_TRASPLANTE]]</f>
        <v>43178</v>
      </c>
      <c r="BU210">
        <f>IF(Tabla1[[#This Row],[FALLECIDO SI/NO]]="NO",0,1)</f>
        <v>0</v>
      </c>
      <c r="BV210" s="3">
        <f ca="1">IF(Tabla1[[#This Row],[FALLECIDO_COD]]=0,TODAY()-Tabla1[[#This Row],[FECHA_TRASPLANTE]],Tabla1[[#This Row],[FECHA DE DEFUNCIÓN]]-Tabla1[[#This Row],[FECHA_TRASPLANTE]])</f>
        <v>2697</v>
      </c>
      <c r="BW210" s="3">
        <f ca="1">IF(Tabla1[[#This Row],[FALLECIDO_COD]]=0,TODAY()-Tabla1[[#This Row],[FECHA_TRASPLANTE]],Tabla1[[#This Row],[FECHA DE DEFUNCIÓN]]-Tabla1[[#This Row],[FECHA_TRASPLANTE]])/30.4375</f>
        <v>88.607802874743328</v>
      </c>
      <c r="BX210" s="3">
        <f ca="1">IF(Tabla1[[#This Row],[FALLECIDO_COD]]=0,TODAY()-Tabla1[[#This Row],[FECHA_TRASPLANTE]],Tabla1[[#This Row],[FECHA DE DEFUNCIÓN]]-Tabla1[[#This Row],[FECHA_TRASPLANTE]])/365.25</f>
        <v>7.3839835728952776</v>
      </c>
      <c r="BY210"/>
      <c r="BZ210"/>
    </row>
    <row r="211" spans="1:78" hidden="1" x14ac:dyDescent="0.35">
      <c r="A211" t="s">
        <v>1125</v>
      </c>
      <c r="D211" t="s">
        <v>1129</v>
      </c>
      <c r="E211" t="s">
        <v>77</v>
      </c>
      <c r="I211">
        <v>118.2340862422998</v>
      </c>
      <c r="J211" t="s">
        <v>1334</v>
      </c>
      <c r="K211" t="s">
        <v>1474</v>
      </c>
      <c r="L211" t="s">
        <v>1475</v>
      </c>
      <c r="M211" t="s">
        <v>1476</v>
      </c>
      <c r="N211" s="11">
        <v>110060302</v>
      </c>
      <c r="O211" s="2">
        <v>43185</v>
      </c>
      <c r="R211" s="3">
        <f>(Tabla1[[#This Row],[FECHA_TRASPLANTE]]-Tabla1[[#This Row],[FECHA_NAC]])/365.25</f>
        <v>118.2340862422998</v>
      </c>
      <c r="T211"/>
      <c r="U211" t="s">
        <v>1348</v>
      </c>
      <c r="W211" t="s">
        <v>82</v>
      </c>
      <c r="AM211" t="s">
        <v>86</v>
      </c>
      <c r="AN211" s="2">
        <v>43725</v>
      </c>
      <c r="AO211"/>
      <c r="AV211" s="2"/>
      <c r="AZ211"/>
      <c r="BT211" s="2">
        <f>Tabla1[[#This Row],[FECHA_TRASPLANTE]]</f>
        <v>43185</v>
      </c>
      <c r="BU211">
        <f>IF(Tabla1[[#This Row],[FALLECIDO SI/NO]]="NO",0,1)</f>
        <v>1</v>
      </c>
      <c r="BV211" s="3">
        <f ca="1">IF(Tabla1[[#This Row],[FALLECIDO_COD]]=0,TODAY()-Tabla1[[#This Row],[FECHA_TRASPLANTE]],Tabla1[[#This Row],[FECHA DE DEFUNCIÓN]]-Tabla1[[#This Row],[FECHA_TRASPLANTE]])</f>
        <v>540</v>
      </c>
      <c r="BW211" s="3">
        <f ca="1">IF(Tabla1[[#This Row],[FALLECIDO_COD]]=0,TODAY()-Tabla1[[#This Row],[FECHA_TRASPLANTE]],Tabla1[[#This Row],[FECHA DE DEFUNCIÓN]]-Tabla1[[#This Row],[FECHA_TRASPLANTE]])/30.4375</f>
        <v>17.741273100616016</v>
      </c>
      <c r="BX211" s="3">
        <f ca="1">IF(Tabla1[[#This Row],[FALLECIDO_COD]]=0,TODAY()-Tabla1[[#This Row],[FECHA_TRASPLANTE]],Tabla1[[#This Row],[FECHA DE DEFUNCIÓN]]-Tabla1[[#This Row],[FECHA_TRASPLANTE]])/365.25</f>
        <v>1.4784394250513346</v>
      </c>
      <c r="BY211"/>
      <c r="BZ211"/>
    </row>
    <row r="212" spans="1:78" hidden="1" x14ac:dyDescent="0.35">
      <c r="A212" t="s">
        <v>377</v>
      </c>
      <c r="D212" t="s">
        <v>1129</v>
      </c>
      <c r="E212" t="s">
        <v>375</v>
      </c>
      <c r="I212">
        <v>118.58339052848318</v>
      </c>
      <c r="K212" t="s">
        <v>1358</v>
      </c>
      <c r="L212" t="s">
        <v>94</v>
      </c>
      <c r="M212" t="s">
        <v>482</v>
      </c>
      <c r="N212" s="11">
        <v>204960566</v>
      </c>
      <c r="O212" s="2">
        <v>43194</v>
      </c>
      <c r="P212" t="s">
        <v>90</v>
      </c>
      <c r="Q212" s="2">
        <v>27286</v>
      </c>
      <c r="R212" s="3">
        <f>(Tabla1[[#This Row],[FECHA_TRASPLANTE]]-Tabla1[[#This Row],[FECHA_NAC]])/365.25</f>
        <v>43.553730321697465</v>
      </c>
      <c r="T212"/>
      <c r="W212" t="s">
        <v>82</v>
      </c>
      <c r="X212" t="s">
        <v>115</v>
      </c>
      <c r="Y212" t="s">
        <v>365</v>
      </c>
      <c r="Z212" t="s">
        <v>1359</v>
      </c>
      <c r="AM212" t="s">
        <v>106</v>
      </c>
      <c r="AO212"/>
      <c r="AV212" s="2"/>
      <c r="AZ212"/>
      <c r="BT212" s="2">
        <f>Tabla1[[#This Row],[FECHA_TRASPLANTE]]</f>
        <v>43194</v>
      </c>
      <c r="BU212">
        <f>IF(Tabla1[[#This Row],[FALLECIDO SI/NO]]="NO",0,1)</f>
        <v>0</v>
      </c>
      <c r="BV212" s="3">
        <f ca="1">IF(Tabla1[[#This Row],[FALLECIDO_COD]]=0,TODAY()-Tabla1[[#This Row],[FECHA_TRASPLANTE]],Tabla1[[#This Row],[FECHA DE DEFUNCIÓN]]-Tabla1[[#This Row],[FECHA_TRASPLANTE]])</f>
        <v>2681</v>
      </c>
      <c r="BW212" s="3">
        <f ca="1">IF(Tabla1[[#This Row],[FALLECIDO_COD]]=0,TODAY()-Tabla1[[#This Row],[FECHA_TRASPLANTE]],Tabla1[[#This Row],[FECHA DE DEFUNCIÓN]]-Tabla1[[#This Row],[FECHA_TRASPLANTE]])/30.4375</f>
        <v>88.082135523613957</v>
      </c>
      <c r="BX212" s="3">
        <f ca="1">IF(Tabla1[[#This Row],[FALLECIDO_COD]]=0,TODAY()-Tabla1[[#This Row],[FECHA_TRASPLANTE]],Tabla1[[#This Row],[FECHA DE DEFUNCIÓN]]-Tabla1[[#This Row],[FECHA_TRASPLANTE]])/365.25</f>
        <v>7.3401779603011637</v>
      </c>
      <c r="BY212"/>
      <c r="BZ212"/>
    </row>
    <row r="213" spans="1:78" hidden="1" x14ac:dyDescent="0.35">
      <c r="A213" t="s">
        <v>75</v>
      </c>
      <c r="D213" t="s">
        <v>1129</v>
      </c>
      <c r="E213" t="s">
        <v>375</v>
      </c>
      <c r="I213">
        <v>118.58339052848318</v>
      </c>
      <c r="K213" t="s">
        <v>1477</v>
      </c>
      <c r="L213" t="s">
        <v>1041</v>
      </c>
      <c r="M213" t="s">
        <v>98</v>
      </c>
      <c r="N213" s="11">
        <v>302050228</v>
      </c>
      <c r="O213" s="16">
        <v>43194</v>
      </c>
      <c r="P213" t="s">
        <v>81</v>
      </c>
      <c r="Q213" s="2">
        <v>20050</v>
      </c>
      <c r="R213" s="3">
        <f>(Tabla1[[#This Row],[FECHA_TRASPLANTE]]-Tabla1[[#This Row],[FECHA_NAC]])/365.25</f>
        <v>63.364818617385353</v>
      </c>
      <c r="T213"/>
      <c r="W213" t="s">
        <v>82</v>
      </c>
      <c r="X213" t="s">
        <v>91</v>
      </c>
      <c r="Y213" t="s">
        <v>84</v>
      </c>
      <c r="Z213" t="s">
        <v>186</v>
      </c>
      <c r="AM213" t="s">
        <v>106</v>
      </c>
      <c r="AO213"/>
      <c r="AV213" s="2"/>
      <c r="AZ213"/>
      <c r="BJ213" s="2"/>
      <c r="BT213" s="2">
        <f>Tabla1[[#This Row],[FECHA_TRASPLANTE]]</f>
        <v>43194</v>
      </c>
      <c r="BU213">
        <f>IF(Tabla1[[#This Row],[FALLECIDO SI/NO]]="NO",0,1)</f>
        <v>0</v>
      </c>
      <c r="BV213" s="3">
        <f ca="1">IF(Tabla1[[#This Row],[FALLECIDO_COD]]=0,TODAY()-Tabla1[[#This Row],[FECHA_TRASPLANTE]],Tabla1[[#This Row],[FECHA DE DEFUNCIÓN]]-Tabla1[[#This Row],[FECHA_TRASPLANTE]])</f>
        <v>2681</v>
      </c>
      <c r="BW213" s="3">
        <f ca="1">IF(Tabla1[[#This Row],[FALLECIDO_COD]]=0,TODAY()-Tabla1[[#This Row],[FECHA_TRASPLANTE]],Tabla1[[#This Row],[FECHA DE DEFUNCIÓN]]-Tabla1[[#This Row],[FECHA_TRASPLANTE]])/30.4375</f>
        <v>88.082135523613957</v>
      </c>
      <c r="BX213" s="3">
        <f ca="1">IF(Tabla1[[#This Row],[FALLECIDO_COD]]=0,TODAY()-Tabla1[[#This Row],[FECHA_TRASPLANTE]],Tabla1[[#This Row],[FECHA DE DEFUNCIÓN]]-Tabla1[[#This Row],[FECHA_TRASPLANTE]])/365.25</f>
        <v>7.3401779603011637</v>
      </c>
      <c r="BY213"/>
      <c r="BZ213"/>
    </row>
    <row r="214" spans="1:78" hidden="1" x14ac:dyDescent="0.35">
      <c r="A214" t="s">
        <v>75</v>
      </c>
      <c r="D214" t="s">
        <v>1129</v>
      </c>
      <c r="E214" t="s">
        <v>77</v>
      </c>
      <c r="I214">
        <v>118.63006177076184</v>
      </c>
      <c r="K214" t="s">
        <v>1478</v>
      </c>
      <c r="L214" t="s">
        <v>642</v>
      </c>
      <c r="M214" t="s">
        <v>1479</v>
      </c>
      <c r="N214" s="11">
        <v>800660246</v>
      </c>
      <c r="O214" s="16">
        <v>43211</v>
      </c>
      <c r="P214" t="s">
        <v>90</v>
      </c>
      <c r="Q214" s="2">
        <v>22920</v>
      </c>
      <c r="R214" s="3">
        <f>(Tabla1[[#This Row],[FECHA_TRASPLANTE]]-Tabla1[[#This Row],[FECHA_NAC]])/365.25</f>
        <v>55.553730321697465</v>
      </c>
      <c r="T214"/>
      <c r="W214" t="s">
        <v>82</v>
      </c>
      <c r="AM214" t="s">
        <v>106</v>
      </c>
      <c r="AO214"/>
      <c r="AV214" s="2"/>
      <c r="AZ214"/>
      <c r="BJ214" s="2"/>
      <c r="BT214" s="2">
        <f>Tabla1[[#This Row],[FECHA_TRASPLANTE]]</f>
        <v>43211</v>
      </c>
      <c r="BU214">
        <f>IF(Tabla1[[#This Row],[FALLECIDO SI/NO]]="NO",0,1)</f>
        <v>0</v>
      </c>
      <c r="BV214" s="3">
        <f ca="1">IF(Tabla1[[#This Row],[FALLECIDO_COD]]=0,TODAY()-Tabla1[[#This Row],[FECHA_TRASPLANTE]],Tabla1[[#This Row],[FECHA DE DEFUNCIÓN]]-Tabla1[[#This Row],[FECHA_TRASPLANTE]])</f>
        <v>2664</v>
      </c>
      <c r="BW214" s="3">
        <f ca="1">IF(Tabla1[[#This Row],[FALLECIDO_COD]]=0,TODAY()-Tabla1[[#This Row],[FECHA_TRASPLANTE]],Tabla1[[#This Row],[FECHA DE DEFUNCIÓN]]-Tabla1[[#This Row],[FECHA_TRASPLANTE]])/30.4375</f>
        <v>87.523613963039011</v>
      </c>
      <c r="BX214" s="3">
        <f ca="1">IF(Tabla1[[#This Row],[FALLECIDO_COD]]=0,TODAY()-Tabla1[[#This Row],[FECHA_TRASPLANTE]],Tabla1[[#This Row],[FECHA DE DEFUNCIÓN]]-Tabla1[[#This Row],[FECHA_TRASPLANTE]])/365.25</f>
        <v>7.2936344969199176</v>
      </c>
      <c r="BY214"/>
      <c r="BZ214"/>
    </row>
    <row r="215" spans="1:78" hidden="1" x14ac:dyDescent="0.35">
      <c r="A215" t="s">
        <v>1126</v>
      </c>
      <c r="D215" t="s">
        <v>1333</v>
      </c>
      <c r="E215" t="s">
        <v>77</v>
      </c>
      <c r="I215">
        <v>118.30527036276523</v>
      </c>
      <c r="J215" t="s">
        <v>1334</v>
      </c>
      <c r="N215" s="11">
        <v>302480309</v>
      </c>
      <c r="O215" s="2">
        <v>43211</v>
      </c>
      <c r="R215" s="3">
        <f>(Tabla1[[#This Row],[FECHA_TRASPLANTE]]-Tabla1[[#This Row],[FECHA_NAC]])/365.25</f>
        <v>118.30527036276523</v>
      </c>
      <c r="AM215" t="s">
        <v>86</v>
      </c>
      <c r="AN215" s="2">
        <v>43462</v>
      </c>
      <c r="AR215" s="2"/>
      <c r="AS215" s="2"/>
      <c r="AV215" s="2"/>
      <c r="AZ215"/>
      <c r="BT215" s="2">
        <f>Tabla1[[#This Row],[FECHA_TRASPLANTE]]</f>
        <v>43211</v>
      </c>
      <c r="BU215">
        <f>IF(Tabla1[[#This Row],[FALLECIDO SI/NO]]="NO",0,1)</f>
        <v>1</v>
      </c>
      <c r="BV215" s="3">
        <f ca="1">IF(Tabla1[[#This Row],[FALLECIDO_COD]]=0,TODAY()-Tabla1[[#This Row],[FECHA_TRASPLANTE]],Tabla1[[#This Row],[FECHA DE DEFUNCIÓN]]-Tabla1[[#This Row],[FECHA_TRASPLANTE]])</f>
        <v>251</v>
      </c>
      <c r="BW215" s="3">
        <f ca="1">IF(Tabla1[[#This Row],[FALLECIDO_COD]]=0,TODAY()-Tabla1[[#This Row],[FECHA_TRASPLANTE]],Tabla1[[#This Row],[FECHA DE DEFUNCIÓN]]-Tabla1[[#This Row],[FECHA_TRASPLANTE]])/30.4375</f>
        <v>8.2464065708418897</v>
      </c>
      <c r="BX215" s="3">
        <f ca="1">IF(Tabla1[[#This Row],[FALLECIDO_COD]]=0,TODAY()-Tabla1[[#This Row],[FECHA_TRASPLANTE]],Tabla1[[#This Row],[FECHA DE DEFUNCIÓN]]-Tabla1[[#This Row],[FECHA_TRASPLANTE]])/365.25</f>
        <v>0.68720054757015747</v>
      </c>
      <c r="BY215"/>
      <c r="BZ215"/>
    </row>
    <row r="216" spans="1:78" hidden="1" x14ac:dyDescent="0.35">
      <c r="A216" t="s">
        <v>75</v>
      </c>
      <c r="D216" t="s">
        <v>1129</v>
      </c>
      <c r="E216" t="s">
        <v>77</v>
      </c>
      <c r="I216">
        <v>118.64378860672615</v>
      </c>
      <c r="K216" t="s">
        <v>1480</v>
      </c>
      <c r="L216" t="s">
        <v>188</v>
      </c>
      <c r="M216" t="s">
        <v>408</v>
      </c>
      <c r="N216" s="11">
        <v>115780592</v>
      </c>
      <c r="O216" s="16">
        <v>43216</v>
      </c>
      <c r="P216" t="s">
        <v>81</v>
      </c>
      <c r="Q216" s="2">
        <v>34556</v>
      </c>
      <c r="R216" s="3">
        <f>(Tabla1[[#This Row],[FECHA_TRASPLANTE]]-Tabla1[[#This Row],[FECHA_NAC]])/365.25</f>
        <v>23.709787816563999</v>
      </c>
      <c r="T216"/>
      <c r="W216" t="s">
        <v>82</v>
      </c>
      <c r="AM216" t="s">
        <v>106</v>
      </c>
      <c r="AO216"/>
      <c r="AV216" s="2"/>
      <c r="AZ216"/>
      <c r="BJ216" s="2"/>
      <c r="BT216" s="2">
        <f>Tabla1[[#This Row],[FECHA_TRASPLANTE]]</f>
        <v>43216</v>
      </c>
      <c r="BU216">
        <f>IF(Tabla1[[#This Row],[FALLECIDO SI/NO]]="NO",0,1)</f>
        <v>0</v>
      </c>
      <c r="BV216" s="3">
        <f ca="1">IF(Tabla1[[#This Row],[FALLECIDO_COD]]=0,TODAY()-Tabla1[[#This Row],[FECHA_TRASPLANTE]],Tabla1[[#This Row],[FECHA DE DEFUNCIÓN]]-Tabla1[[#This Row],[FECHA_TRASPLANTE]])</f>
        <v>2659</v>
      </c>
      <c r="BW216" s="3">
        <f ca="1">IF(Tabla1[[#This Row],[FALLECIDO_COD]]=0,TODAY()-Tabla1[[#This Row],[FECHA_TRASPLANTE]],Tabla1[[#This Row],[FECHA DE DEFUNCIÓN]]-Tabla1[[#This Row],[FECHA_TRASPLANTE]])/30.4375</f>
        <v>87.359342915811084</v>
      </c>
      <c r="BX216" s="3">
        <f ca="1">IF(Tabla1[[#This Row],[FALLECIDO_COD]]=0,TODAY()-Tabla1[[#This Row],[FECHA_TRASPLANTE]],Tabla1[[#This Row],[FECHA DE DEFUNCIÓN]]-Tabla1[[#This Row],[FECHA_TRASPLANTE]])/365.25</f>
        <v>7.2799452429842573</v>
      </c>
      <c r="BY216"/>
      <c r="BZ216"/>
    </row>
    <row r="217" spans="1:78" hidden="1" x14ac:dyDescent="0.35">
      <c r="A217" t="s">
        <v>75</v>
      </c>
      <c r="D217" t="s">
        <v>1129</v>
      </c>
      <c r="E217" t="s">
        <v>77</v>
      </c>
      <c r="I217">
        <v>118.64927934111188</v>
      </c>
      <c r="K217" t="s">
        <v>1481</v>
      </c>
      <c r="L217" t="s">
        <v>167</v>
      </c>
      <c r="M217" t="s">
        <v>167</v>
      </c>
      <c r="N217" s="11">
        <v>109580277</v>
      </c>
      <c r="O217" s="16">
        <v>43218</v>
      </c>
      <c r="P217" t="s">
        <v>90</v>
      </c>
      <c r="Q217" s="2">
        <v>28108</v>
      </c>
      <c r="R217" s="3">
        <f>(Tabla1[[#This Row],[FECHA_TRASPLANTE]]-Tabla1[[#This Row],[FECHA_NAC]])/365.25</f>
        <v>41.368925393566052</v>
      </c>
      <c r="T217"/>
      <c r="W217" t="s">
        <v>82</v>
      </c>
      <c r="AM217" t="s">
        <v>106</v>
      </c>
      <c r="AO217"/>
      <c r="AV217" s="2"/>
      <c r="AZ217"/>
      <c r="BJ217" s="2"/>
      <c r="BT217" s="2">
        <f>Tabla1[[#This Row],[FECHA_TRASPLANTE]]</f>
        <v>43218</v>
      </c>
      <c r="BU217">
        <f>IF(Tabla1[[#This Row],[FALLECIDO SI/NO]]="NO",0,1)</f>
        <v>0</v>
      </c>
      <c r="BV217" s="3">
        <f ca="1">IF(Tabla1[[#This Row],[FALLECIDO_COD]]=0,TODAY()-Tabla1[[#This Row],[FECHA_TRASPLANTE]],Tabla1[[#This Row],[FECHA DE DEFUNCIÓN]]-Tabla1[[#This Row],[FECHA_TRASPLANTE]])</f>
        <v>2657</v>
      </c>
      <c r="BW217" s="3">
        <f ca="1">IF(Tabla1[[#This Row],[FALLECIDO_COD]]=0,TODAY()-Tabla1[[#This Row],[FECHA_TRASPLANTE]],Tabla1[[#This Row],[FECHA DE DEFUNCIÓN]]-Tabla1[[#This Row],[FECHA_TRASPLANTE]])/30.4375</f>
        <v>87.293634496919921</v>
      </c>
      <c r="BX217" s="3">
        <f ca="1">IF(Tabla1[[#This Row],[FALLECIDO_COD]]=0,TODAY()-Tabla1[[#This Row],[FECHA_TRASPLANTE]],Tabla1[[#This Row],[FECHA DE DEFUNCIÓN]]-Tabla1[[#This Row],[FECHA_TRASPLANTE]])/365.25</f>
        <v>7.2744695414099931</v>
      </c>
      <c r="BY217"/>
      <c r="BZ217"/>
    </row>
    <row r="218" spans="1:78" hidden="1" x14ac:dyDescent="0.35">
      <c r="A218" t="s">
        <v>1126</v>
      </c>
      <c r="D218" t="s">
        <v>1333</v>
      </c>
      <c r="E218" t="s">
        <v>77</v>
      </c>
      <c r="I218">
        <v>118.32443531827515</v>
      </c>
      <c r="J218" t="s">
        <v>1334</v>
      </c>
      <c r="N218" s="11">
        <v>301800801</v>
      </c>
      <c r="O218" s="2">
        <v>43218</v>
      </c>
      <c r="R218" s="3">
        <f>(Tabla1[[#This Row],[FECHA_TRASPLANTE]]-Tabla1[[#This Row],[FECHA_NAC]])/365.25</f>
        <v>118.32443531827515</v>
      </c>
      <c r="AM218" t="s">
        <v>106</v>
      </c>
      <c r="AR218" s="2"/>
      <c r="AS218" s="2"/>
      <c r="AV218" s="2"/>
      <c r="AZ218"/>
      <c r="BT218" s="2">
        <f>Tabla1[[#This Row],[FECHA_TRASPLANTE]]</f>
        <v>43218</v>
      </c>
      <c r="BU218">
        <f>IF(Tabla1[[#This Row],[FALLECIDO SI/NO]]="NO",0,1)</f>
        <v>0</v>
      </c>
      <c r="BV218" s="3">
        <f ca="1">IF(Tabla1[[#This Row],[FALLECIDO_COD]]=0,TODAY()-Tabla1[[#This Row],[FECHA_TRASPLANTE]],Tabla1[[#This Row],[FECHA DE DEFUNCIÓN]]-Tabla1[[#This Row],[FECHA_TRASPLANTE]])</f>
        <v>2657</v>
      </c>
      <c r="BW218" s="3">
        <f ca="1">IF(Tabla1[[#This Row],[FALLECIDO_COD]]=0,TODAY()-Tabla1[[#This Row],[FECHA_TRASPLANTE]],Tabla1[[#This Row],[FECHA DE DEFUNCIÓN]]-Tabla1[[#This Row],[FECHA_TRASPLANTE]])/30.4375</f>
        <v>87.293634496919921</v>
      </c>
      <c r="BX218" s="3">
        <f ca="1">IF(Tabla1[[#This Row],[FALLECIDO_COD]]=0,TODAY()-Tabla1[[#This Row],[FECHA_TRASPLANTE]],Tabla1[[#This Row],[FECHA DE DEFUNCIÓN]]-Tabla1[[#This Row],[FECHA_TRASPLANTE]])/365.25</f>
        <v>7.2744695414099931</v>
      </c>
      <c r="BY218"/>
      <c r="BZ218"/>
    </row>
    <row r="219" spans="1:78" hidden="1" x14ac:dyDescent="0.35">
      <c r="A219" t="s">
        <v>376</v>
      </c>
      <c r="B219" t="s">
        <v>376</v>
      </c>
      <c r="D219" t="s">
        <v>1129</v>
      </c>
      <c r="E219" t="s">
        <v>77</v>
      </c>
      <c r="I219">
        <v>118.65477007549759</v>
      </c>
      <c r="K219" t="s">
        <v>1482</v>
      </c>
      <c r="L219" t="s">
        <v>866</v>
      </c>
      <c r="M219" t="s">
        <v>118</v>
      </c>
      <c r="N219" s="11">
        <v>117970284</v>
      </c>
      <c r="O219" s="2">
        <v>43220</v>
      </c>
      <c r="P219" t="s">
        <v>81</v>
      </c>
      <c r="Q219" s="2">
        <v>36879</v>
      </c>
      <c r="R219" s="3">
        <f>(Tabla1[[#This Row],[FECHA_TRASPLANTE]]-Tabla1[[#This Row],[FECHA_NAC]])/365.25</f>
        <v>17.360711841204655</v>
      </c>
      <c r="T219"/>
      <c r="W219" t="s">
        <v>82</v>
      </c>
      <c r="X219" t="s">
        <v>91</v>
      </c>
      <c r="Y219" t="s">
        <v>157</v>
      </c>
      <c r="Z219" t="s">
        <v>527</v>
      </c>
      <c r="AM219" t="s">
        <v>106</v>
      </c>
      <c r="AO219"/>
      <c r="AV219" s="2"/>
      <c r="AZ219"/>
      <c r="BT219" s="2">
        <f>Tabla1[[#This Row],[FECHA_TRASPLANTE]]</f>
        <v>43220</v>
      </c>
      <c r="BU219">
        <f>IF(Tabla1[[#This Row],[FALLECIDO SI/NO]]="NO",0,1)</f>
        <v>0</v>
      </c>
      <c r="BV219" s="3">
        <f ca="1">IF(Tabla1[[#This Row],[FALLECIDO_COD]]=0,TODAY()-Tabla1[[#This Row],[FECHA_TRASPLANTE]],Tabla1[[#This Row],[FECHA DE DEFUNCIÓN]]-Tabla1[[#This Row],[FECHA_TRASPLANTE]])</f>
        <v>2655</v>
      </c>
      <c r="BW219" s="3">
        <f ca="1">IF(Tabla1[[#This Row],[FALLECIDO_COD]]=0,TODAY()-Tabla1[[#This Row],[FECHA_TRASPLANTE]],Tabla1[[#This Row],[FECHA DE DEFUNCIÓN]]-Tabla1[[#This Row],[FECHA_TRASPLANTE]])/30.4375</f>
        <v>87.227926078028744</v>
      </c>
      <c r="BX219" s="3">
        <f ca="1">IF(Tabla1[[#This Row],[FALLECIDO_COD]]=0,TODAY()-Tabla1[[#This Row],[FECHA_TRASPLANTE]],Tabla1[[#This Row],[FECHA DE DEFUNCIÓN]]-Tabla1[[#This Row],[FECHA_TRASPLANTE]])/365.25</f>
        <v>7.268993839835729</v>
      </c>
      <c r="BY219"/>
      <c r="BZ219"/>
    </row>
    <row r="220" spans="1:78" hidden="1" x14ac:dyDescent="0.35">
      <c r="A220" t="s">
        <v>377</v>
      </c>
      <c r="D220" t="s">
        <v>1129</v>
      </c>
      <c r="E220" t="s">
        <v>77</v>
      </c>
      <c r="I220">
        <v>118.65477007549759</v>
      </c>
      <c r="K220" t="s">
        <v>1483</v>
      </c>
      <c r="L220" t="s">
        <v>155</v>
      </c>
      <c r="M220" t="s">
        <v>692</v>
      </c>
      <c r="N220" s="11">
        <v>401001453</v>
      </c>
      <c r="O220" s="2">
        <v>43220</v>
      </c>
      <c r="P220" t="s">
        <v>81</v>
      </c>
      <c r="Q220" s="2">
        <v>18807</v>
      </c>
      <c r="R220" s="3">
        <f>(Tabla1[[#This Row],[FECHA_TRASPLANTE]]-Tabla1[[#This Row],[FECHA_NAC]])/365.25</f>
        <v>66.839151266255996</v>
      </c>
      <c r="T220"/>
      <c r="W220" t="s">
        <v>82</v>
      </c>
      <c r="X220" t="s">
        <v>91</v>
      </c>
      <c r="Y220" t="s">
        <v>84</v>
      </c>
      <c r="Z220" t="s">
        <v>1484</v>
      </c>
      <c r="AM220" t="s">
        <v>86</v>
      </c>
      <c r="AN220" s="2">
        <v>44548</v>
      </c>
      <c r="AO220"/>
      <c r="AV220" s="2"/>
      <c r="AZ220"/>
      <c r="BT220" s="2">
        <f>Tabla1[[#This Row],[FECHA_TRASPLANTE]]</f>
        <v>43220</v>
      </c>
      <c r="BU220">
        <f>IF(Tabla1[[#This Row],[FALLECIDO SI/NO]]="NO",0,1)</f>
        <v>1</v>
      </c>
      <c r="BV220" s="3">
        <f ca="1">IF(Tabla1[[#This Row],[FALLECIDO_COD]]=0,TODAY()-Tabla1[[#This Row],[FECHA_TRASPLANTE]],Tabla1[[#This Row],[FECHA DE DEFUNCIÓN]]-Tabla1[[#This Row],[FECHA_TRASPLANTE]])</f>
        <v>1328</v>
      </c>
      <c r="BW220" s="3">
        <f ca="1">IF(Tabla1[[#This Row],[FALLECIDO_COD]]=0,TODAY()-Tabla1[[#This Row],[FECHA_TRASPLANTE]],Tabla1[[#This Row],[FECHA DE DEFUNCIÓN]]-Tabla1[[#This Row],[FECHA_TRASPLANTE]])/30.4375</f>
        <v>43.630390143737166</v>
      </c>
      <c r="BX220" s="3">
        <f ca="1">IF(Tabla1[[#This Row],[FALLECIDO_COD]]=0,TODAY()-Tabla1[[#This Row],[FECHA_TRASPLANTE]],Tabla1[[#This Row],[FECHA DE DEFUNCIÓN]]-Tabla1[[#This Row],[FECHA_TRASPLANTE]])/365.25</f>
        <v>3.6358658453114305</v>
      </c>
      <c r="BY220"/>
      <c r="BZ220"/>
    </row>
    <row r="221" spans="1:78" hidden="1" x14ac:dyDescent="0.35">
      <c r="A221" t="s">
        <v>377</v>
      </c>
      <c r="D221" t="s">
        <v>1129</v>
      </c>
      <c r="E221" t="s">
        <v>375</v>
      </c>
      <c r="I221">
        <v>118.66026080988333</v>
      </c>
      <c r="K221" t="s">
        <v>1485</v>
      </c>
      <c r="L221" t="s">
        <v>576</v>
      </c>
      <c r="M221" t="s">
        <v>199</v>
      </c>
      <c r="N221" s="11">
        <v>112060113</v>
      </c>
      <c r="O221" s="2">
        <v>43222</v>
      </c>
      <c r="P221" t="s">
        <v>81</v>
      </c>
      <c r="Q221" s="2">
        <v>30791</v>
      </c>
      <c r="R221" s="3">
        <f>(Tabla1[[#This Row],[FECHA_TRASPLANTE]]-Tabla1[[#This Row],[FECHA_NAC]])/365.25</f>
        <v>34.034223134839152</v>
      </c>
      <c r="T221"/>
      <c r="W221" t="s">
        <v>82</v>
      </c>
      <c r="X221" t="s">
        <v>83</v>
      </c>
      <c r="Y221" t="s">
        <v>1486</v>
      </c>
      <c r="Z221" t="s">
        <v>1486</v>
      </c>
      <c r="AM221" t="s">
        <v>106</v>
      </c>
      <c r="AO221"/>
      <c r="AV221" s="2"/>
      <c r="AZ221"/>
      <c r="BT221" s="2">
        <f>Tabla1[[#This Row],[FECHA_TRASPLANTE]]</f>
        <v>43222</v>
      </c>
      <c r="BU221">
        <f>IF(Tabla1[[#This Row],[FALLECIDO SI/NO]]="NO",0,1)</f>
        <v>0</v>
      </c>
      <c r="BV221" s="3">
        <f ca="1">IF(Tabla1[[#This Row],[FALLECIDO_COD]]=0,TODAY()-Tabla1[[#This Row],[FECHA_TRASPLANTE]],Tabla1[[#This Row],[FECHA DE DEFUNCIÓN]]-Tabla1[[#This Row],[FECHA_TRASPLANTE]])</f>
        <v>2653</v>
      </c>
      <c r="BW221" s="3">
        <f ca="1">IF(Tabla1[[#This Row],[FALLECIDO_COD]]=0,TODAY()-Tabla1[[#This Row],[FECHA_TRASPLANTE]],Tabla1[[#This Row],[FECHA DE DEFUNCIÓN]]-Tabla1[[#This Row],[FECHA_TRASPLANTE]])/30.4375</f>
        <v>87.162217659137582</v>
      </c>
      <c r="BX221" s="3">
        <f ca="1">IF(Tabla1[[#This Row],[FALLECIDO_COD]]=0,TODAY()-Tabla1[[#This Row],[FECHA_TRASPLANTE]],Tabla1[[#This Row],[FECHA DE DEFUNCIÓN]]-Tabla1[[#This Row],[FECHA_TRASPLANTE]])/365.25</f>
        <v>7.2635181382614649</v>
      </c>
      <c r="BY221"/>
      <c r="BZ221"/>
    </row>
    <row r="222" spans="1:78" hidden="1" x14ac:dyDescent="0.35">
      <c r="A222" t="s">
        <v>377</v>
      </c>
      <c r="D222" t="s">
        <v>1129</v>
      </c>
      <c r="E222" t="s">
        <v>375</v>
      </c>
      <c r="I222">
        <v>118.66026080988333</v>
      </c>
      <c r="K222" t="s">
        <v>1487</v>
      </c>
      <c r="L222" t="s">
        <v>576</v>
      </c>
      <c r="M222" t="s">
        <v>1488</v>
      </c>
      <c r="N222" s="11">
        <v>603580405</v>
      </c>
      <c r="O222" s="2">
        <v>43222</v>
      </c>
      <c r="P222" t="s">
        <v>90</v>
      </c>
      <c r="Q222" s="2">
        <v>31671</v>
      </c>
      <c r="R222" s="3">
        <f>(Tabla1[[#This Row],[FECHA_TRASPLANTE]]-Tabla1[[#This Row],[FECHA_NAC]])/365.25</f>
        <v>31.6249144421629</v>
      </c>
      <c r="T222"/>
      <c r="W222" t="s">
        <v>82</v>
      </c>
      <c r="X222" t="s">
        <v>261</v>
      </c>
      <c r="Y222" t="s">
        <v>84</v>
      </c>
      <c r="Z222" t="s">
        <v>585</v>
      </c>
      <c r="AM222" t="s">
        <v>106</v>
      </c>
      <c r="AO222"/>
      <c r="AV222" s="2"/>
      <c r="AZ222"/>
      <c r="BT222" s="2">
        <f>Tabla1[[#This Row],[FECHA_TRASPLANTE]]</f>
        <v>43222</v>
      </c>
      <c r="BU222">
        <f>IF(Tabla1[[#This Row],[FALLECIDO SI/NO]]="NO",0,1)</f>
        <v>0</v>
      </c>
      <c r="BV222" s="3">
        <f ca="1">IF(Tabla1[[#This Row],[FALLECIDO_COD]]=0,TODAY()-Tabla1[[#This Row],[FECHA_TRASPLANTE]],Tabla1[[#This Row],[FECHA DE DEFUNCIÓN]]-Tabla1[[#This Row],[FECHA_TRASPLANTE]])</f>
        <v>2653</v>
      </c>
      <c r="BW222" s="3">
        <f ca="1">IF(Tabla1[[#This Row],[FALLECIDO_COD]]=0,TODAY()-Tabla1[[#This Row],[FECHA_TRASPLANTE]],Tabla1[[#This Row],[FECHA DE DEFUNCIÓN]]-Tabla1[[#This Row],[FECHA_TRASPLANTE]])/30.4375</f>
        <v>87.162217659137582</v>
      </c>
      <c r="BX222" s="3">
        <f ca="1">IF(Tabla1[[#This Row],[FALLECIDO_COD]]=0,TODAY()-Tabla1[[#This Row],[FECHA_TRASPLANTE]],Tabla1[[#This Row],[FECHA DE DEFUNCIÓN]]-Tabla1[[#This Row],[FECHA_TRASPLANTE]])/365.25</f>
        <v>7.2635181382614649</v>
      </c>
      <c r="BY222"/>
      <c r="BZ222"/>
    </row>
    <row r="223" spans="1:78" hidden="1" x14ac:dyDescent="0.35">
      <c r="A223" t="s">
        <v>377</v>
      </c>
      <c r="D223" t="s">
        <v>1129</v>
      </c>
      <c r="E223" t="s">
        <v>375</v>
      </c>
      <c r="I223">
        <v>118.67947838023336</v>
      </c>
      <c r="K223" t="s">
        <v>1489</v>
      </c>
      <c r="L223" t="s">
        <v>167</v>
      </c>
      <c r="M223" t="s">
        <v>950</v>
      </c>
      <c r="N223" s="11">
        <v>401480147</v>
      </c>
      <c r="O223" s="2">
        <v>43229</v>
      </c>
      <c r="P223" t="s">
        <v>90</v>
      </c>
      <c r="Q223" s="2">
        <v>25102</v>
      </c>
      <c r="R223" s="3">
        <f>(Tabla1[[#This Row],[FECHA_TRASPLANTE]]-Tabla1[[#This Row],[FECHA_NAC]])/365.25</f>
        <v>49.629021218343603</v>
      </c>
      <c r="T223"/>
      <c r="W223" t="s">
        <v>82</v>
      </c>
      <c r="X223" t="s">
        <v>261</v>
      </c>
      <c r="Y223" t="s">
        <v>454</v>
      </c>
      <c r="Z223" t="s">
        <v>405</v>
      </c>
      <c r="AM223" t="s">
        <v>106</v>
      </c>
      <c r="AO223"/>
      <c r="AV223" s="2"/>
      <c r="AZ223"/>
      <c r="BT223" s="2">
        <f>Tabla1[[#This Row],[FECHA_TRASPLANTE]]</f>
        <v>43229</v>
      </c>
      <c r="BU223">
        <f>IF(Tabla1[[#This Row],[FALLECIDO SI/NO]]="NO",0,1)</f>
        <v>0</v>
      </c>
      <c r="BV223" s="3">
        <f ca="1">IF(Tabla1[[#This Row],[FALLECIDO_COD]]=0,TODAY()-Tabla1[[#This Row],[FECHA_TRASPLANTE]],Tabla1[[#This Row],[FECHA DE DEFUNCIÓN]]-Tabla1[[#This Row],[FECHA_TRASPLANTE]])</f>
        <v>2646</v>
      </c>
      <c r="BW223" s="3">
        <f ca="1">IF(Tabla1[[#This Row],[FALLECIDO_COD]]=0,TODAY()-Tabla1[[#This Row],[FECHA_TRASPLANTE]],Tabla1[[#This Row],[FECHA DE DEFUNCIÓN]]-Tabla1[[#This Row],[FECHA_TRASPLANTE]])/30.4375</f>
        <v>86.932238193018478</v>
      </c>
      <c r="BX223" s="3">
        <f ca="1">IF(Tabla1[[#This Row],[FALLECIDO_COD]]=0,TODAY()-Tabla1[[#This Row],[FECHA_TRASPLANTE]],Tabla1[[#This Row],[FECHA DE DEFUNCIÓN]]-Tabla1[[#This Row],[FECHA_TRASPLANTE]])/365.25</f>
        <v>7.2443531827515404</v>
      </c>
      <c r="BY223"/>
      <c r="BZ223"/>
    </row>
    <row r="224" spans="1:78" hidden="1" x14ac:dyDescent="0.35">
      <c r="A224" t="s">
        <v>1125</v>
      </c>
      <c r="D224" t="s">
        <v>1129</v>
      </c>
      <c r="E224" t="s">
        <v>375</v>
      </c>
      <c r="I224">
        <v>118.35455167693361</v>
      </c>
      <c r="J224" t="s">
        <v>1490</v>
      </c>
      <c r="K224" t="s">
        <v>942</v>
      </c>
      <c r="L224" t="s">
        <v>459</v>
      </c>
      <c r="M224" t="s">
        <v>526</v>
      </c>
      <c r="N224" s="11">
        <v>108250475</v>
      </c>
      <c r="O224" s="2">
        <v>43229</v>
      </c>
      <c r="R224" s="3">
        <f>(Tabla1[[#This Row],[FECHA_TRASPLANTE]]-Tabla1[[#This Row],[FECHA_NAC]])/365.25</f>
        <v>118.35455167693361</v>
      </c>
      <c r="T224"/>
      <c r="U224" t="s">
        <v>1348</v>
      </c>
      <c r="W224" t="s">
        <v>82</v>
      </c>
      <c r="AM224" t="s">
        <v>106</v>
      </c>
      <c r="AO224"/>
      <c r="AV224" s="2"/>
      <c r="AZ224"/>
      <c r="BT224" s="2">
        <f>Tabla1[[#This Row],[FECHA_TRASPLANTE]]</f>
        <v>43229</v>
      </c>
      <c r="BU224">
        <f>IF(Tabla1[[#This Row],[FALLECIDO SI/NO]]="NO",0,1)</f>
        <v>0</v>
      </c>
      <c r="BV224" s="3">
        <f ca="1">IF(Tabla1[[#This Row],[FALLECIDO_COD]]=0,TODAY()-Tabla1[[#This Row],[FECHA_TRASPLANTE]],Tabla1[[#This Row],[FECHA DE DEFUNCIÓN]]-Tabla1[[#This Row],[FECHA_TRASPLANTE]])</f>
        <v>2646</v>
      </c>
      <c r="BW224" s="3">
        <f ca="1">IF(Tabla1[[#This Row],[FALLECIDO_COD]]=0,TODAY()-Tabla1[[#This Row],[FECHA_TRASPLANTE]],Tabla1[[#This Row],[FECHA DE DEFUNCIÓN]]-Tabla1[[#This Row],[FECHA_TRASPLANTE]])/30.4375</f>
        <v>86.932238193018478</v>
      </c>
      <c r="BX224" s="3">
        <f ca="1">IF(Tabla1[[#This Row],[FALLECIDO_COD]]=0,TODAY()-Tabla1[[#This Row],[FECHA_TRASPLANTE]],Tabla1[[#This Row],[FECHA DE DEFUNCIÓN]]-Tabla1[[#This Row],[FECHA_TRASPLANTE]])/365.25</f>
        <v>7.2443531827515404</v>
      </c>
      <c r="BY224"/>
      <c r="BZ224"/>
    </row>
    <row r="225" spans="1:78" hidden="1" x14ac:dyDescent="0.35">
      <c r="A225" t="s">
        <v>75</v>
      </c>
      <c r="D225" t="s">
        <v>1129</v>
      </c>
      <c r="E225" t="s">
        <v>77</v>
      </c>
      <c r="I225">
        <v>118.68771448181194</v>
      </c>
      <c r="K225" t="s">
        <v>139</v>
      </c>
      <c r="L225" t="s">
        <v>140</v>
      </c>
      <c r="M225" t="s">
        <v>141</v>
      </c>
      <c r="N225" s="11">
        <v>104840658</v>
      </c>
      <c r="O225" s="16">
        <v>43232</v>
      </c>
      <c r="P225" t="s">
        <v>81</v>
      </c>
      <c r="Q225" s="2">
        <v>21242</v>
      </c>
      <c r="R225" s="3">
        <f>(Tabla1[[#This Row],[FECHA_TRASPLANTE]]-Tabla1[[#This Row],[FECHA_NAC]])/365.25</f>
        <v>60.205338809034906</v>
      </c>
      <c r="T225"/>
      <c r="W225" t="s">
        <v>82</v>
      </c>
      <c r="X225" t="s">
        <v>91</v>
      </c>
      <c r="Y225" t="s">
        <v>116</v>
      </c>
      <c r="Z225" t="s">
        <v>142</v>
      </c>
      <c r="AM225" t="s">
        <v>86</v>
      </c>
      <c r="AN225" s="2">
        <v>43234</v>
      </c>
      <c r="AO225"/>
      <c r="AV225" s="2"/>
      <c r="AZ225"/>
      <c r="BJ225" s="2"/>
      <c r="BT225" s="2">
        <f>Tabla1[[#This Row],[FECHA_TRASPLANTE]]</f>
        <v>43232</v>
      </c>
      <c r="BU225">
        <f>IF(Tabla1[[#This Row],[FALLECIDO SI/NO]]="NO",0,1)</f>
        <v>1</v>
      </c>
      <c r="BV225" s="3">
        <f ca="1">IF(Tabla1[[#This Row],[FALLECIDO_COD]]=0,TODAY()-Tabla1[[#This Row],[FECHA_TRASPLANTE]],Tabla1[[#This Row],[FECHA DE DEFUNCIÓN]]-Tabla1[[#This Row],[FECHA_TRASPLANTE]])</f>
        <v>2</v>
      </c>
      <c r="BW225" s="3">
        <f ca="1">IF(Tabla1[[#This Row],[FALLECIDO_COD]]=0,TODAY()-Tabla1[[#This Row],[FECHA_TRASPLANTE]],Tabla1[[#This Row],[FECHA DE DEFUNCIÓN]]-Tabla1[[#This Row],[FECHA_TRASPLANTE]])/30.4375</f>
        <v>6.5708418891170434E-2</v>
      </c>
      <c r="BX225" s="3">
        <f ca="1">IF(Tabla1[[#This Row],[FALLECIDO_COD]]=0,TODAY()-Tabla1[[#This Row],[FECHA_TRASPLANTE]],Tabla1[[#This Row],[FECHA DE DEFUNCIÓN]]-Tabla1[[#This Row],[FECHA_TRASPLANTE]])/365.25</f>
        <v>5.4757015742642025E-3</v>
      </c>
      <c r="BY225"/>
      <c r="BZ225"/>
    </row>
    <row r="226" spans="1:78" hidden="1" x14ac:dyDescent="0.35">
      <c r="A226" t="s">
        <v>1126</v>
      </c>
      <c r="D226" t="s">
        <v>1333</v>
      </c>
      <c r="E226" t="s">
        <v>77</v>
      </c>
      <c r="I226">
        <v>118.36276522929501</v>
      </c>
      <c r="J226" t="s">
        <v>1334</v>
      </c>
      <c r="N226" s="11">
        <v>301690868</v>
      </c>
      <c r="O226" s="2">
        <v>43232</v>
      </c>
      <c r="R226" s="3">
        <f>(Tabla1[[#This Row],[FECHA_TRASPLANTE]]-Tabla1[[#This Row],[FECHA_NAC]])/365.25</f>
        <v>118.36276522929501</v>
      </c>
      <c r="AM226" t="s">
        <v>86</v>
      </c>
      <c r="AN226" s="2">
        <v>43233</v>
      </c>
      <c r="AR226" s="2"/>
      <c r="AS226" s="2"/>
      <c r="AV226" s="2"/>
      <c r="AZ226"/>
      <c r="BT226" s="2">
        <f>Tabla1[[#This Row],[FECHA_TRASPLANTE]]</f>
        <v>43232</v>
      </c>
      <c r="BU226">
        <f>IF(Tabla1[[#This Row],[FALLECIDO SI/NO]]="NO",0,1)</f>
        <v>1</v>
      </c>
      <c r="BV226" s="3">
        <f ca="1">IF(Tabla1[[#This Row],[FALLECIDO_COD]]=0,TODAY()-Tabla1[[#This Row],[FECHA_TRASPLANTE]],Tabla1[[#This Row],[FECHA DE DEFUNCIÓN]]-Tabla1[[#This Row],[FECHA_TRASPLANTE]])</f>
        <v>1</v>
      </c>
      <c r="BW226" s="3">
        <f ca="1">IF(Tabla1[[#This Row],[FALLECIDO_COD]]=0,TODAY()-Tabla1[[#This Row],[FECHA_TRASPLANTE]],Tabla1[[#This Row],[FECHA DE DEFUNCIÓN]]-Tabla1[[#This Row],[FECHA_TRASPLANTE]])/30.4375</f>
        <v>3.2854209445585217E-2</v>
      </c>
      <c r="BX226" s="3">
        <f ca="1">IF(Tabla1[[#This Row],[FALLECIDO_COD]]=0,TODAY()-Tabla1[[#This Row],[FECHA_TRASPLANTE]],Tabla1[[#This Row],[FECHA DE DEFUNCIÓN]]-Tabla1[[#This Row],[FECHA_TRASPLANTE]])/365.25</f>
        <v>2.7378507871321013E-3</v>
      </c>
      <c r="BY226"/>
      <c r="BZ226"/>
    </row>
    <row r="227" spans="1:78" hidden="1" x14ac:dyDescent="0.35">
      <c r="A227" t="s">
        <v>75</v>
      </c>
      <c r="D227" t="s">
        <v>1129</v>
      </c>
      <c r="E227" t="s">
        <v>77</v>
      </c>
      <c r="I227">
        <v>118.69045984900481</v>
      </c>
      <c r="K227" t="s">
        <v>1491</v>
      </c>
      <c r="L227" t="s">
        <v>1492</v>
      </c>
      <c r="M227" t="s">
        <v>393</v>
      </c>
      <c r="N227" s="11">
        <v>303820117</v>
      </c>
      <c r="O227" s="16">
        <v>43233</v>
      </c>
      <c r="P227" t="s">
        <v>90</v>
      </c>
      <c r="Q227" s="2">
        <v>30089</v>
      </c>
      <c r="R227" s="3">
        <f>(Tabla1[[#This Row],[FECHA_TRASPLANTE]]-Tabla1[[#This Row],[FECHA_NAC]])/365.25</f>
        <v>35.986310746064341</v>
      </c>
      <c r="T227"/>
      <c r="W227" t="s">
        <v>82</v>
      </c>
      <c r="AM227" t="s">
        <v>106</v>
      </c>
      <c r="AO227"/>
      <c r="AV227" s="2"/>
      <c r="AZ227"/>
      <c r="BJ227" s="2"/>
      <c r="BT227" s="2">
        <f>Tabla1[[#This Row],[FECHA_TRASPLANTE]]</f>
        <v>43233</v>
      </c>
      <c r="BU227">
        <f>IF(Tabla1[[#This Row],[FALLECIDO SI/NO]]="NO",0,1)</f>
        <v>0</v>
      </c>
      <c r="BV227" s="3">
        <f ca="1">IF(Tabla1[[#This Row],[FALLECIDO_COD]]=0,TODAY()-Tabla1[[#This Row],[FECHA_TRASPLANTE]],Tabla1[[#This Row],[FECHA DE DEFUNCIÓN]]-Tabla1[[#This Row],[FECHA_TRASPLANTE]])</f>
        <v>2642</v>
      </c>
      <c r="BW227" s="3">
        <f ca="1">IF(Tabla1[[#This Row],[FALLECIDO_COD]]=0,TODAY()-Tabla1[[#This Row],[FECHA_TRASPLANTE]],Tabla1[[#This Row],[FECHA DE DEFUNCIÓN]]-Tabla1[[#This Row],[FECHA_TRASPLANTE]])/30.4375</f>
        <v>86.800821355236138</v>
      </c>
      <c r="BX227" s="3">
        <f ca="1">IF(Tabla1[[#This Row],[FALLECIDO_COD]]=0,TODAY()-Tabla1[[#This Row],[FECHA_TRASPLANTE]],Tabla1[[#This Row],[FECHA DE DEFUNCIÓN]]-Tabla1[[#This Row],[FECHA_TRASPLANTE]])/365.25</f>
        <v>7.2334017796030112</v>
      </c>
      <c r="BY227"/>
      <c r="BZ227"/>
    </row>
    <row r="228" spans="1:78" hidden="1" x14ac:dyDescent="0.35">
      <c r="A228" t="s">
        <v>75</v>
      </c>
      <c r="D228" t="s">
        <v>1129</v>
      </c>
      <c r="E228" t="s">
        <v>77</v>
      </c>
      <c r="I228">
        <v>118.69045984900481</v>
      </c>
      <c r="K228" t="s">
        <v>1493</v>
      </c>
      <c r="L228" t="s">
        <v>208</v>
      </c>
      <c r="M228" t="s">
        <v>753</v>
      </c>
      <c r="N228" s="11">
        <v>901200446</v>
      </c>
      <c r="O228" s="16">
        <v>43233</v>
      </c>
      <c r="P228" t="s">
        <v>90</v>
      </c>
      <c r="Q228" s="2">
        <v>30239</v>
      </c>
      <c r="R228" s="3">
        <f>(Tabla1[[#This Row],[FECHA_TRASPLANTE]]-Tabla1[[#This Row],[FECHA_NAC]])/365.25</f>
        <v>35.575633127994521</v>
      </c>
      <c r="T228"/>
      <c r="W228" t="s">
        <v>82</v>
      </c>
      <c r="X228" t="s">
        <v>120</v>
      </c>
      <c r="Y228" t="s">
        <v>225</v>
      </c>
      <c r="Z228" t="s">
        <v>1494</v>
      </c>
      <c r="AM228" t="s">
        <v>106</v>
      </c>
      <c r="AO228"/>
      <c r="AV228" s="2"/>
      <c r="AZ228"/>
      <c r="BJ228" s="2"/>
      <c r="BT228" s="2">
        <f>Tabla1[[#This Row],[FECHA_TRASPLANTE]]</f>
        <v>43233</v>
      </c>
      <c r="BU228">
        <f>IF(Tabla1[[#This Row],[FALLECIDO SI/NO]]="NO",0,1)</f>
        <v>0</v>
      </c>
      <c r="BV228" s="3">
        <f ca="1">IF(Tabla1[[#This Row],[FALLECIDO_COD]]=0,TODAY()-Tabla1[[#This Row],[FECHA_TRASPLANTE]],Tabla1[[#This Row],[FECHA DE DEFUNCIÓN]]-Tabla1[[#This Row],[FECHA_TRASPLANTE]])</f>
        <v>2642</v>
      </c>
      <c r="BW228" s="3">
        <f ca="1">IF(Tabla1[[#This Row],[FALLECIDO_COD]]=0,TODAY()-Tabla1[[#This Row],[FECHA_TRASPLANTE]],Tabla1[[#This Row],[FECHA DE DEFUNCIÓN]]-Tabla1[[#This Row],[FECHA_TRASPLANTE]])/30.4375</f>
        <v>86.800821355236138</v>
      </c>
      <c r="BX228" s="3">
        <f ca="1">IF(Tabla1[[#This Row],[FALLECIDO_COD]]=0,TODAY()-Tabla1[[#This Row],[FECHA_TRASPLANTE]],Tabla1[[#This Row],[FECHA DE DEFUNCIÓN]]-Tabla1[[#This Row],[FECHA_TRASPLANTE]])/365.25</f>
        <v>7.2334017796030112</v>
      </c>
      <c r="BY228"/>
      <c r="BZ228"/>
    </row>
    <row r="229" spans="1:78" hidden="1" x14ac:dyDescent="0.35">
      <c r="A229" t="s">
        <v>377</v>
      </c>
      <c r="D229" t="s">
        <v>1129</v>
      </c>
      <c r="E229" t="s">
        <v>375</v>
      </c>
      <c r="I229">
        <v>118.69869595058339</v>
      </c>
      <c r="K229" t="s">
        <v>1495</v>
      </c>
      <c r="L229" t="s">
        <v>140</v>
      </c>
      <c r="M229" t="s">
        <v>171</v>
      </c>
      <c r="N229" s="11">
        <v>202921392</v>
      </c>
      <c r="O229" s="2">
        <v>43236</v>
      </c>
      <c r="P229" t="s">
        <v>81</v>
      </c>
      <c r="Q229" s="2">
        <v>19728</v>
      </c>
      <c r="R229" s="3">
        <f>(Tabla1[[#This Row],[FECHA_TRASPLANTE]]-Tabla1[[#This Row],[FECHA_NAC]])/365.25</f>
        <v>64.361396303901444</v>
      </c>
      <c r="T229"/>
      <c r="W229" t="s">
        <v>82</v>
      </c>
      <c r="AM229" t="s">
        <v>106</v>
      </c>
      <c r="AO229"/>
      <c r="AV229" s="2"/>
      <c r="AZ229"/>
      <c r="BT229" s="2">
        <f>Tabla1[[#This Row],[FECHA_TRASPLANTE]]</f>
        <v>43236</v>
      </c>
      <c r="BU229">
        <f>IF(Tabla1[[#This Row],[FALLECIDO SI/NO]]="NO",0,1)</f>
        <v>0</v>
      </c>
      <c r="BV229" s="3">
        <f ca="1">IF(Tabla1[[#This Row],[FALLECIDO_COD]]=0,TODAY()-Tabla1[[#This Row],[FECHA_TRASPLANTE]],Tabla1[[#This Row],[FECHA DE DEFUNCIÓN]]-Tabla1[[#This Row],[FECHA_TRASPLANTE]])</f>
        <v>2639</v>
      </c>
      <c r="BW229" s="3">
        <f ca="1">IF(Tabla1[[#This Row],[FALLECIDO_COD]]=0,TODAY()-Tabla1[[#This Row],[FECHA_TRASPLANTE]],Tabla1[[#This Row],[FECHA DE DEFUNCIÓN]]-Tabla1[[#This Row],[FECHA_TRASPLANTE]])/30.4375</f>
        <v>86.702258726899387</v>
      </c>
      <c r="BX229" s="3">
        <f ca="1">IF(Tabla1[[#This Row],[FALLECIDO_COD]]=0,TODAY()-Tabla1[[#This Row],[FECHA_TRASPLANTE]],Tabla1[[#This Row],[FECHA DE DEFUNCIÓN]]-Tabla1[[#This Row],[FECHA_TRASPLANTE]])/365.25</f>
        <v>7.225188227241615</v>
      </c>
      <c r="BY229"/>
      <c r="BZ229"/>
    </row>
    <row r="230" spans="1:78" hidden="1" x14ac:dyDescent="0.35">
      <c r="A230" t="s">
        <v>75</v>
      </c>
      <c r="D230" t="s">
        <v>1129</v>
      </c>
      <c r="E230" t="s">
        <v>77</v>
      </c>
      <c r="I230">
        <v>118.70693205216197</v>
      </c>
      <c r="K230" t="s">
        <v>1496</v>
      </c>
      <c r="L230" t="s">
        <v>277</v>
      </c>
      <c r="M230" t="s">
        <v>1497</v>
      </c>
      <c r="N230" s="11">
        <v>106940846</v>
      </c>
      <c r="O230" s="16">
        <v>43239</v>
      </c>
      <c r="P230" t="s">
        <v>81</v>
      </c>
      <c r="Q230" s="2">
        <v>24544</v>
      </c>
      <c r="R230" s="3">
        <f>(Tabla1[[#This Row],[FECHA_TRASPLANTE]]-Tabla1[[#This Row],[FECHA_NAC]])/365.25</f>
        <v>51.184120465434631</v>
      </c>
      <c r="T230"/>
      <c r="W230" t="s">
        <v>82</v>
      </c>
      <c r="X230" t="s">
        <v>91</v>
      </c>
      <c r="Y230" t="s">
        <v>193</v>
      </c>
      <c r="Z230" t="s">
        <v>1498</v>
      </c>
      <c r="AM230" t="s">
        <v>86</v>
      </c>
      <c r="AN230" s="2">
        <v>43818</v>
      </c>
      <c r="AO230"/>
      <c r="AV230" s="2"/>
      <c r="AZ230"/>
      <c r="BJ230" s="2"/>
      <c r="BT230" s="2">
        <f>Tabla1[[#This Row],[FECHA_TRASPLANTE]]</f>
        <v>43239</v>
      </c>
      <c r="BU230">
        <f>IF(Tabla1[[#This Row],[FALLECIDO SI/NO]]="NO",0,1)</f>
        <v>1</v>
      </c>
      <c r="BV230" s="3">
        <f ca="1">IF(Tabla1[[#This Row],[FALLECIDO_COD]]=0,TODAY()-Tabla1[[#This Row],[FECHA_TRASPLANTE]],Tabla1[[#This Row],[FECHA DE DEFUNCIÓN]]-Tabla1[[#This Row],[FECHA_TRASPLANTE]])</f>
        <v>579</v>
      </c>
      <c r="BW230" s="3">
        <f ca="1">IF(Tabla1[[#This Row],[FALLECIDO_COD]]=0,TODAY()-Tabla1[[#This Row],[FECHA_TRASPLANTE]],Tabla1[[#This Row],[FECHA DE DEFUNCIÓN]]-Tabla1[[#This Row],[FECHA_TRASPLANTE]])/30.4375</f>
        <v>19.022587268993838</v>
      </c>
      <c r="BX230" s="3">
        <f ca="1">IF(Tabla1[[#This Row],[FALLECIDO_COD]]=0,TODAY()-Tabla1[[#This Row],[FECHA_TRASPLANTE]],Tabla1[[#This Row],[FECHA DE DEFUNCIÓN]]-Tabla1[[#This Row],[FECHA_TRASPLANTE]])/365.25</f>
        <v>1.5852156057494866</v>
      </c>
      <c r="BY230"/>
      <c r="BZ230"/>
    </row>
    <row r="231" spans="1:78" hidden="1" x14ac:dyDescent="0.35">
      <c r="A231" t="s">
        <v>1126</v>
      </c>
      <c r="D231" t="s">
        <v>1333</v>
      </c>
      <c r="E231" t="s">
        <v>77</v>
      </c>
      <c r="I231">
        <v>118.39561943874058</v>
      </c>
      <c r="J231" t="s">
        <v>1334</v>
      </c>
      <c r="N231" s="11">
        <v>302980888</v>
      </c>
      <c r="O231" s="2">
        <v>43244</v>
      </c>
      <c r="R231" s="3">
        <f>(Tabla1[[#This Row],[FECHA_TRASPLANTE]]-Tabla1[[#This Row],[FECHA_NAC]])/365.25</f>
        <v>118.39561943874058</v>
      </c>
      <c r="AM231" t="s">
        <v>106</v>
      </c>
      <c r="AR231" s="2"/>
      <c r="AS231" s="2"/>
      <c r="AV231" s="2"/>
      <c r="AZ231"/>
      <c r="BT231" s="2">
        <f>Tabla1[[#This Row],[FECHA_TRASPLANTE]]</f>
        <v>43244</v>
      </c>
      <c r="BU231">
        <f>IF(Tabla1[[#This Row],[FALLECIDO SI/NO]]="NO",0,1)</f>
        <v>0</v>
      </c>
      <c r="BV231" s="3">
        <f ca="1">IF(Tabla1[[#This Row],[FALLECIDO_COD]]=0,TODAY()-Tabla1[[#This Row],[FECHA_TRASPLANTE]],Tabla1[[#This Row],[FECHA DE DEFUNCIÓN]]-Tabla1[[#This Row],[FECHA_TRASPLANTE]])</f>
        <v>2631</v>
      </c>
      <c r="BW231" s="3">
        <f ca="1">IF(Tabla1[[#This Row],[FALLECIDO_COD]]=0,TODAY()-Tabla1[[#This Row],[FECHA_TRASPLANTE]],Tabla1[[#This Row],[FECHA DE DEFUNCIÓN]]-Tabla1[[#This Row],[FECHA_TRASPLANTE]])/30.4375</f>
        <v>86.439425051334709</v>
      </c>
      <c r="BX231" s="3">
        <f ca="1">IF(Tabla1[[#This Row],[FALLECIDO_COD]]=0,TODAY()-Tabla1[[#This Row],[FECHA_TRASPLANTE]],Tabla1[[#This Row],[FECHA DE DEFUNCIÓN]]-Tabla1[[#This Row],[FECHA_TRASPLANTE]])/365.25</f>
        <v>7.2032854209445585</v>
      </c>
      <c r="BY231"/>
      <c r="BZ231"/>
    </row>
    <row r="232" spans="1:78" hidden="1" x14ac:dyDescent="0.35">
      <c r="A232" t="s">
        <v>75</v>
      </c>
      <c r="D232" t="s">
        <v>1129</v>
      </c>
      <c r="E232" t="s">
        <v>77</v>
      </c>
      <c r="I232">
        <v>118.72340425531915</v>
      </c>
      <c r="K232" t="s">
        <v>1499</v>
      </c>
      <c r="L232" t="s">
        <v>411</v>
      </c>
      <c r="M232" t="s">
        <v>411</v>
      </c>
      <c r="N232" s="11">
        <v>501870673</v>
      </c>
      <c r="O232" s="16">
        <v>43245</v>
      </c>
      <c r="P232" t="s">
        <v>90</v>
      </c>
      <c r="Q232" s="2">
        <v>22093</v>
      </c>
      <c r="R232" s="3">
        <f>(Tabla1[[#This Row],[FECHA_TRASPLANTE]]-Tabla1[[#This Row],[FECHA_NAC]])/365.25</f>
        <v>57.91101984941821</v>
      </c>
      <c r="T232"/>
      <c r="W232" t="s">
        <v>82</v>
      </c>
      <c r="X232" t="s">
        <v>125</v>
      </c>
      <c r="Y232" t="s">
        <v>1300</v>
      </c>
      <c r="Z232" t="s">
        <v>1500</v>
      </c>
      <c r="AM232" t="s">
        <v>86</v>
      </c>
      <c r="AN232" s="2">
        <v>43354</v>
      </c>
      <c r="AO232"/>
      <c r="AV232" s="2"/>
      <c r="AZ232"/>
      <c r="BJ232" s="2"/>
      <c r="BT232" s="2">
        <f>Tabla1[[#This Row],[FECHA_TRASPLANTE]]</f>
        <v>43245</v>
      </c>
      <c r="BU232">
        <f>IF(Tabla1[[#This Row],[FALLECIDO SI/NO]]="NO",0,1)</f>
        <v>1</v>
      </c>
      <c r="BV232" s="3">
        <f ca="1">IF(Tabla1[[#This Row],[FALLECIDO_COD]]=0,TODAY()-Tabla1[[#This Row],[FECHA_TRASPLANTE]],Tabla1[[#This Row],[FECHA DE DEFUNCIÓN]]-Tabla1[[#This Row],[FECHA_TRASPLANTE]])</f>
        <v>109</v>
      </c>
      <c r="BW232" s="3">
        <f ca="1">IF(Tabla1[[#This Row],[FALLECIDO_COD]]=0,TODAY()-Tabla1[[#This Row],[FECHA_TRASPLANTE]],Tabla1[[#This Row],[FECHA DE DEFUNCIÓN]]-Tabla1[[#This Row],[FECHA_TRASPLANTE]])/30.4375</f>
        <v>3.5811088295687883</v>
      </c>
      <c r="BX232" s="3">
        <f ca="1">IF(Tabla1[[#This Row],[FALLECIDO_COD]]=0,TODAY()-Tabla1[[#This Row],[FECHA_TRASPLANTE]],Tabla1[[#This Row],[FECHA DE DEFUNCIÓN]]-Tabla1[[#This Row],[FECHA_TRASPLANTE]])/365.25</f>
        <v>0.29842573579739906</v>
      </c>
      <c r="BY232"/>
      <c r="BZ232"/>
    </row>
    <row r="233" spans="1:78" hidden="1" x14ac:dyDescent="0.35">
      <c r="A233" t="s">
        <v>377</v>
      </c>
      <c r="D233" t="s">
        <v>1129</v>
      </c>
      <c r="E233" t="s">
        <v>77</v>
      </c>
      <c r="I233">
        <v>118.74262182566919</v>
      </c>
      <c r="K233" t="s">
        <v>1501</v>
      </c>
      <c r="L233" t="s">
        <v>1502</v>
      </c>
      <c r="M233" t="s">
        <v>109</v>
      </c>
      <c r="N233" s="11">
        <v>202630535</v>
      </c>
      <c r="O233" s="2">
        <v>43252</v>
      </c>
      <c r="P233" t="s">
        <v>81</v>
      </c>
      <c r="Q233" s="2">
        <v>17980</v>
      </c>
      <c r="R233" s="3">
        <f>(Tabla1[[#This Row],[FECHA_TRASPLANTE]]-Tabla1[[#This Row],[FECHA_NAC]])/365.25</f>
        <v>69.190965092402465</v>
      </c>
      <c r="T233"/>
      <c r="W233" t="s">
        <v>82</v>
      </c>
      <c r="X233" t="s">
        <v>115</v>
      </c>
      <c r="Y233" t="s">
        <v>197</v>
      </c>
      <c r="Z233" t="s">
        <v>1442</v>
      </c>
      <c r="AM233" t="s">
        <v>106</v>
      </c>
      <c r="AO233"/>
      <c r="AV233" s="2"/>
      <c r="AZ233"/>
      <c r="BT233" s="2">
        <f>Tabla1[[#This Row],[FECHA_TRASPLANTE]]</f>
        <v>43252</v>
      </c>
      <c r="BU233">
        <f>IF(Tabla1[[#This Row],[FALLECIDO SI/NO]]="NO",0,1)</f>
        <v>0</v>
      </c>
      <c r="BV233" s="3">
        <f ca="1">IF(Tabla1[[#This Row],[FALLECIDO_COD]]=0,TODAY()-Tabla1[[#This Row],[FECHA_TRASPLANTE]],Tabla1[[#This Row],[FECHA DE DEFUNCIÓN]]-Tabla1[[#This Row],[FECHA_TRASPLANTE]])</f>
        <v>2623</v>
      </c>
      <c r="BW233" s="3">
        <f ca="1">IF(Tabla1[[#This Row],[FALLECIDO_COD]]=0,TODAY()-Tabla1[[#This Row],[FECHA_TRASPLANTE]],Tabla1[[#This Row],[FECHA DE DEFUNCIÓN]]-Tabla1[[#This Row],[FECHA_TRASPLANTE]])/30.4375</f>
        <v>86.176591375770016</v>
      </c>
      <c r="BX233" s="3">
        <f ca="1">IF(Tabla1[[#This Row],[FALLECIDO_COD]]=0,TODAY()-Tabla1[[#This Row],[FECHA_TRASPLANTE]],Tabla1[[#This Row],[FECHA DE DEFUNCIÓN]]-Tabla1[[#This Row],[FECHA_TRASPLANTE]])/365.25</f>
        <v>7.1813826146475019</v>
      </c>
      <c r="BY233"/>
      <c r="BZ233"/>
    </row>
    <row r="234" spans="1:78" hidden="1" x14ac:dyDescent="0.35">
      <c r="A234" t="s">
        <v>1125</v>
      </c>
      <c r="D234" t="s">
        <v>1129</v>
      </c>
      <c r="E234" t="s">
        <v>77</v>
      </c>
      <c r="I234">
        <v>118.43121149897331</v>
      </c>
      <c r="J234" t="s">
        <v>1334</v>
      </c>
      <c r="K234" t="s">
        <v>1503</v>
      </c>
      <c r="L234" t="s">
        <v>114</v>
      </c>
      <c r="M234" t="s">
        <v>1504</v>
      </c>
      <c r="N234" s="11">
        <v>109980499</v>
      </c>
      <c r="O234" s="2">
        <v>43257</v>
      </c>
      <c r="R234" s="3">
        <f>(Tabla1[[#This Row],[FECHA_TRASPLANTE]]-Tabla1[[#This Row],[FECHA_NAC]])/365.25</f>
        <v>118.43121149897331</v>
      </c>
      <c r="T234"/>
      <c r="U234" t="s">
        <v>1348</v>
      </c>
      <c r="W234" t="s">
        <v>82</v>
      </c>
      <c r="X234" t="s">
        <v>91</v>
      </c>
      <c r="Y234" t="s">
        <v>84</v>
      </c>
      <c r="Z234" t="s">
        <v>598</v>
      </c>
      <c r="AM234" t="s">
        <v>86</v>
      </c>
      <c r="AN234" s="2">
        <v>43264</v>
      </c>
      <c r="AO234"/>
      <c r="AV234" s="2"/>
      <c r="AZ234"/>
      <c r="BT234" s="2">
        <f>Tabla1[[#This Row],[FECHA_TRASPLANTE]]</f>
        <v>43257</v>
      </c>
      <c r="BU234">
        <f>IF(Tabla1[[#This Row],[FALLECIDO SI/NO]]="NO",0,1)</f>
        <v>1</v>
      </c>
      <c r="BV234" s="3">
        <f ca="1">IF(Tabla1[[#This Row],[FALLECIDO_COD]]=0,TODAY()-Tabla1[[#This Row],[FECHA_TRASPLANTE]],Tabla1[[#This Row],[FECHA DE DEFUNCIÓN]]-Tabla1[[#This Row],[FECHA_TRASPLANTE]])</f>
        <v>7</v>
      </c>
      <c r="BW234" s="3">
        <f ca="1">IF(Tabla1[[#This Row],[FALLECIDO_COD]]=0,TODAY()-Tabla1[[#This Row],[FECHA_TRASPLANTE]],Tabla1[[#This Row],[FECHA DE DEFUNCIÓN]]-Tabla1[[#This Row],[FECHA_TRASPLANTE]])/30.4375</f>
        <v>0.2299794661190965</v>
      </c>
      <c r="BX234" s="3">
        <f ca="1">IF(Tabla1[[#This Row],[FALLECIDO_COD]]=0,TODAY()-Tabla1[[#This Row],[FECHA_TRASPLANTE]],Tabla1[[#This Row],[FECHA DE DEFUNCIÓN]]-Tabla1[[#This Row],[FECHA_TRASPLANTE]])/365.25</f>
        <v>1.9164955509924708E-2</v>
      </c>
      <c r="BY234"/>
      <c r="BZ234"/>
    </row>
    <row r="235" spans="1:78" hidden="1" x14ac:dyDescent="0.35">
      <c r="A235" t="s">
        <v>376</v>
      </c>
      <c r="B235" t="s">
        <v>376</v>
      </c>
      <c r="D235" t="s">
        <v>1129</v>
      </c>
      <c r="E235" t="s">
        <v>375</v>
      </c>
      <c r="I235">
        <v>118.77282086479066</v>
      </c>
      <c r="K235" t="s">
        <v>677</v>
      </c>
      <c r="L235" t="s">
        <v>1505</v>
      </c>
      <c r="M235" t="s">
        <v>386</v>
      </c>
      <c r="N235" s="11">
        <v>120260889</v>
      </c>
      <c r="O235" s="2">
        <v>43263</v>
      </c>
      <c r="P235" t="s">
        <v>90</v>
      </c>
      <c r="Q235" s="2">
        <v>39608</v>
      </c>
      <c r="R235" s="3">
        <f>(Tabla1[[#This Row],[FECHA_TRASPLANTE]]-Tabla1[[#This Row],[FECHA_NAC]])/365.25</f>
        <v>10.00684462696783</v>
      </c>
      <c r="T235"/>
      <c r="W235" t="s">
        <v>82</v>
      </c>
      <c r="AM235" t="s">
        <v>106</v>
      </c>
      <c r="AO235"/>
      <c r="AV235" s="2"/>
      <c r="AZ235"/>
      <c r="BT235" s="2">
        <f>Tabla1[[#This Row],[FECHA_TRASPLANTE]]</f>
        <v>43263</v>
      </c>
      <c r="BU235">
        <f>IF(Tabla1[[#This Row],[FALLECIDO SI/NO]]="NO",0,1)</f>
        <v>0</v>
      </c>
      <c r="BV235" s="3">
        <f ca="1">IF(Tabla1[[#This Row],[FALLECIDO_COD]]=0,TODAY()-Tabla1[[#This Row],[FECHA_TRASPLANTE]],Tabla1[[#This Row],[FECHA DE DEFUNCIÓN]]-Tabla1[[#This Row],[FECHA_TRASPLANTE]])</f>
        <v>2612</v>
      </c>
      <c r="BW235" s="3">
        <f ca="1">IF(Tabla1[[#This Row],[FALLECIDO_COD]]=0,TODAY()-Tabla1[[#This Row],[FECHA_TRASPLANTE]],Tabla1[[#This Row],[FECHA DE DEFUNCIÓN]]-Tabla1[[#This Row],[FECHA_TRASPLANTE]])/30.4375</f>
        <v>85.815195071868587</v>
      </c>
      <c r="BX235" s="3">
        <f ca="1">IF(Tabla1[[#This Row],[FALLECIDO_COD]]=0,TODAY()-Tabla1[[#This Row],[FECHA_TRASPLANTE]],Tabla1[[#This Row],[FECHA DE DEFUNCIÓN]]-Tabla1[[#This Row],[FECHA_TRASPLANTE]])/365.25</f>
        <v>7.1512662559890483</v>
      </c>
      <c r="BY235"/>
      <c r="BZ235"/>
    </row>
    <row r="236" spans="1:78" hidden="1" x14ac:dyDescent="0.35">
      <c r="A236" t="s">
        <v>377</v>
      </c>
      <c r="D236" t="s">
        <v>1129</v>
      </c>
      <c r="E236" t="s">
        <v>375</v>
      </c>
      <c r="I236">
        <v>118.77556623198353</v>
      </c>
      <c r="K236" t="s">
        <v>1506</v>
      </c>
      <c r="L236" t="s">
        <v>156</v>
      </c>
      <c r="M236" t="s">
        <v>1507</v>
      </c>
      <c r="N236" s="11">
        <v>15820759</v>
      </c>
      <c r="O236" s="2">
        <v>43264</v>
      </c>
      <c r="P236" t="s">
        <v>81</v>
      </c>
      <c r="Q236" s="2">
        <v>21501</v>
      </c>
      <c r="R236" s="3">
        <f>(Tabla1[[#This Row],[FECHA_TRASPLANTE]]-Tabla1[[#This Row],[FECHA_NAC]])/365.25</f>
        <v>59.583846680355919</v>
      </c>
      <c r="T236"/>
      <c r="W236" t="s">
        <v>146</v>
      </c>
      <c r="AM236" t="s">
        <v>106</v>
      </c>
      <c r="AO236"/>
      <c r="AV236" s="2"/>
      <c r="AZ236"/>
      <c r="BT236" s="2">
        <f>Tabla1[[#This Row],[FECHA_TRASPLANTE]]</f>
        <v>43264</v>
      </c>
      <c r="BU236">
        <f>IF(Tabla1[[#This Row],[FALLECIDO SI/NO]]="NO",0,1)</f>
        <v>0</v>
      </c>
      <c r="BV236" s="3">
        <f ca="1">IF(Tabla1[[#This Row],[FALLECIDO_COD]]=0,TODAY()-Tabla1[[#This Row],[FECHA_TRASPLANTE]],Tabla1[[#This Row],[FECHA DE DEFUNCIÓN]]-Tabla1[[#This Row],[FECHA_TRASPLANTE]])</f>
        <v>2611</v>
      </c>
      <c r="BW236" s="3">
        <f ca="1">IF(Tabla1[[#This Row],[FALLECIDO_COD]]=0,TODAY()-Tabla1[[#This Row],[FECHA_TRASPLANTE]],Tabla1[[#This Row],[FECHA DE DEFUNCIÓN]]-Tabla1[[#This Row],[FECHA_TRASPLANTE]])/30.4375</f>
        <v>85.782340862422998</v>
      </c>
      <c r="BX236" s="3">
        <f ca="1">IF(Tabla1[[#This Row],[FALLECIDO_COD]]=0,TODAY()-Tabla1[[#This Row],[FECHA_TRASPLANTE]],Tabla1[[#This Row],[FECHA DE DEFUNCIÓN]]-Tabla1[[#This Row],[FECHA_TRASPLANTE]])/365.25</f>
        <v>7.1485284052019162</v>
      </c>
      <c r="BY236"/>
      <c r="BZ236"/>
    </row>
    <row r="237" spans="1:78" hidden="1" x14ac:dyDescent="0.35">
      <c r="A237" t="s">
        <v>377</v>
      </c>
      <c r="D237" t="s">
        <v>1129</v>
      </c>
      <c r="E237" t="s">
        <v>375</v>
      </c>
      <c r="I237">
        <v>118.77556623198353</v>
      </c>
      <c r="K237" t="s">
        <v>1508</v>
      </c>
      <c r="L237" t="s">
        <v>156</v>
      </c>
      <c r="M237" t="s">
        <v>453</v>
      </c>
      <c r="N237" s="11">
        <v>28580762</v>
      </c>
      <c r="O237" s="2">
        <v>43264</v>
      </c>
      <c r="P237" t="s">
        <v>90</v>
      </c>
      <c r="Q237" s="2">
        <v>31348</v>
      </c>
      <c r="R237" s="3">
        <f>(Tabla1[[#This Row],[FECHA_TRASPLANTE]]-Tabla1[[#This Row],[FECHA_NAC]])/365.25</f>
        <v>32.624229979466122</v>
      </c>
      <c r="T237"/>
      <c r="W237" t="s">
        <v>597</v>
      </c>
      <c r="AM237" t="s">
        <v>106</v>
      </c>
      <c r="AO237"/>
      <c r="AV237" s="2"/>
      <c r="AZ237"/>
      <c r="BT237" s="2">
        <f>Tabla1[[#This Row],[FECHA_TRASPLANTE]]</f>
        <v>43264</v>
      </c>
      <c r="BU237">
        <f>IF(Tabla1[[#This Row],[FALLECIDO SI/NO]]="NO",0,1)</f>
        <v>0</v>
      </c>
      <c r="BV237" s="3">
        <f ca="1">IF(Tabla1[[#This Row],[FALLECIDO_COD]]=0,TODAY()-Tabla1[[#This Row],[FECHA_TRASPLANTE]],Tabla1[[#This Row],[FECHA DE DEFUNCIÓN]]-Tabla1[[#This Row],[FECHA_TRASPLANTE]])</f>
        <v>2611</v>
      </c>
      <c r="BW237" s="3">
        <f ca="1">IF(Tabla1[[#This Row],[FALLECIDO_COD]]=0,TODAY()-Tabla1[[#This Row],[FECHA_TRASPLANTE]],Tabla1[[#This Row],[FECHA DE DEFUNCIÓN]]-Tabla1[[#This Row],[FECHA_TRASPLANTE]])/30.4375</f>
        <v>85.782340862422998</v>
      </c>
      <c r="BX237" s="3">
        <f ca="1">IF(Tabla1[[#This Row],[FALLECIDO_COD]]=0,TODAY()-Tabla1[[#This Row],[FECHA_TRASPLANTE]],Tabla1[[#This Row],[FECHA DE DEFUNCIÓN]]-Tabla1[[#This Row],[FECHA_TRASPLANTE]])/365.25</f>
        <v>7.1485284052019162</v>
      </c>
      <c r="BY237"/>
      <c r="BZ237"/>
    </row>
    <row r="238" spans="1:78" hidden="1" x14ac:dyDescent="0.35">
      <c r="A238" t="s">
        <v>1125</v>
      </c>
      <c r="D238" t="s">
        <v>1129</v>
      </c>
      <c r="E238" t="s">
        <v>375</v>
      </c>
      <c r="I238">
        <v>118.46954140999316</v>
      </c>
      <c r="J238" t="s">
        <v>1346</v>
      </c>
      <c r="K238" t="s">
        <v>1509</v>
      </c>
      <c r="L238" t="s">
        <v>1510</v>
      </c>
      <c r="M238" t="s">
        <v>1510</v>
      </c>
      <c r="N238" s="11">
        <v>109730280</v>
      </c>
      <c r="O238" s="2">
        <v>43271</v>
      </c>
      <c r="R238" s="3">
        <f>(Tabla1[[#This Row],[FECHA_TRASPLANTE]]-Tabla1[[#This Row],[FECHA_NAC]])/365.25</f>
        <v>118.46954140999316</v>
      </c>
      <c r="T238"/>
      <c r="U238" t="s">
        <v>1348</v>
      </c>
      <c r="W238" t="s">
        <v>82</v>
      </c>
      <c r="X238" t="s">
        <v>91</v>
      </c>
      <c r="Y238" t="s">
        <v>116</v>
      </c>
      <c r="Z238" t="s">
        <v>116</v>
      </c>
      <c r="AM238" t="s">
        <v>106</v>
      </c>
      <c r="AO238"/>
      <c r="AV238" s="2"/>
      <c r="AZ238"/>
      <c r="BT238" s="2">
        <f>Tabla1[[#This Row],[FECHA_TRASPLANTE]]</f>
        <v>43271</v>
      </c>
      <c r="BU238">
        <f>IF(Tabla1[[#This Row],[FALLECIDO SI/NO]]="NO",0,1)</f>
        <v>0</v>
      </c>
      <c r="BV238" s="3">
        <f ca="1">IF(Tabla1[[#This Row],[FALLECIDO_COD]]=0,TODAY()-Tabla1[[#This Row],[FECHA_TRASPLANTE]],Tabla1[[#This Row],[FECHA DE DEFUNCIÓN]]-Tabla1[[#This Row],[FECHA_TRASPLANTE]])</f>
        <v>2604</v>
      </c>
      <c r="BW238" s="3">
        <f ca="1">IF(Tabla1[[#This Row],[FALLECIDO_COD]]=0,TODAY()-Tabla1[[#This Row],[FECHA_TRASPLANTE]],Tabla1[[#This Row],[FECHA DE DEFUNCIÓN]]-Tabla1[[#This Row],[FECHA_TRASPLANTE]])/30.4375</f>
        <v>85.552361396303908</v>
      </c>
      <c r="BX238" s="3">
        <f ca="1">IF(Tabla1[[#This Row],[FALLECIDO_COD]]=0,TODAY()-Tabla1[[#This Row],[FECHA_TRASPLANTE]],Tabla1[[#This Row],[FECHA DE DEFUNCIÓN]]-Tabla1[[#This Row],[FECHA_TRASPLANTE]])/365.25</f>
        <v>7.1293634496919918</v>
      </c>
      <c r="BY238"/>
      <c r="BZ238"/>
    </row>
    <row r="239" spans="1:78" hidden="1" x14ac:dyDescent="0.35">
      <c r="A239" t="s">
        <v>1126</v>
      </c>
      <c r="D239" t="s">
        <v>1333</v>
      </c>
      <c r="E239" t="s">
        <v>77</v>
      </c>
      <c r="I239">
        <v>118.50513347022587</v>
      </c>
      <c r="J239" t="s">
        <v>1334</v>
      </c>
      <c r="N239" s="11">
        <v>104370480</v>
      </c>
      <c r="O239" s="2">
        <v>43284</v>
      </c>
      <c r="R239" s="3">
        <f>(Tabla1[[#This Row],[FECHA_TRASPLANTE]]-Tabla1[[#This Row],[FECHA_NAC]])/365.25</f>
        <v>118.50513347022587</v>
      </c>
      <c r="AM239" t="s">
        <v>86</v>
      </c>
      <c r="AN239" s="2">
        <v>43410</v>
      </c>
      <c r="AR239" s="2"/>
      <c r="AS239" s="2"/>
      <c r="AV239" s="2"/>
      <c r="AZ239"/>
      <c r="BT239" s="2">
        <f>Tabla1[[#This Row],[FECHA_TRASPLANTE]]</f>
        <v>43284</v>
      </c>
      <c r="BU239">
        <f>IF(Tabla1[[#This Row],[FALLECIDO SI/NO]]="NO",0,1)</f>
        <v>1</v>
      </c>
      <c r="BV239" s="3">
        <f ca="1">IF(Tabla1[[#This Row],[FALLECIDO_COD]]=0,TODAY()-Tabla1[[#This Row],[FECHA_TRASPLANTE]],Tabla1[[#This Row],[FECHA DE DEFUNCIÓN]]-Tabla1[[#This Row],[FECHA_TRASPLANTE]])</f>
        <v>126</v>
      </c>
      <c r="BW239" s="3">
        <f ca="1">IF(Tabla1[[#This Row],[FALLECIDO_COD]]=0,TODAY()-Tabla1[[#This Row],[FECHA_TRASPLANTE]],Tabla1[[#This Row],[FECHA DE DEFUNCIÓN]]-Tabla1[[#This Row],[FECHA_TRASPLANTE]])/30.4375</f>
        <v>4.1396303901437372</v>
      </c>
      <c r="BX239" s="3">
        <f ca="1">IF(Tabla1[[#This Row],[FALLECIDO_COD]]=0,TODAY()-Tabla1[[#This Row],[FECHA_TRASPLANTE]],Tabla1[[#This Row],[FECHA DE DEFUNCIÓN]]-Tabla1[[#This Row],[FECHA_TRASPLANTE]])/365.25</f>
        <v>0.34496919917864477</v>
      </c>
      <c r="BY239"/>
      <c r="BZ239"/>
    </row>
    <row r="240" spans="1:78" hidden="1" x14ac:dyDescent="0.35">
      <c r="A240" t="s">
        <v>377</v>
      </c>
      <c r="D240" t="s">
        <v>1129</v>
      </c>
      <c r="E240" t="s">
        <v>375</v>
      </c>
      <c r="I240">
        <v>118.85243651338367</v>
      </c>
      <c r="K240" t="s">
        <v>1480</v>
      </c>
      <c r="L240" t="s">
        <v>260</v>
      </c>
      <c r="M240" t="s">
        <v>229</v>
      </c>
      <c r="N240" s="11">
        <v>701080646</v>
      </c>
      <c r="O240" s="2">
        <v>43292</v>
      </c>
      <c r="P240" t="s">
        <v>81</v>
      </c>
      <c r="Q240" s="2">
        <v>27007</v>
      </c>
      <c r="R240" s="3">
        <f>(Tabla1[[#This Row],[FECHA_TRASPLANTE]]-Tabla1[[#This Row],[FECHA_NAC]])/365.25</f>
        <v>44.585900068446271</v>
      </c>
      <c r="T240"/>
      <c r="W240" t="s">
        <v>82</v>
      </c>
      <c r="X240" t="s">
        <v>91</v>
      </c>
      <c r="Y240" t="s">
        <v>193</v>
      </c>
      <c r="Z240" t="s">
        <v>193</v>
      </c>
      <c r="AM240" t="s">
        <v>86</v>
      </c>
      <c r="AN240" s="2">
        <v>43292</v>
      </c>
      <c r="AO240"/>
      <c r="AV240" s="2"/>
      <c r="AZ240"/>
      <c r="BT240" s="2">
        <f>Tabla1[[#This Row],[FECHA_TRASPLANTE]]</f>
        <v>43292</v>
      </c>
      <c r="BU240">
        <f>IF(Tabla1[[#This Row],[FALLECIDO SI/NO]]="NO",0,1)</f>
        <v>1</v>
      </c>
      <c r="BV240" s="3">
        <f ca="1">IF(Tabla1[[#This Row],[FALLECIDO_COD]]=0,TODAY()-Tabla1[[#This Row],[FECHA_TRASPLANTE]],Tabla1[[#This Row],[FECHA DE DEFUNCIÓN]]-Tabla1[[#This Row],[FECHA_TRASPLANTE]])</f>
        <v>0</v>
      </c>
      <c r="BW240" s="3">
        <f ca="1">IF(Tabla1[[#This Row],[FALLECIDO_COD]]=0,TODAY()-Tabla1[[#This Row],[FECHA_TRASPLANTE]],Tabla1[[#This Row],[FECHA DE DEFUNCIÓN]]-Tabla1[[#This Row],[FECHA_TRASPLANTE]])/30.4375</f>
        <v>0</v>
      </c>
      <c r="BX240" s="3">
        <f ca="1">IF(Tabla1[[#This Row],[FALLECIDO_COD]]=0,TODAY()-Tabla1[[#This Row],[FECHA_TRASPLANTE]],Tabla1[[#This Row],[FECHA DE DEFUNCIÓN]]-Tabla1[[#This Row],[FECHA_TRASPLANTE]])/365.25</f>
        <v>0</v>
      </c>
      <c r="BY240"/>
      <c r="BZ240"/>
    </row>
    <row r="241" spans="1:78" hidden="1" x14ac:dyDescent="0.35">
      <c r="A241" t="s">
        <v>1126</v>
      </c>
      <c r="D241" t="s">
        <v>1333</v>
      </c>
      <c r="E241" t="s">
        <v>77</v>
      </c>
      <c r="I241">
        <v>118.56262833675565</v>
      </c>
      <c r="J241" t="s">
        <v>1334</v>
      </c>
      <c r="N241" s="11">
        <v>106440659</v>
      </c>
      <c r="O241" s="2">
        <v>43305</v>
      </c>
      <c r="R241" s="3">
        <f>(Tabla1[[#This Row],[FECHA_TRASPLANTE]]-Tabla1[[#This Row],[FECHA_NAC]])/365.25</f>
        <v>118.56262833675565</v>
      </c>
      <c r="AM241" t="s">
        <v>106</v>
      </c>
      <c r="AR241" s="2"/>
      <c r="AS241" s="2"/>
      <c r="AV241" s="2"/>
      <c r="AZ241"/>
      <c r="BT241" s="2">
        <f>Tabla1[[#This Row],[FECHA_TRASPLANTE]]</f>
        <v>43305</v>
      </c>
      <c r="BU241">
        <f>IF(Tabla1[[#This Row],[FALLECIDO SI/NO]]="NO",0,1)</f>
        <v>0</v>
      </c>
      <c r="BV241" s="3">
        <f ca="1">IF(Tabla1[[#This Row],[FALLECIDO_COD]]=0,TODAY()-Tabla1[[#This Row],[FECHA_TRASPLANTE]],Tabla1[[#This Row],[FECHA DE DEFUNCIÓN]]-Tabla1[[#This Row],[FECHA_TRASPLANTE]])</f>
        <v>2570</v>
      </c>
      <c r="BW241" s="3">
        <f ca="1">IF(Tabla1[[#This Row],[FALLECIDO_COD]]=0,TODAY()-Tabla1[[#This Row],[FECHA_TRASPLANTE]],Tabla1[[#This Row],[FECHA DE DEFUNCIÓN]]-Tabla1[[#This Row],[FECHA_TRASPLANTE]])/30.4375</f>
        <v>84.435318275154003</v>
      </c>
      <c r="BX241" s="3">
        <f ca="1">IF(Tabla1[[#This Row],[FALLECIDO_COD]]=0,TODAY()-Tabla1[[#This Row],[FECHA_TRASPLANTE]],Tabla1[[#This Row],[FECHA DE DEFUNCIÓN]]-Tabla1[[#This Row],[FECHA_TRASPLANTE]])/365.25</f>
        <v>7.0362765229295006</v>
      </c>
      <c r="BY241"/>
      <c r="BZ241"/>
    </row>
    <row r="242" spans="1:78" hidden="1" x14ac:dyDescent="0.35">
      <c r="A242" t="s">
        <v>1126</v>
      </c>
      <c r="D242" t="s">
        <v>1333</v>
      </c>
      <c r="E242" t="s">
        <v>77</v>
      </c>
      <c r="I242">
        <v>118.56536618754278</v>
      </c>
      <c r="J242" t="s">
        <v>1334</v>
      </c>
      <c r="N242" s="11">
        <v>302760776</v>
      </c>
      <c r="O242" s="2">
        <v>43306</v>
      </c>
      <c r="R242" s="3">
        <f>(Tabla1[[#This Row],[FECHA_TRASPLANTE]]-Tabla1[[#This Row],[FECHA_NAC]])/365.25</f>
        <v>118.56536618754278</v>
      </c>
      <c r="AM242" t="s">
        <v>106</v>
      </c>
      <c r="AR242" s="2"/>
      <c r="AS242" s="2"/>
      <c r="AV242" s="2"/>
      <c r="AZ242"/>
      <c r="BT242" s="2">
        <f>Tabla1[[#This Row],[FECHA_TRASPLANTE]]</f>
        <v>43306</v>
      </c>
      <c r="BU242">
        <f>IF(Tabla1[[#This Row],[FALLECIDO SI/NO]]="NO",0,1)</f>
        <v>0</v>
      </c>
      <c r="BV242" s="3">
        <f ca="1">IF(Tabla1[[#This Row],[FALLECIDO_COD]]=0,TODAY()-Tabla1[[#This Row],[FECHA_TRASPLANTE]],Tabla1[[#This Row],[FECHA DE DEFUNCIÓN]]-Tabla1[[#This Row],[FECHA_TRASPLANTE]])</f>
        <v>2569</v>
      </c>
      <c r="BW242" s="3">
        <f ca="1">IF(Tabla1[[#This Row],[FALLECIDO_COD]]=0,TODAY()-Tabla1[[#This Row],[FECHA_TRASPLANTE]],Tabla1[[#This Row],[FECHA DE DEFUNCIÓN]]-Tabla1[[#This Row],[FECHA_TRASPLANTE]])/30.4375</f>
        <v>84.402464065708415</v>
      </c>
      <c r="BX242" s="3">
        <f ca="1">IF(Tabla1[[#This Row],[FALLECIDO_COD]]=0,TODAY()-Tabla1[[#This Row],[FECHA_TRASPLANTE]],Tabla1[[#This Row],[FECHA DE DEFUNCIÓN]]-Tabla1[[#This Row],[FECHA_TRASPLANTE]])/365.25</f>
        <v>7.0335386721423685</v>
      </c>
      <c r="BY242"/>
      <c r="BZ242"/>
    </row>
    <row r="243" spans="1:78" hidden="1" x14ac:dyDescent="0.35">
      <c r="A243" t="s">
        <v>377</v>
      </c>
      <c r="D243" t="s">
        <v>1129</v>
      </c>
      <c r="E243" t="s">
        <v>375</v>
      </c>
      <c r="I243">
        <v>118.91008922443376</v>
      </c>
      <c r="K243" t="s">
        <v>1511</v>
      </c>
      <c r="L243" t="s">
        <v>228</v>
      </c>
      <c r="M243" t="s">
        <v>208</v>
      </c>
      <c r="N243" s="11">
        <v>204100170</v>
      </c>
      <c r="O243" s="2">
        <v>43313</v>
      </c>
      <c r="P243" t="s">
        <v>90</v>
      </c>
      <c r="Q243" s="2">
        <v>24003</v>
      </c>
      <c r="R243" s="3">
        <f>(Tabla1[[#This Row],[FECHA_TRASPLANTE]]-Tabla1[[#This Row],[FECHA_NAC]])/365.25</f>
        <v>52.867898699520879</v>
      </c>
      <c r="T243"/>
      <c r="W243" t="s">
        <v>82</v>
      </c>
      <c r="AM243" t="s">
        <v>106</v>
      </c>
      <c r="AO243"/>
      <c r="AV243" s="2"/>
      <c r="AZ243"/>
      <c r="BT243" s="2">
        <f>Tabla1[[#This Row],[FECHA_TRASPLANTE]]</f>
        <v>43313</v>
      </c>
      <c r="BU243">
        <f>IF(Tabla1[[#This Row],[FALLECIDO SI/NO]]="NO",0,1)</f>
        <v>0</v>
      </c>
      <c r="BV243" s="3">
        <f ca="1">IF(Tabla1[[#This Row],[FALLECIDO_COD]]=0,TODAY()-Tabla1[[#This Row],[FECHA_TRASPLANTE]],Tabla1[[#This Row],[FECHA DE DEFUNCIÓN]]-Tabla1[[#This Row],[FECHA_TRASPLANTE]])</f>
        <v>2562</v>
      </c>
      <c r="BW243" s="3">
        <f ca="1">IF(Tabla1[[#This Row],[FALLECIDO_COD]]=0,TODAY()-Tabla1[[#This Row],[FECHA_TRASPLANTE]],Tabla1[[#This Row],[FECHA DE DEFUNCIÓN]]-Tabla1[[#This Row],[FECHA_TRASPLANTE]])/30.4375</f>
        <v>84.172484599589325</v>
      </c>
      <c r="BX243" s="3">
        <f ca="1">IF(Tabla1[[#This Row],[FALLECIDO_COD]]=0,TODAY()-Tabla1[[#This Row],[FECHA_TRASPLANTE]],Tabla1[[#This Row],[FECHA DE DEFUNCIÓN]]-Tabla1[[#This Row],[FECHA_TRASPLANTE]])/365.25</f>
        <v>7.0143737166324431</v>
      </c>
      <c r="BY243"/>
      <c r="BZ243"/>
    </row>
    <row r="244" spans="1:78" hidden="1" x14ac:dyDescent="0.35">
      <c r="A244" t="s">
        <v>377</v>
      </c>
      <c r="D244" t="s">
        <v>1129</v>
      </c>
      <c r="E244" t="s">
        <v>375</v>
      </c>
      <c r="I244">
        <v>118.9293067947838</v>
      </c>
      <c r="K244" t="s">
        <v>1512</v>
      </c>
      <c r="L244" t="s">
        <v>1513</v>
      </c>
      <c r="M244" t="s">
        <v>592</v>
      </c>
      <c r="N244" s="11">
        <v>503720566</v>
      </c>
      <c r="O244" s="2">
        <v>43320</v>
      </c>
      <c r="P244" t="s">
        <v>90</v>
      </c>
      <c r="Q244" s="2">
        <v>32806</v>
      </c>
      <c r="R244" s="3">
        <f>(Tabla1[[#This Row],[FECHA_TRASPLANTE]]-Tabla1[[#This Row],[FECHA_NAC]])/365.25</f>
        <v>28.785763175906911</v>
      </c>
      <c r="T244"/>
      <c r="W244" t="s">
        <v>82</v>
      </c>
      <c r="AM244" t="s">
        <v>106</v>
      </c>
      <c r="AO244"/>
      <c r="AV244" s="2"/>
      <c r="AZ244"/>
      <c r="BT244" s="2">
        <f>Tabla1[[#This Row],[FECHA_TRASPLANTE]]</f>
        <v>43320</v>
      </c>
      <c r="BU244">
        <f>IF(Tabla1[[#This Row],[FALLECIDO SI/NO]]="NO",0,1)</f>
        <v>0</v>
      </c>
      <c r="BV244" s="3">
        <f ca="1">IF(Tabla1[[#This Row],[FALLECIDO_COD]]=0,TODAY()-Tabla1[[#This Row],[FECHA_TRASPLANTE]],Tabla1[[#This Row],[FECHA DE DEFUNCIÓN]]-Tabla1[[#This Row],[FECHA_TRASPLANTE]])</f>
        <v>2555</v>
      </c>
      <c r="BW244" s="3">
        <f ca="1">IF(Tabla1[[#This Row],[FALLECIDO_COD]]=0,TODAY()-Tabla1[[#This Row],[FECHA_TRASPLANTE]],Tabla1[[#This Row],[FECHA DE DEFUNCIÓN]]-Tabla1[[#This Row],[FECHA_TRASPLANTE]])/30.4375</f>
        <v>83.94250513347022</v>
      </c>
      <c r="BX244" s="3">
        <f ca="1">IF(Tabla1[[#This Row],[FALLECIDO_COD]]=0,TODAY()-Tabla1[[#This Row],[FECHA_TRASPLANTE]],Tabla1[[#This Row],[FECHA DE DEFUNCIÓN]]-Tabla1[[#This Row],[FECHA_TRASPLANTE]])/365.25</f>
        <v>6.9952087611225187</v>
      </c>
      <c r="BY244"/>
      <c r="BZ244"/>
    </row>
    <row r="245" spans="1:78" hidden="1" x14ac:dyDescent="0.35">
      <c r="A245" t="s">
        <v>1125</v>
      </c>
      <c r="D245" t="s">
        <v>1129</v>
      </c>
      <c r="E245" t="s">
        <v>375</v>
      </c>
      <c r="I245">
        <v>118.60369609856262</v>
      </c>
      <c r="J245" t="s">
        <v>1346</v>
      </c>
      <c r="K245" t="s">
        <v>1514</v>
      </c>
      <c r="L245" t="s">
        <v>1515</v>
      </c>
      <c r="M245" t="s">
        <v>474</v>
      </c>
      <c r="N245" s="11">
        <v>108680104</v>
      </c>
      <c r="O245" s="2">
        <v>43320</v>
      </c>
      <c r="R245" s="3">
        <f>(Tabla1[[#This Row],[FECHA_TRASPLANTE]]-Tabla1[[#This Row],[FECHA_NAC]])/365.25</f>
        <v>118.60369609856262</v>
      </c>
      <c r="T245"/>
      <c r="U245" t="s">
        <v>1348</v>
      </c>
      <c r="W245" t="s">
        <v>82</v>
      </c>
      <c r="X245" t="s">
        <v>91</v>
      </c>
      <c r="Y245" t="s">
        <v>498</v>
      </c>
      <c r="Z245" t="s">
        <v>454</v>
      </c>
      <c r="AM245" t="s">
        <v>106</v>
      </c>
      <c r="AO245"/>
      <c r="AV245" s="2"/>
      <c r="AZ245"/>
      <c r="BT245" s="2">
        <f>Tabla1[[#This Row],[FECHA_TRASPLANTE]]</f>
        <v>43320</v>
      </c>
      <c r="BU245">
        <f>IF(Tabla1[[#This Row],[FALLECIDO SI/NO]]="NO",0,1)</f>
        <v>0</v>
      </c>
      <c r="BV245" s="3">
        <f ca="1">IF(Tabla1[[#This Row],[FALLECIDO_COD]]=0,TODAY()-Tabla1[[#This Row],[FECHA_TRASPLANTE]],Tabla1[[#This Row],[FECHA DE DEFUNCIÓN]]-Tabla1[[#This Row],[FECHA_TRASPLANTE]])</f>
        <v>2555</v>
      </c>
      <c r="BW245" s="3">
        <f ca="1">IF(Tabla1[[#This Row],[FALLECIDO_COD]]=0,TODAY()-Tabla1[[#This Row],[FECHA_TRASPLANTE]],Tabla1[[#This Row],[FECHA DE DEFUNCIÓN]]-Tabla1[[#This Row],[FECHA_TRASPLANTE]])/30.4375</f>
        <v>83.94250513347022</v>
      </c>
      <c r="BX245" s="3">
        <f ca="1">IF(Tabla1[[#This Row],[FALLECIDO_COD]]=0,TODAY()-Tabla1[[#This Row],[FECHA_TRASPLANTE]],Tabla1[[#This Row],[FECHA DE DEFUNCIÓN]]-Tabla1[[#This Row],[FECHA_TRASPLANTE]])/365.25</f>
        <v>6.9952087611225187</v>
      </c>
      <c r="BY245"/>
      <c r="BZ245"/>
    </row>
    <row r="246" spans="1:78" hidden="1" x14ac:dyDescent="0.35">
      <c r="A246" t="s">
        <v>377</v>
      </c>
      <c r="D246" t="s">
        <v>1129</v>
      </c>
      <c r="E246" t="s">
        <v>77</v>
      </c>
      <c r="I246">
        <v>118.93205216197667</v>
      </c>
      <c r="K246" t="s">
        <v>544</v>
      </c>
      <c r="L246" t="s">
        <v>145</v>
      </c>
      <c r="M246" t="s">
        <v>145</v>
      </c>
      <c r="N246" s="11">
        <v>503370790</v>
      </c>
      <c r="O246" s="2">
        <v>43321</v>
      </c>
      <c r="P246" t="s">
        <v>81</v>
      </c>
      <c r="Q246" s="2">
        <v>30655</v>
      </c>
      <c r="R246" s="3">
        <f>(Tabla1[[#This Row],[FECHA_TRASPLANTE]]-Tabla1[[#This Row],[FECHA_NAC]])/365.25</f>
        <v>34.677618069815196</v>
      </c>
      <c r="T246"/>
      <c r="W246" t="s">
        <v>82</v>
      </c>
      <c r="X246" t="s">
        <v>125</v>
      </c>
      <c r="Y246" t="s">
        <v>667</v>
      </c>
      <c r="Z246" t="s">
        <v>1516</v>
      </c>
      <c r="AM246" t="s">
        <v>86</v>
      </c>
      <c r="AN246" s="2">
        <v>44368</v>
      </c>
      <c r="AO246"/>
      <c r="AV246" s="2"/>
      <c r="AZ246"/>
      <c r="BT246" s="2">
        <f>Tabla1[[#This Row],[FECHA_TRASPLANTE]]</f>
        <v>43321</v>
      </c>
      <c r="BU246">
        <f>IF(Tabla1[[#This Row],[FALLECIDO SI/NO]]="NO",0,1)</f>
        <v>1</v>
      </c>
      <c r="BV246" s="3">
        <f ca="1">IF(Tabla1[[#This Row],[FALLECIDO_COD]]=0,TODAY()-Tabla1[[#This Row],[FECHA_TRASPLANTE]],Tabla1[[#This Row],[FECHA DE DEFUNCIÓN]]-Tabla1[[#This Row],[FECHA_TRASPLANTE]])</f>
        <v>1047</v>
      </c>
      <c r="BW246" s="3">
        <f ca="1">IF(Tabla1[[#This Row],[FALLECIDO_COD]]=0,TODAY()-Tabla1[[#This Row],[FECHA_TRASPLANTE]],Tabla1[[#This Row],[FECHA DE DEFUNCIÓN]]-Tabla1[[#This Row],[FECHA_TRASPLANTE]])/30.4375</f>
        <v>34.398357289527723</v>
      </c>
      <c r="BX246" s="3">
        <f ca="1">IF(Tabla1[[#This Row],[FALLECIDO_COD]]=0,TODAY()-Tabla1[[#This Row],[FECHA_TRASPLANTE]],Tabla1[[#This Row],[FECHA DE DEFUNCIÓN]]-Tabla1[[#This Row],[FECHA_TRASPLANTE]])/365.25</f>
        <v>2.8665297741273101</v>
      </c>
      <c r="BY246"/>
      <c r="BZ246"/>
    </row>
    <row r="247" spans="1:78" hidden="1" x14ac:dyDescent="0.35">
      <c r="A247" t="s">
        <v>75</v>
      </c>
      <c r="D247" t="s">
        <v>1129</v>
      </c>
      <c r="E247" t="s">
        <v>77</v>
      </c>
      <c r="I247">
        <v>118.93205216197667</v>
      </c>
      <c r="K247" t="s">
        <v>1517</v>
      </c>
      <c r="L247" t="s">
        <v>145</v>
      </c>
      <c r="M247" t="s">
        <v>431</v>
      </c>
      <c r="N247" s="11">
        <v>800790175</v>
      </c>
      <c r="O247" s="16">
        <v>43321</v>
      </c>
      <c r="P247" t="s">
        <v>81</v>
      </c>
      <c r="Q247" s="2">
        <v>23312</v>
      </c>
      <c r="R247" s="3">
        <f>(Tabla1[[#This Row],[FECHA_TRASPLANTE]]-Tabla1[[#This Row],[FECHA_NAC]])/365.25</f>
        <v>54.781656399726216</v>
      </c>
      <c r="T247"/>
      <c r="W247" t="s">
        <v>82</v>
      </c>
      <c r="X247" t="s">
        <v>115</v>
      </c>
      <c r="Y247" t="s">
        <v>84</v>
      </c>
      <c r="Z247" t="s">
        <v>1151</v>
      </c>
      <c r="AM247" t="s">
        <v>86</v>
      </c>
      <c r="AN247" s="2">
        <v>43323</v>
      </c>
      <c r="AO247"/>
      <c r="AV247" s="2"/>
      <c r="AZ247"/>
      <c r="BJ247" s="2"/>
      <c r="BT247" s="2">
        <f>Tabla1[[#This Row],[FECHA_TRASPLANTE]]</f>
        <v>43321</v>
      </c>
      <c r="BU247">
        <f>IF(Tabla1[[#This Row],[FALLECIDO SI/NO]]="NO",0,1)</f>
        <v>1</v>
      </c>
      <c r="BV247" s="3">
        <f ca="1">IF(Tabla1[[#This Row],[FALLECIDO_COD]]=0,TODAY()-Tabla1[[#This Row],[FECHA_TRASPLANTE]],Tabla1[[#This Row],[FECHA DE DEFUNCIÓN]]-Tabla1[[#This Row],[FECHA_TRASPLANTE]])</f>
        <v>2</v>
      </c>
      <c r="BW247" s="3">
        <f ca="1">IF(Tabla1[[#This Row],[FALLECIDO_COD]]=0,TODAY()-Tabla1[[#This Row],[FECHA_TRASPLANTE]],Tabla1[[#This Row],[FECHA DE DEFUNCIÓN]]-Tabla1[[#This Row],[FECHA_TRASPLANTE]])/30.4375</f>
        <v>6.5708418891170434E-2</v>
      </c>
      <c r="BX247" s="3">
        <f ca="1">IF(Tabla1[[#This Row],[FALLECIDO_COD]]=0,TODAY()-Tabla1[[#This Row],[FECHA_TRASPLANTE]],Tabla1[[#This Row],[FECHA DE DEFUNCIÓN]]-Tabla1[[#This Row],[FECHA_TRASPLANTE]])/365.25</f>
        <v>5.4757015742642025E-3</v>
      </c>
      <c r="BY247"/>
      <c r="BZ247"/>
    </row>
    <row r="248" spans="1:78" hidden="1" x14ac:dyDescent="0.35">
      <c r="A248" t="s">
        <v>1125</v>
      </c>
      <c r="D248" t="s">
        <v>1129</v>
      </c>
      <c r="E248" t="s">
        <v>77</v>
      </c>
      <c r="I248">
        <v>118.63928815879535</v>
      </c>
      <c r="J248" t="s">
        <v>1334</v>
      </c>
      <c r="K248" t="s">
        <v>1518</v>
      </c>
      <c r="L248" t="s">
        <v>764</v>
      </c>
      <c r="M248" t="s">
        <v>764</v>
      </c>
      <c r="N248" s="11">
        <v>501720497</v>
      </c>
      <c r="O248" s="2">
        <v>43333</v>
      </c>
      <c r="R248" s="3">
        <f>(Tabla1[[#This Row],[FECHA_TRASPLANTE]]-Tabla1[[#This Row],[FECHA_NAC]])/365.25</f>
        <v>118.63928815879535</v>
      </c>
      <c r="T248"/>
      <c r="U248" t="s">
        <v>1348</v>
      </c>
      <c r="W248" t="s">
        <v>82</v>
      </c>
      <c r="X248" t="s">
        <v>91</v>
      </c>
      <c r="Y248" t="s">
        <v>84</v>
      </c>
      <c r="Z248" t="s">
        <v>1519</v>
      </c>
      <c r="AM248" t="s">
        <v>86</v>
      </c>
      <c r="AN248" s="2">
        <v>44037</v>
      </c>
      <c r="AO248"/>
      <c r="AV248" s="2"/>
      <c r="AZ248"/>
      <c r="BT248" s="2">
        <f>Tabla1[[#This Row],[FECHA_TRASPLANTE]]</f>
        <v>43333</v>
      </c>
      <c r="BU248">
        <f>IF(Tabla1[[#This Row],[FALLECIDO SI/NO]]="NO",0,1)</f>
        <v>1</v>
      </c>
      <c r="BV248" s="3">
        <f ca="1">IF(Tabla1[[#This Row],[FALLECIDO_COD]]=0,TODAY()-Tabla1[[#This Row],[FECHA_TRASPLANTE]],Tabla1[[#This Row],[FECHA DE DEFUNCIÓN]]-Tabla1[[#This Row],[FECHA_TRASPLANTE]])</f>
        <v>704</v>
      </c>
      <c r="BW248" s="3">
        <f ca="1">IF(Tabla1[[#This Row],[FALLECIDO_COD]]=0,TODAY()-Tabla1[[#This Row],[FECHA_TRASPLANTE]],Tabla1[[#This Row],[FECHA DE DEFUNCIÓN]]-Tabla1[[#This Row],[FECHA_TRASPLANTE]])/30.4375</f>
        <v>23.129363449691994</v>
      </c>
      <c r="BX248" s="3">
        <f ca="1">IF(Tabla1[[#This Row],[FALLECIDO_COD]]=0,TODAY()-Tabla1[[#This Row],[FECHA_TRASPLANTE]],Tabla1[[#This Row],[FECHA DE DEFUNCIÓN]]-Tabla1[[#This Row],[FECHA_TRASPLANTE]])/365.25</f>
        <v>1.9274469541409993</v>
      </c>
      <c r="BY248"/>
      <c r="BZ248"/>
    </row>
    <row r="249" spans="1:78" hidden="1" x14ac:dyDescent="0.35">
      <c r="A249" t="s">
        <v>377</v>
      </c>
      <c r="D249" t="s">
        <v>1129</v>
      </c>
      <c r="E249" t="s">
        <v>375</v>
      </c>
      <c r="I249">
        <v>118.96774193548387</v>
      </c>
      <c r="K249" t="s">
        <v>139</v>
      </c>
      <c r="L249" t="s">
        <v>1426</v>
      </c>
      <c r="M249" t="s">
        <v>921</v>
      </c>
      <c r="N249" s="11">
        <v>205100886</v>
      </c>
      <c r="O249" s="2">
        <v>43334</v>
      </c>
      <c r="P249" t="s">
        <v>81</v>
      </c>
      <c r="Q249" s="2">
        <v>27899</v>
      </c>
      <c r="R249" s="3">
        <f>(Tabla1[[#This Row],[FECHA_TRASPLANTE]]-Tabla1[[#This Row],[FECHA_NAC]])/365.25</f>
        <v>42.258726899383987</v>
      </c>
      <c r="T249"/>
      <c r="W249" t="s">
        <v>82</v>
      </c>
      <c r="X249" t="s">
        <v>115</v>
      </c>
      <c r="Y249" t="s">
        <v>84</v>
      </c>
      <c r="Z249" t="s">
        <v>1350</v>
      </c>
      <c r="AM249" t="s">
        <v>106</v>
      </c>
      <c r="AO249"/>
      <c r="AV249" s="2"/>
      <c r="AZ249"/>
      <c r="BT249" s="2">
        <f>Tabla1[[#This Row],[FECHA_TRASPLANTE]]</f>
        <v>43334</v>
      </c>
      <c r="BU249">
        <f>IF(Tabla1[[#This Row],[FALLECIDO SI/NO]]="NO",0,1)</f>
        <v>0</v>
      </c>
      <c r="BV249" s="3">
        <f ca="1">IF(Tabla1[[#This Row],[FALLECIDO_COD]]=0,TODAY()-Tabla1[[#This Row],[FECHA_TRASPLANTE]],Tabla1[[#This Row],[FECHA DE DEFUNCIÓN]]-Tabla1[[#This Row],[FECHA_TRASPLANTE]])</f>
        <v>2541</v>
      </c>
      <c r="BW249" s="3">
        <f ca="1">IF(Tabla1[[#This Row],[FALLECIDO_COD]]=0,TODAY()-Tabla1[[#This Row],[FECHA_TRASPLANTE]],Tabla1[[#This Row],[FECHA DE DEFUNCIÓN]]-Tabla1[[#This Row],[FECHA_TRASPLANTE]])/30.4375</f>
        <v>83.482546201232026</v>
      </c>
      <c r="BX249" s="3">
        <f ca="1">IF(Tabla1[[#This Row],[FALLECIDO_COD]]=0,TODAY()-Tabla1[[#This Row],[FECHA_TRASPLANTE]],Tabla1[[#This Row],[FECHA DE DEFUNCIÓN]]-Tabla1[[#This Row],[FECHA_TRASPLANTE]])/365.25</f>
        <v>6.9568788501026697</v>
      </c>
      <c r="BY249"/>
      <c r="BZ249"/>
    </row>
    <row r="250" spans="1:78" hidden="1" x14ac:dyDescent="0.35">
      <c r="A250" t="s">
        <v>377</v>
      </c>
      <c r="D250" t="s">
        <v>1129</v>
      </c>
      <c r="E250" t="s">
        <v>375</v>
      </c>
      <c r="I250">
        <v>119.12148249828415</v>
      </c>
      <c r="K250" t="s">
        <v>1409</v>
      </c>
      <c r="L250" t="s">
        <v>94</v>
      </c>
      <c r="M250" t="s">
        <v>274</v>
      </c>
      <c r="N250" s="11">
        <v>206860934</v>
      </c>
      <c r="O250" s="2">
        <v>43390</v>
      </c>
      <c r="P250" t="s">
        <v>81</v>
      </c>
      <c r="Q250" s="2">
        <v>33380</v>
      </c>
      <c r="R250" s="3">
        <f>(Tabla1[[#This Row],[FECHA_TRASPLANTE]]-Tabla1[[#This Row],[FECHA_NAC]])/365.25</f>
        <v>27.405886379192335</v>
      </c>
      <c r="T250"/>
      <c r="W250" t="s">
        <v>82</v>
      </c>
      <c r="X250" t="s">
        <v>115</v>
      </c>
      <c r="Y250" t="s">
        <v>365</v>
      </c>
      <c r="Z250" t="s">
        <v>1520</v>
      </c>
      <c r="AM250" t="s">
        <v>106</v>
      </c>
      <c r="AO250"/>
      <c r="AV250" s="2"/>
      <c r="AZ250"/>
      <c r="BT250" s="2">
        <f>Tabla1[[#This Row],[FECHA_TRASPLANTE]]</f>
        <v>43390</v>
      </c>
      <c r="BU250">
        <f>IF(Tabla1[[#This Row],[FALLECIDO SI/NO]]="NO",0,1)</f>
        <v>0</v>
      </c>
      <c r="BV250" s="3">
        <f ca="1">IF(Tabla1[[#This Row],[FALLECIDO_COD]]=0,TODAY()-Tabla1[[#This Row],[FECHA_TRASPLANTE]],Tabla1[[#This Row],[FECHA DE DEFUNCIÓN]]-Tabla1[[#This Row],[FECHA_TRASPLANTE]])</f>
        <v>2485</v>
      </c>
      <c r="BW250" s="3">
        <f ca="1">IF(Tabla1[[#This Row],[FALLECIDO_COD]]=0,TODAY()-Tabla1[[#This Row],[FECHA_TRASPLANTE]],Tabla1[[#This Row],[FECHA DE DEFUNCIÓN]]-Tabla1[[#This Row],[FECHA_TRASPLANTE]])/30.4375</f>
        <v>81.642710472279262</v>
      </c>
      <c r="BX250" s="3">
        <f ca="1">IF(Tabla1[[#This Row],[FALLECIDO_COD]]=0,TODAY()-Tabla1[[#This Row],[FECHA_TRASPLANTE]],Tabla1[[#This Row],[FECHA DE DEFUNCIÓN]]-Tabla1[[#This Row],[FECHA_TRASPLANTE]])/365.25</f>
        <v>6.8035592060232721</v>
      </c>
      <c r="BY250"/>
      <c r="BZ250"/>
    </row>
    <row r="251" spans="1:78" hidden="1" x14ac:dyDescent="0.35">
      <c r="A251" t="s">
        <v>377</v>
      </c>
      <c r="D251" t="s">
        <v>1129</v>
      </c>
      <c r="E251" t="s">
        <v>375</v>
      </c>
      <c r="I251">
        <v>119.14070006863417</v>
      </c>
      <c r="K251" t="s">
        <v>1517</v>
      </c>
      <c r="L251" t="s">
        <v>652</v>
      </c>
      <c r="M251" t="s">
        <v>145</v>
      </c>
      <c r="N251" s="11">
        <v>106850441</v>
      </c>
      <c r="O251" s="2">
        <v>43397</v>
      </c>
      <c r="P251" t="s">
        <v>81</v>
      </c>
      <c r="Q251" s="2">
        <v>24365</v>
      </c>
      <c r="R251" s="3">
        <f>(Tabla1[[#This Row],[FECHA_TRASPLANTE]]-Tabla1[[#This Row],[FECHA_NAC]])/365.25</f>
        <v>52.106776180698155</v>
      </c>
      <c r="T251"/>
      <c r="W251" t="s">
        <v>82</v>
      </c>
      <c r="X251" t="s">
        <v>261</v>
      </c>
      <c r="Y251" t="s">
        <v>454</v>
      </c>
      <c r="Z251" t="s">
        <v>405</v>
      </c>
      <c r="AM251" t="s">
        <v>86</v>
      </c>
      <c r="AN251" s="2">
        <v>44068</v>
      </c>
      <c r="AO251"/>
      <c r="AV251" s="2"/>
      <c r="AZ251"/>
      <c r="BT251" s="2">
        <f>Tabla1[[#This Row],[FECHA_TRASPLANTE]]</f>
        <v>43397</v>
      </c>
      <c r="BU251">
        <f>IF(Tabla1[[#This Row],[FALLECIDO SI/NO]]="NO",0,1)</f>
        <v>1</v>
      </c>
      <c r="BV251" s="3">
        <f ca="1">IF(Tabla1[[#This Row],[FALLECIDO_COD]]=0,TODAY()-Tabla1[[#This Row],[FECHA_TRASPLANTE]],Tabla1[[#This Row],[FECHA DE DEFUNCIÓN]]-Tabla1[[#This Row],[FECHA_TRASPLANTE]])</f>
        <v>671</v>
      </c>
      <c r="BW251" s="3">
        <f ca="1">IF(Tabla1[[#This Row],[FALLECIDO_COD]]=0,TODAY()-Tabla1[[#This Row],[FECHA_TRASPLANTE]],Tabla1[[#This Row],[FECHA DE DEFUNCIÓN]]-Tabla1[[#This Row],[FECHA_TRASPLANTE]])/30.4375</f>
        <v>22.04517453798768</v>
      </c>
      <c r="BX251" s="3">
        <f ca="1">IF(Tabla1[[#This Row],[FALLECIDO_COD]]=0,TODAY()-Tabla1[[#This Row],[FECHA_TRASPLANTE]],Tabla1[[#This Row],[FECHA DE DEFUNCIÓN]]-Tabla1[[#This Row],[FECHA_TRASPLANTE]])/365.25</f>
        <v>1.83709787816564</v>
      </c>
      <c r="BY251"/>
      <c r="BZ251"/>
    </row>
    <row r="252" spans="1:78" hidden="1" x14ac:dyDescent="0.35">
      <c r="A252" t="s">
        <v>1125</v>
      </c>
      <c r="D252" t="s">
        <v>1129</v>
      </c>
      <c r="E252" t="s">
        <v>375</v>
      </c>
      <c r="I252">
        <v>118.8145106091718</v>
      </c>
      <c r="J252" t="s">
        <v>1346</v>
      </c>
      <c r="K252" t="s">
        <v>1521</v>
      </c>
      <c r="L252" t="s">
        <v>921</v>
      </c>
      <c r="M252" t="s">
        <v>188</v>
      </c>
      <c r="N252" s="11">
        <v>602480139</v>
      </c>
      <c r="O252" s="2">
        <v>43397</v>
      </c>
      <c r="R252" s="3">
        <f>(Tabla1[[#This Row],[FECHA_TRASPLANTE]]-Tabla1[[#This Row],[FECHA_NAC]])/365.25</f>
        <v>118.8145106091718</v>
      </c>
      <c r="T252"/>
      <c r="U252" t="s">
        <v>1348</v>
      </c>
      <c r="W252" t="s">
        <v>82</v>
      </c>
      <c r="AM252" t="s">
        <v>106</v>
      </c>
      <c r="AO252"/>
      <c r="AV252" s="2"/>
      <c r="AZ252"/>
      <c r="BT252" s="2">
        <f>Tabla1[[#This Row],[FECHA_TRASPLANTE]]</f>
        <v>43397</v>
      </c>
      <c r="BU252">
        <f>IF(Tabla1[[#This Row],[FALLECIDO SI/NO]]="NO",0,1)</f>
        <v>0</v>
      </c>
      <c r="BV252" s="3">
        <f ca="1">IF(Tabla1[[#This Row],[FALLECIDO_COD]]=0,TODAY()-Tabla1[[#This Row],[FECHA_TRASPLANTE]],Tabla1[[#This Row],[FECHA DE DEFUNCIÓN]]-Tabla1[[#This Row],[FECHA_TRASPLANTE]])</f>
        <v>2478</v>
      </c>
      <c r="BW252" s="3">
        <f ca="1">IF(Tabla1[[#This Row],[FALLECIDO_COD]]=0,TODAY()-Tabla1[[#This Row],[FECHA_TRASPLANTE]],Tabla1[[#This Row],[FECHA DE DEFUNCIÓN]]-Tabla1[[#This Row],[FECHA_TRASPLANTE]])/30.4375</f>
        <v>81.412731006160158</v>
      </c>
      <c r="BX252" s="3">
        <f ca="1">IF(Tabla1[[#This Row],[FALLECIDO_COD]]=0,TODAY()-Tabla1[[#This Row],[FECHA_TRASPLANTE]],Tabla1[[#This Row],[FECHA DE DEFUNCIÓN]]-Tabla1[[#This Row],[FECHA_TRASPLANTE]])/365.25</f>
        <v>6.7843942505133468</v>
      </c>
      <c r="BY252"/>
      <c r="BZ252"/>
    </row>
    <row r="253" spans="1:78" hidden="1" x14ac:dyDescent="0.35">
      <c r="A253" t="s">
        <v>377</v>
      </c>
      <c r="D253" t="s">
        <v>1129</v>
      </c>
      <c r="E253" t="s">
        <v>375</v>
      </c>
      <c r="I253">
        <v>119.15442690459849</v>
      </c>
      <c r="K253" t="s">
        <v>570</v>
      </c>
      <c r="L253" t="s">
        <v>149</v>
      </c>
      <c r="M253" t="s">
        <v>1522</v>
      </c>
      <c r="N253" s="11">
        <v>16459096</v>
      </c>
      <c r="O253" s="2">
        <v>43402</v>
      </c>
      <c r="P253" t="s">
        <v>81</v>
      </c>
      <c r="Q253" s="2">
        <v>23571</v>
      </c>
      <c r="R253" s="3">
        <f>(Tabla1[[#This Row],[FECHA_TRASPLANTE]]-Tabla1[[#This Row],[FECHA_NAC]])/365.25</f>
        <v>54.294318959616703</v>
      </c>
      <c r="T253"/>
      <c r="W253" t="s">
        <v>1132</v>
      </c>
      <c r="X253" t="s">
        <v>125</v>
      </c>
      <c r="Y253" t="s">
        <v>667</v>
      </c>
      <c r="Z253" t="s">
        <v>667</v>
      </c>
      <c r="AM253" t="s">
        <v>106</v>
      </c>
      <c r="AO253"/>
      <c r="AV253" s="2"/>
      <c r="AZ253"/>
      <c r="BT253" s="2">
        <f>Tabla1[[#This Row],[FECHA_TRASPLANTE]]</f>
        <v>43402</v>
      </c>
      <c r="BU253">
        <f>IF(Tabla1[[#This Row],[FALLECIDO SI/NO]]="NO",0,1)</f>
        <v>0</v>
      </c>
      <c r="BV253" s="3">
        <f ca="1">IF(Tabla1[[#This Row],[FALLECIDO_COD]]=0,TODAY()-Tabla1[[#This Row],[FECHA_TRASPLANTE]],Tabla1[[#This Row],[FECHA DE DEFUNCIÓN]]-Tabla1[[#This Row],[FECHA_TRASPLANTE]])</f>
        <v>2473</v>
      </c>
      <c r="BW253" s="3">
        <f ca="1">IF(Tabla1[[#This Row],[FALLECIDO_COD]]=0,TODAY()-Tabla1[[#This Row],[FECHA_TRASPLANTE]],Tabla1[[#This Row],[FECHA DE DEFUNCIÓN]]-Tabla1[[#This Row],[FECHA_TRASPLANTE]])/30.4375</f>
        <v>81.248459958932244</v>
      </c>
      <c r="BX253" s="3">
        <f ca="1">IF(Tabla1[[#This Row],[FALLECIDO_COD]]=0,TODAY()-Tabla1[[#This Row],[FECHA_TRASPLANTE]],Tabla1[[#This Row],[FECHA DE DEFUNCIÓN]]-Tabla1[[#This Row],[FECHA_TRASPLANTE]])/365.25</f>
        <v>6.7707049965776864</v>
      </c>
      <c r="BY253"/>
      <c r="BZ253"/>
    </row>
    <row r="254" spans="1:78" hidden="1" x14ac:dyDescent="0.35">
      <c r="A254" t="s">
        <v>376</v>
      </c>
      <c r="B254" t="s">
        <v>376</v>
      </c>
      <c r="D254" t="s">
        <v>1129</v>
      </c>
      <c r="E254" t="s">
        <v>375</v>
      </c>
      <c r="I254">
        <v>119.15717227179135</v>
      </c>
      <c r="K254" t="s">
        <v>1523</v>
      </c>
      <c r="L254" t="s">
        <v>704</v>
      </c>
      <c r="M254" t="s">
        <v>866</v>
      </c>
      <c r="N254" s="11">
        <v>305590364</v>
      </c>
      <c r="O254" s="2">
        <v>43403</v>
      </c>
      <c r="P254" t="s">
        <v>81</v>
      </c>
      <c r="Q254" s="2">
        <v>38525</v>
      </c>
      <c r="R254" s="3">
        <f>(Tabla1[[#This Row],[FECHA_TRASPLANTE]]-Tabla1[[#This Row],[FECHA_NAC]])/365.25</f>
        <v>13.35523613963039</v>
      </c>
      <c r="T254"/>
      <c r="W254" t="s">
        <v>82</v>
      </c>
      <c r="AM254" t="s">
        <v>106</v>
      </c>
      <c r="AO254"/>
      <c r="AV254" s="2"/>
      <c r="AZ254"/>
      <c r="BT254" s="2">
        <f>Tabla1[[#This Row],[FECHA_TRASPLANTE]]</f>
        <v>43403</v>
      </c>
      <c r="BU254">
        <f>IF(Tabla1[[#This Row],[FALLECIDO SI/NO]]="NO",0,1)</f>
        <v>0</v>
      </c>
      <c r="BV254" s="3">
        <f ca="1">IF(Tabla1[[#This Row],[FALLECIDO_COD]]=0,TODAY()-Tabla1[[#This Row],[FECHA_TRASPLANTE]],Tabla1[[#This Row],[FECHA DE DEFUNCIÓN]]-Tabla1[[#This Row],[FECHA_TRASPLANTE]])</f>
        <v>2472</v>
      </c>
      <c r="BW254" s="3">
        <f ca="1">IF(Tabla1[[#This Row],[FALLECIDO_COD]]=0,TODAY()-Tabla1[[#This Row],[FECHA_TRASPLANTE]],Tabla1[[#This Row],[FECHA DE DEFUNCIÓN]]-Tabla1[[#This Row],[FECHA_TRASPLANTE]])/30.4375</f>
        <v>81.215605749486656</v>
      </c>
      <c r="BX254" s="3">
        <f ca="1">IF(Tabla1[[#This Row],[FALLECIDO_COD]]=0,TODAY()-Tabla1[[#This Row],[FECHA_TRASPLANTE]],Tabla1[[#This Row],[FECHA DE DEFUNCIÓN]]-Tabla1[[#This Row],[FECHA_TRASPLANTE]])/365.25</f>
        <v>6.7679671457905544</v>
      </c>
      <c r="BY254"/>
      <c r="BZ254"/>
    </row>
    <row r="255" spans="1:78" hidden="1" x14ac:dyDescent="0.35">
      <c r="A255" t="s">
        <v>377</v>
      </c>
      <c r="D255" t="s">
        <v>1129</v>
      </c>
      <c r="E255" t="s">
        <v>375</v>
      </c>
      <c r="I255">
        <v>119.17913520933425</v>
      </c>
      <c r="K255" t="s">
        <v>1524</v>
      </c>
      <c r="L255" t="s">
        <v>626</v>
      </c>
      <c r="M255" t="s">
        <v>1525</v>
      </c>
      <c r="N255" s="11">
        <v>1780104594</v>
      </c>
      <c r="O255" s="2">
        <v>43411</v>
      </c>
      <c r="P255" t="s">
        <v>81</v>
      </c>
      <c r="Q255" s="2">
        <v>28497</v>
      </c>
      <c r="R255" s="3">
        <f>(Tabla1[[#This Row],[FECHA_TRASPLANTE]]-Tabla1[[#This Row],[FECHA_NAC]])/365.25</f>
        <v>40.832306639288156</v>
      </c>
      <c r="T255"/>
      <c r="W255" t="s">
        <v>1526</v>
      </c>
      <c r="X255" t="s">
        <v>261</v>
      </c>
      <c r="Y255" t="s">
        <v>84</v>
      </c>
      <c r="Z255" t="s">
        <v>302</v>
      </c>
      <c r="AM255" t="s">
        <v>106</v>
      </c>
      <c r="AO255"/>
      <c r="AV255" s="2"/>
      <c r="AZ255"/>
      <c r="BT255" s="2">
        <f>Tabla1[[#This Row],[FECHA_TRASPLANTE]]</f>
        <v>43411</v>
      </c>
      <c r="BU255">
        <f>IF(Tabla1[[#This Row],[FALLECIDO SI/NO]]="NO",0,1)</f>
        <v>0</v>
      </c>
      <c r="BV255" s="3">
        <f ca="1">IF(Tabla1[[#This Row],[FALLECIDO_COD]]=0,TODAY()-Tabla1[[#This Row],[FECHA_TRASPLANTE]],Tabla1[[#This Row],[FECHA DE DEFUNCIÓN]]-Tabla1[[#This Row],[FECHA_TRASPLANTE]])</f>
        <v>2464</v>
      </c>
      <c r="BW255" s="3">
        <f ca="1">IF(Tabla1[[#This Row],[FALLECIDO_COD]]=0,TODAY()-Tabla1[[#This Row],[FECHA_TRASPLANTE]],Tabla1[[#This Row],[FECHA DE DEFUNCIÓN]]-Tabla1[[#This Row],[FECHA_TRASPLANTE]])/30.4375</f>
        <v>80.952772073921977</v>
      </c>
      <c r="BX255" s="3">
        <f ca="1">IF(Tabla1[[#This Row],[FALLECIDO_COD]]=0,TODAY()-Tabla1[[#This Row],[FECHA_TRASPLANTE]],Tabla1[[#This Row],[FECHA DE DEFUNCIÓN]]-Tabla1[[#This Row],[FECHA_TRASPLANTE]])/365.25</f>
        <v>6.7460643394934978</v>
      </c>
      <c r="BY255"/>
      <c r="BZ255"/>
    </row>
    <row r="256" spans="1:78" hidden="1" x14ac:dyDescent="0.35">
      <c r="A256" t="s">
        <v>377</v>
      </c>
      <c r="D256" t="s">
        <v>1129</v>
      </c>
      <c r="E256" t="s">
        <v>375</v>
      </c>
      <c r="I256">
        <v>119.21757035003432</v>
      </c>
      <c r="K256" t="s">
        <v>1527</v>
      </c>
      <c r="L256" t="s">
        <v>114</v>
      </c>
      <c r="M256" t="s">
        <v>114</v>
      </c>
      <c r="N256" s="11">
        <v>202810334</v>
      </c>
      <c r="O256" s="2">
        <v>43425</v>
      </c>
      <c r="P256" t="s">
        <v>90</v>
      </c>
      <c r="Q256" s="2">
        <v>18983</v>
      </c>
      <c r="R256" s="3">
        <f>(Tabla1[[#This Row],[FECHA_TRASPLANTE]]-Tabla1[[#This Row],[FECHA_NAC]])/365.25</f>
        <v>66.918548939082825</v>
      </c>
      <c r="T256"/>
      <c r="W256" t="s">
        <v>82</v>
      </c>
      <c r="AM256" t="s">
        <v>106</v>
      </c>
      <c r="AO256"/>
      <c r="AV256" s="2"/>
      <c r="AZ256"/>
      <c r="BT256" s="2">
        <f>Tabla1[[#This Row],[FECHA_TRASPLANTE]]</f>
        <v>43425</v>
      </c>
      <c r="BU256">
        <f>IF(Tabla1[[#This Row],[FALLECIDO SI/NO]]="NO",0,1)</f>
        <v>0</v>
      </c>
      <c r="BV256" s="3">
        <f ca="1">IF(Tabla1[[#This Row],[FALLECIDO_COD]]=0,TODAY()-Tabla1[[#This Row],[FECHA_TRASPLANTE]],Tabla1[[#This Row],[FECHA DE DEFUNCIÓN]]-Tabla1[[#This Row],[FECHA_TRASPLANTE]])</f>
        <v>2450</v>
      </c>
      <c r="BW256" s="3">
        <f ca="1">IF(Tabla1[[#This Row],[FALLECIDO_COD]]=0,TODAY()-Tabla1[[#This Row],[FECHA_TRASPLANTE]],Tabla1[[#This Row],[FECHA DE DEFUNCIÓN]]-Tabla1[[#This Row],[FECHA_TRASPLANTE]])/30.4375</f>
        <v>80.492813141683783</v>
      </c>
      <c r="BX256" s="3">
        <f ca="1">IF(Tabla1[[#This Row],[FALLECIDO_COD]]=0,TODAY()-Tabla1[[#This Row],[FECHA_TRASPLANTE]],Tabla1[[#This Row],[FECHA DE DEFUNCIÓN]]-Tabla1[[#This Row],[FECHA_TRASPLANTE]])/365.25</f>
        <v>6.707734428473648</v>
      </c>
      <c r="BY256"/>
      <c r="BZ256"/>
    </row>
    <row r="257" spans="1:78" hidden="1" x14ac:dyDescent="0.35">
      <c r="A257" t="s">
        <v>1125</v>
      </c>
      <c r="D257" t="s">
        <v>1129</v>
      </c>
      <c r="E257" t="s">
        <v>375</v>
      </c>
      <c r="I257">
        <v>118.89117043121149</v>
      </c>
      <c r="J257" t="s">
        <v>1346</v>
      </c>
      <c r="K257" t="s">
        <v>1528</v>
      </c>
      <c r="L257" t="s">
        <v>1529</v>
      </c>
      <c r="M257" t="s">
        <v>167</v>
      </c>
      <c r="N257" s="11">
        <v>302900157</v>
      </c>
      <c r="O257" s="2">
        <v>43425</v>
      </c>
      <c r="R257" s="3">
        <f>(Tabla1[[#This Row],[FECHA_TRASPLANTE]]-Tabla1[[#This Row],[FECHA_NAC]])/365.25</f>
        <v>118.89117043121149</v>
      </c>
      <c r="T257"/>
      <c r="U257" t="s">
        <v>1348</v>
      </c>
      <c r="W257" t="s">
        <v>82</v>
      </c>
      <c r="X257" t="s">
        <v>91</v>
      </c>
      <c r="Y257" t="s">
        <v>193</v>
      </c>
      <c r="Z257" t="s">
        <v>193</v>
      </c>
      <c r="AM257" t="s">
        <v>106</v>
      </c>
      <c r="AO257"/>
      <c r="AV257" s="2"/>
      <c r="AZ257"/>
      <c r="BT257" s="2">
        <f>Tabla1[[#This Row],[FECHA_TRASPLANTE]]</f>
        <v>43425</v>
      </c>
      <c r="BU257">
        <f>IF(Tabla1[[#This Row],[FALLECIDO SI/NO]]="NO",0,1)</f>
        <v>0</v>
      </c>
      <c r="BV257" s="3">
        <f ca="1">IF(Tabla1[[#This Row],[FALLECIDO_COD]]=0,TODAY()-Tabla1[[#This Row],[FECHA_TRASPLANTE]],Tabla1[[#This Row],[FECHA DE DEFUNCIÓN]]-Tabla1[[#This Row],[FECHA_TRASPLANTE]])</f>
        <v>2450</v>
      </c>
      <c r="BW257" s="3">
        <f ca="1">IF(Tabla1[[#This Row],[FALLECIDO_COD]]=0,TODAY()-Tabla1[[#This Row],[FECHA_TRASPLANTE]],Tabla1[[#This Row],[FECHA DE DEFUNCIÓN]]-Tabla1[[#This Row],[FECHA_TRASPLANTE]])/30.4375</f>
        <v>80.492813141683783</v>
      </c>
      <c r="BX257" s="3">
        <f ca="1">IF(Tabla1[[#This Row],[FALLECIDO_COD]]=0,TODAY()-Tabla1[[#This Row],[FECHA_TRASPLANTE]],Tabla1[[#This Row],[FECHA DE DEFUNCIÓN]]-Tabla1[[#This Row],[FECHA_TRASPLANTE]])/365.25</f>
        <v>6.707734428473648</v>
      </c>
      <c r="BY257"/>
      <c r="BZ257"/>
    </row>
    <row r="258" spans="1:78" hidden="1" x14ac:dyDescent="0.35">
      <c r="A258" t="s">
        <v>75</v>
      </c>
      <c r="D258" t="s">
        <v>1129</v>
      </c>
      <c r="E258" t="s">
        <v>77</v>
      </c>
      <c r="I258">
        <v>119.2697323266987</v>
      </c>
      <c r="K258" t="s">
        <v>1530</v>
      </c>
      <c r="L258" t="s">
        <v>362</v>
      </c>
      <c r="M258" t="s">
        <v>171</v>
      </c>
      <c r="N258" s="11">
        <v>702230270</v>
      </c>
      <c r="O258" s="16">
        <v>43444</v>
      </c>
      <c r="P258" t="s">
        <v>90</v>
      </c>
      <c r="Q258" s="2">
        <v>34247</v>
      </c>
      <c r="R258" s="3">
        <f>(Tabla1[[#This Row],[FECHA_TRASPLANTE]]-Tabla1[[#This Row],[FECHA_NAC]])/365.25</f>
        <v>25.180013689253936</v>
      </c>
      <c r="T258"/>
      <c r="W258" t="s">
        <v>82</v>
      </c>
      <c r="AM258" t="s">
        <v>106</v>
      </c>
      <c r="AO258"/>
      <c r="AV258" s="2"/>
      <c r="AZ258"/>
      <c r="BJ258" s="2"/>
      <c r="BT258" s="2">
        <f>Tabla1[[#This Row],[FECHA_TRASPLANTE]]</f>
        <v>43444</v>
      </c>
      <c r="BU258">
        <f>IF(Tabla1[[#This Row],[FALLECIDO SI/NO]]="NO",0,1)</f>
        <v>0</v>
      </c>
      <c r="BV258" s="3">
        <f ca="1">IF(Tabla1[[#This Row],[FALLECIDO_COD]]=0,TODAY()-Tabla1[[#This Row],[FECHA_TRASPLANTE]],Tabla1[[#This Row],[FECHA DE DEFUNCIÓN]]-Tabla1[[#This Row],[FECHA_TRASPLANTE]])</f>
        <v>2431</v>
      </c>
      <c r="BW258" s="3">
        <f ca="1">IF(Tabla1[[#This Row],[FALLECIDO_COD]]=0,TODAY()-Tabla1[[#This Row],[FECHA_TRASPLANTE]],Tabla1[[#This Row],[FECHA DE DEFUNCIÓN]]-Tabla1[[#This Row],[FECHA_TRASPLANTE]])/30.4375</f>
        <v>79.868583162217661</v>
      </c>
      <c r="BX258" s="3">
        <f ca="1">IF(Tabla1[[#This Row],[FALLECIDO_COD]]=0,TODAY()-Tabla1[[#This Row],[FECHA_TRASPLANTE]],Tabla1[[#This Row],[FECHA DE DEFUNCIÓN]]-Tabla1[[#This Row],[FECHA_TRASPLANTE]])/365.25</f>
        <v>6.6557152635181387</v>
      </c>
      <c r="BY258"/>
      <c r="BZ258"/>
    </row>
    <row r="259" spans="1:78" hidden="1" x14ac:dyDescent="0.35">
      <c r="A259" t="s">
        <v>1126</v>
      </c>
      <c r="D259" t="s">
        <v>1333</v>
      </c>
      <c r="E259" t="s">
        <v>77</v>
      </c>
      <c r="I259">
        <v>118.943189596167</v>
      </c>
      <c r="J259" t="s">
        <v>1334</v>
      </c>
      <c r="N259" s="11">
        <v>118390817</v>
      </c>
      <c r="O259" s="2">
        <v>43444</v>
      </c>
      <c r="R259" s="3">
        <f>(Tabla1[[#This Row],[FECHA_TRASPLANTE]]-Tabla1[[#This Row],[FECHA_NAC]])/365.25</f>
        <v>118.943189596167</v>
      </c>
      <c r="AM259" t="s">
        <v>106</v>
      </c>
      <c r="AR259" s="2"/>
      <c r="AS259" s="2"/>
      <c r="AV259" s="2"/>
      <c r="AZ259"/>
      <c r="BT259" s="2">
        <f>Tabla1[[#This Row],[FECHA_TRASPLANTE]]</f>
        <v>43444</v>
      </c>
      <c r="BU259">
        <f>IF(Tabla1[[#This Row],[FALLECIDO SI/NO]]="NO",0,1)</f>
        <v>0</v>
      </c>
      <c r="BV259" s="3">
        <f ca="1">IF(Tabla1[[#This Row],[FALLECIDO_COD]]=0,TODAY()-Tabla1[[#This Row],[FECHA_TRASPLANTE]],Tabla1[[#This Row],[FECHA DE DEFUNCIÓN]]-Tabla1[[#This Row],[FECHA_TRASPLANTE]])</f>
        <v>2431</v>
      </c>
      <c r="BW259" s="3">
        <f ca="1">IF(Tabla1[[#This Row],[FALLECIDO_COD]]=0,TODAY()-Tabla1[[#This Row],[FECHA_TRASPLANTE]],Tabla1[[#This Row],[FECHA DE DEFUNCIÓN]]-Tabla1[[#This Row],[FECHA_TRASPLANTE]])/30.4375</f>
        <v>79.868583162217661</v>
      </c>
      <c r="BX259" s="3">
        <f ca="1">IF(Tabla1[[#This Row],[FALLECIDO_COD]]=0,TODAY()-Tabla1[[#This Row],[FECHA_TRASPLANTE]],Tabla1[[#This Row],[FECHA DE DEFUNCIÓN]]-Tabla1[[#This Row],[FECHA_TRASPLANTE]])/365.25</f>
        <v>6.6557152635181387</v>
      </c>
      <c r="BY259"/>
      <c r="BZ259"/>
    </row>
    <row r="260" spans="1:78" hidden="1" x14ac:dyDescent="0.35">
      <c r="A260" t="s">
        <v>75</v>
      </c>
      <c r="D260" t="s">
        <v>1129</v>
      </c>
      <c r="E260" t="s">
        <v>77</v>
      </c>
      <c r="I260">
        <v>119.28620452985587</v>
      </c>
      <c r="K260" t="s">
        <v>1531</v>
      </c>
      <c r="L260" t="s">
        <v>170</v>
      </c>
      <c r="M260" t="s">
        <v>981</v>
      </c>
      <c r="N260" s="11">
        <v>107390112</v>
      </c>
      <c r="O260" s="16">
        <v>43450</v>
      </c>
      <c r="P260" t="s">
        <v>90</v>
      </c>
      <c r="Q260" s="2">
        <v>25189</v>
      </c>
      <c r="R260" s="3">
        <f>(Tabla1[[#This Row],[FECHA_TRASPLANTE]]-Tabla1[[#This Row],[FECHA_NAC]])/365.25</f>
        <v>49.995893223819301</v>
      </c>
      <c r="T260"/>
      <c r="W260" t="s">
        <v>82</v>
      </c>
      <c r="AM260" t="s">
        <v>86</v>
      </c>
      <c r="AN260" s="2">
        <v>43475</v>
      </c>
      <c r="AO260"/>
      <c r="AV260" s="2"/>
      <c r="AZ260"/>
      <c r="BJ260" s="2"/>
      <c r="BT260" s="2">
        <f>Tabla1[[#This Row],[FECHA_TRASPLANTE]]</f>
        <v>43450</v>
      </c>
      <c r="BU260">
        <f>IF(Tabla1[[#This Row],[FALLECIDO SI/NO]]="NO",0,1)</f>
        <v>1</v>
      </c>
      <c r="BV260" s="3">
        <f ca="1">IF(Tabla1[[#This Row],[FALLECIDO_COD]]=0,TODAY()-Tabla1[[#This Row],[FECHA_TRASPLANTE]],Tabla1[[#This Row],[FECHA DE DEFUNCIÓN]]-Tabla1[[#This Row],[FECHA_TRASPLANTE]])</f>
        <v>25</v>
      </c>
      <c r="BW260" s="3">
        <f ca="1">IF(Tabla1[[#This Row],[FALLECIDO_COD]]=0,TODAY()-Tabla1[[#This Row],[FECHA_TRASPLANTE]],Tabla1[[#This Row],[FECHA DE DEFUNCIÓN]]-Tabla1[[#This Row],[FECHA_TRASPLANTE]])/30.4375</f>
        <v>0.82135523613963035</v>
      </c>
      <c r="BX260" s="3">
        <f ca="1">IF(Tabla1[[#This Row],[FALLECIDO_COD]]=0,TODAY()-Tabla1[[#This Row],[FECHA_TRASPLANTE]],Tabla1[[#This Row],[FECHA DE DEFUNCIÓN]]-Tabla1[[#This Row],[FECHA_TRASPLANTE]])/365.25</f>
        <v>6.8446269678302529E-2</v>
      </c>
      <c r="BY260"/>
      <c r="BZ260"/>
    </row>
    <row r="261" spans="1:78" hidden="1" x14ac:dyDescent="0.35">
      <c r="A261" t="s">
        <v>75</v>
      </c>
      <c r="D261" t="s">
        <v>1129</v>
      </c>
      <c r="E261" t="s">
        <v>77</v>
      </c>
      <c r="I261">
        <v>119.28620452985587</v>
      </c>
      <c r="K261" t="s">
        <v>1532</v>
      </c>
      <c r="L261" t="s">
        <v>348</v>
      </c>
      <c r="M261" t="s">
        <v>280</v>
      </c>
      <c r="N261" s="11">
        <v>305250386</v>
      </c>
      <c r="O261" s="16">
        <v>43450</v>
      </c>
      <c r="P261" t="s">
        <v>81</v>
      </c>
      <c r="Q261" s="2">
        <v>36656</v>
      </c>
      <c r="R261" s="3">
        <f>(Tabla1[[#This Row],[FECHA_TRASPLANTE]]-Tabla1[[#This Row],[FECHA_NAC]])/365.25</f>
        <v>18.600958247775495</v>
      </c>
      <c r="T261"/>
      <c r="W261" t="s">
        <v>82</v>
      </c>
      <c r="AM261" t="s">
        <v>106</v>
      </c>
      <c r="AO261"/>
      <c r="AV261" s="2"/>
      <c r="AZ261"/>
      <c r="BJ261" s="2"/>
      <c r="BT261" s="2">
        <f>Tabla1[[#This Row],[FECHA_TRASPLANTE]]</f>
        <v>43450</v>
      </c>
      <c r="BU261">
        <f>IF(Tabla1[[#This Row],[FALLECIDO SI/NO]]="NO",0,1)</f>
        <v>0</v>
      </c>
      <c r="BV261" s="3">
        <f ca="1">IF(Tabla1[[#This Row],[FALLECIDO_COD]]=0,TODAY()-Tabla1[[#This Row],[FECHA_TRASPLANTE]],Tabla1[[#This Row],[FECHA DE DEFUNCIÓN]]-Tabla1[[#This Row],[FECHA_TRASPLANTE]])</f>
        <v>2425</v>
      </c>
      <c r="BW261" s="3">
        <f ca="1">IF(Tabla1[[#This Row],[FALLECIDO_COD]]=0,TODAY()-Tabla1[[#This Row],[FECHA_TRASPLANTE]],Tabla1[[#This Row],[FECHA DE DEFUNCIÓN]]-Tabla1[[#This Row],[FECHA_TRASPLANTE]])/30.4375</f>
        <v>79.671457905544145</v>
      </c>
      <c r="BX261" s="3">
        <f ca="1">IF(Tabla1[[#This Row],[FALLECIDO_COD]]=0,TODAY()-Tabla1[[#This Row],[FECHA_TRASPLANTE]],Tabla1[[#This Row],[FECHA DE DEFUNCIÓN]]-Tabla1[[#This Row],[FECHA_TRASPLANTE]])/365.25</f>
        <v>6.6392881587953454</v>
      </c>
      <c r="BY261"/>
      <c r="BZ261"/>
    </row>
    <row r="262" spans="1:78" hidden="1" x14ac:dyDescent="0.35">
      <c r="A262" t="s">
        <v>376</v>
      </c>
      <c r="B262" t="s">
        <v>376</v>
      </c>
      <c r="D262" t="s">
        <v>1129</v>
      </c>
      <c r="E262" t="s">
        <v>77</v>
      </c>
      <c r="I262">
        <v>119.30267673301304</v>
      </c>
      <c r="K262" t="s">
        <v>1533</v>
      </c>
      <c r="L262" t="s">
        <v>208</v>
      </c>
      <c r="M262" t="s">
        <v>1534</v>
      </c>
      <c r="N262" s="11">
        <v>402670265</v>
      </c>
      <c r="O262" s="2">
        <v>43456</v>
      </c>
      <c r="P262" t="s">
        <v>90</v>
      </c>
      <c r="Q262" s="2">
        <v>38415</v>
      </c>
      <c r="R262" s="3">
        <f>(Tabla1[[#This Row],[FECHA_TRASPLANTE]]-Tabla1[[#This Row],[FECHA_NAC]])/365.25</f>
        <v>13.801505817932922</v>
      </c>
      <c r="T262"/>
      <c r="W262" t="s">
        <v>82</v>
      </c>
      <c r="AM262" t="s">
        <v>106</v>
      </c>
      <c r="AO262"/>
      <c r="AV262" s="2"/>
      <c r="AZ262"/>
      <c r="BT262" s="2">
        <f>Tabla1[[#This Row],[FECHA_TRASPLANTE]]</f>
        <v>43456</v>
      </c>
      <c r="BU262">
        <f>IF(Tabla1[[#This Row],[FALLECIDO SI/NO]]="NO",0,1)</f>
        <v>0</v>
      </c>
      <c r="BV262" s="3">
        <f ca="1">IF(Tabla1[[#This Row],[FALLECIDO_COD]]=0,TODAY()-Tabla1[[#This Row],[FECHA_TRASPLANTE]],Tabla1[[#This Row],[FECHA DE DEFUNCIÓN]]-Tabla1[[#This Row],[FECHA_TRASPLANTE]])</f>
        <v>2419</v>
      </c>
      <c r="BW262" s="3">
        <f ca="1">IF(Tabla1[[#This Row],[FALLECIDO_COD]]=0,TODAY()-Tabla1[[#This Row],[FECHA_TRASPLANTE]],Tabla1[[#This Row],[FECHA DE DEFUNCIÓN]]-Tabla1[[#This Row],[FECHA_TRASPLANTE]])/30.4375</f>
        <v>79.474332648870643</v>
      </c>
      <c r="BX262" s="3">
        <f ca="1">IF(Tabla1[[#This Row],[FALLECIDO_COD]]=0,TODAY()-Tabla1[[#This Row],[FECHA_TRASPLANTE]],Tabla1[[#This Row],[FECHA DE DEFUNCIÓN]]-Tabla1[[#This Row],[FECHA_TRASPLANTE]])/365.25</f>
        <v>6.622861054072553</v>
      </c>
      <c r="BY262"/>
      <c r="BZ262"/>
    </row>
    <row r="263" spans="1:78" hidden="1" x14ac:dyDescent="0.35">
      <c r="A263" t="s">
        <v>75</v>
      </c>
      <c r="D263" t="s">
        <v>1129</v>
      </c>
      <c r="E263" t="s">
        <v>77</v>
      </c>
      <c r="I263">
        <v>119.31640356897735</v>
      </c>
      <c r="K263" t="s">
        <v>1204</v>
      </c>
      <c r="L263" t="s">
        <v>648</v>
      </c>
      <c r="M263" t="s">
        <v>1535</v>
      </c>
      <c r="N263" s="11">
        <v>702660988</v>
      </c>
      <c r="O263" s="16">
        <v>43461</v>
      </c>
      <c r="P263" t="s">
        <v>81</v>
      </c>
      <c r="Q263" s="2">
        <v>36227</v>
      </c>
      <c r="R263" s="3">
        <f>(Tabla1[[#This Row],[FECHA_TRASPLANTE]]-Tabla1[[#This Row],[FECHA_NAC]])/365.25</f>
        <v>19.805612594113622</v>
      </c>
      <c r="T263"/>
      <c r="W263" t="s">
        <v>82</v>
      </c>
      <c r="AM263" t="s">
        <v>106</v>
      </c>
      <c r="AO263"/>
      <c r="AV263" s="2"/>
      <c r="AZ263"/>
      <c r="BJ263" s="2"/>
      <c r="BT263" s="2">
        <f>Tabla1[[#This Row],[FECHA_TRASPLANTE]]</f>
        <v>43461</v>
      </c>
      <c r="BU263">
        <f>IF(Tabla1[[#This Row],[FALLECIDO SI/NO]]="NO",0,1)</f>
        <v>0</v>
      </c>
      <c r="BV263" s="3">
        <f ca="1">IF(Tabla1[[#This Row],[FALLECIDO_COD]]=0,TODAY()-Tabla1[[#This Row],[FECHA_TRASPLANTE]],Tabla1[[#This Row],[FECHA DE DEFUNCIÓN]]-Tabla1[[#This Row],[FECHA_TRASPLANTE]])</f>
        <v>2414</v>
      </c>
      <c r="BW263" s="3">
        <f ca="1">IF(Tabla1[[#This Row],[FALLECIDO_COD]]=0,TODAY()-Tabla1[[#This Row],[FECHA_TRASPLANTE]],Tabla1[[#This Row],[FECHA DE DEFUNCIÓN]]-Tabla1[[#This Row],[FECHA_TRASPLANTE]])/30.4375</f>
        <v>79.310061601642715</v>
      </c>
      <c r="BX263" s="3">
        <f ca="1">IF(Tabla1[[#This Row],[FALLECIDO_COD]]=0,TODAY()-Tabla1[[#This Row],[FECHA_TRASPLANTE]],Tabla1[[#This Row],[FECHA DE DEFUNCIÓN]]-Tabla1[[#This Row],[FECHA_TRASPLANTE]])/365.25</f>
        <v>6.6091718001368926</v>
      </c>
      <c r="BY263"/>
      <c r="BZ263"/>
    </row>
    <row r="264" spans="1:78" hidden="1" x14ac:dyDescent="0.35">
      <c r="A264" t="s">
        <v>1126</v>
      </c>
      <c r="D264" t="s">
        <v>1333</v>
      </c>
      <c r="E264" t="s">
        <v>77</v>
      </c>
      <c r="I264">
        <v>118.98973305954826</v>
      </c>
      <c r="J264" t="s">
        <v>1334</v>
      </c>
      <c r="N264" s="11">
        <v>303870312</v>
      </c>
      <c r="O264" s="2">
        <v>43461</v>
      </c>
      <c r="R264" s="3">
        <f>(Tabla1[[#This Row],[FECHA_TRASPLANTE]]-Tabla1[[#This Row],[FECHA_NAC]])/365.25</f>
        <v>118.98973305954826</v>
      </c>
      <c r="AM264" t="s">
        <v>106</v>
      </c>
      <c r="AR264" s="2"/>
      <c r="AS264" s="2"/>
      <c r="AV264" s="2"/>
      <c r="AZ264"/>
      <c r="BT264" s="2">
        <f>Tabla1[[#This Row],[FECHA_TRASPLANTE]]</f>
        <v>43461</v>
      </c>
      <c r="BU264">
        <f>IF(Tabla1[[#This Row],[FALLECIDO SI/NO]]="NO",0,1)</f>
        <v>0</v>
      </c>
      <c r="BV264" s="3">
        <f ca="1">IF(Tabla1[[#This Row],[FALLECIDO_COD]]=0,TODAY()-Tabla1[[#This Row],[FECHA_TRASPLANTE]],Tabla1[[#This Row],[FECHA DE DEFUNCIÓN]]-Tabla1[[#This Row],[FECHA_TRASPLANTE]])</f>
        <v>2414</v>
      </c>
      <c r="BW264" s="3">
        <f ca="1">IF(Tabla1[[#This Row],[FALLECIDO_COD]]=0,TODAY()-Tabla1[[#This Row],[FECHA_TRASPLANTE]],Tabla1[[#This Row],[FECHA DE DEFUNCIÓN]]-Tabla1[[#This Row],[FECHA_TRASPLANTE]])/30.4375</f>
        <v>79.310061601642715</v>
      </c>
      <c r="BX264" s="3">
        <f ca="1">IF(Tabla1[[#This Row],[FALLECIDO_COD]]=0,TODAY()-Tabla1[[#This Row],[FECHA_TRASPLANTE]],Tabla1[[#This Row],[FECHA DE DEFUNCIÓN]]-Tabla1[[#This Row],[FECHA_TRASPLANTE]])/365.25</f>
        <v>6.6091718001368926</v>
      </c>
      <c r="BY264"/>
      <c r="BZ264"/>
    </row>
    <row r="265" spans="1:78" hidden="1" x14ac:dyDescent="0.35">
      <c r="A265" t="s">
        <v>377</v>
      </c>
      <c r="D265" t="s">
        <v>1129</v>
      </c>
      <c r="E265" t="s">
        <v>77</v>
      </c>
      <c r="I265">
        <v>119.33836650652025</v>
      </c>
      <c r="K265" t="s">
        <v>1536</v>
      </c>
      <c r="L265" t="s">
        <v>99</v>
      </c>
      <c r="M265" t="s">
        <v>149</v>
      </c>
      <c r="N265" s="11">
        <v>2890102524</v>
      </c>
      <c r="O265" s="2">
        <v>43469</v>
      </c>
      <c r="P265" t="s">
        <v>90</v>
      </c>
      <c r="Q265" s="2">
        <v>32533</v>
      </c>
      <c r="R265" s="3">
        <f>(Tabla1[[#This Row],[FECHA_TRASPLANTE]]-Tabla1[[#This Row],[FECHA_NAC]])/365.25</f>
        <v>29.94113620807666</v>
      </c>
      <c r="T265"/>
      <c r="W265" t="s">
        <v>146</v>
      </c>
      <c r="X265" t="s">
        <v>1537</v>
      </c>
      <c r="AM265" t="s">
        <v>106</v>
      </c>
      <c r="AO265"/>
      <c r="AV265" s="2"/>
      <c r="AZ265"/>
      <c r="BT265" s="2">
        <f>Tabla1[[#This Row],[FECHA_TRASPLANTE]]</f>
        <v>43469</v>
      </c>
      <c r="BU265">
        <f>IF(Tabla1[[#This Row],[FALLECIDO SI/NO]]="NO",0,1)</f>
        <v>0</v>
      </c>
      <c r="BV265" s="3">
        <f ca="1">IF(Tabla1[[#This Row],[FALLECIDO_COD]]=0,TODAY()-Tabla1[[#This Row],[FECHA_TRASPLANTE]],Tabla1[[#This Row],[FECHA DE DEFUNCIÓN]]-Tabla1[[#This Row],[FECHA_TRASPLANTE]])</f>
        <v>2406</v>
      </c>
      <c r="BW265" s="3">
        <f ca="1">IF(Tabla1[[#This Row],[FALLECIDO_COD]]=0,TODAY()-Tabla1[[#This Row],[FECHA_TRASPLANTE]],Tabla1[[#This Row],[FECHA DE DEFUNCIÓN]]-Tabla1[[#This Row],[FECHA_TRASPLANTE]])/30.4375</f>
        <v>79.047227926078023</v>
      </c>
      <c r="BX265" s="3">
        <f ca="1">IF(Tabla1[[#This Row],[FALLECIDO_COD]]=0,TODAY()-Tabla1[[#This Row],[FECHA_TRASPLANTE]],Tabla1[[#This Row],[FECHA DE DEFUNCIÓN]]-Tabla1[[#This Row],[FECHA_TRASPLANTE]])/365.25</f>
        <v>6.5872689938398361</v>
      </c>
      <c r="BY265"/>
      <c r="BZ265"/>
    </row>
    <row r="266" spans="1:78" hidden="1" x14ac:dyDescent="0.35">
      <c r="A266" t="s">
        <v>377</v>
      </c>
      <c r="D266" t="s">
        <v>1129</v>
      </c>
      <c r="E266" t="s">
        <v>375</v>
      </c>
      <c r="I266">
        <v>119.35209334248455</v>
      </c>
      <c r="J266" t="s">
        <v>1538</v>
      </c>
      <c r="K266" t="s">
        <v>1539</v>
      </c>
      <c r="L266" t="s">
        <v>1540</v>
      </c>
      <c r="M266" t="s">
        <v>385</v>
      </c>
      <c r="N266" s="11">
        <v>401440362</v>
      </c>
      <c r="O266" s="2">
        <v>43474</v>
      </c>
      <c r="P266" t="s">
        <v>90</v>
      </c>
      <c r="Q266" s="2">
        <v>24479</v>
      </c>
      <c r="R266" s="3">
        <f>(Tabla1[[#This Row],[FECHA_TRASPLANTE]]-Tabla1[[#This Row],[FECHA_NAC]])/365.25</f>
        <v>52.005475701574262</v>
      </c>
      <c r="T266"/>
      <c r="W266" t="s">
        <v>82</v>
      </c>
      <c r="X266" t="s">
        <v>261</v>
      </c>
      <c r="Y266" t="s">
        <v>684</v>
      </c>
      <c r="Z266" t="s">
        <v>685</v>
      </c>
      <c r="AM266" t="s">
        <v>106</v>
      </c>
      <c r="AO266"/>
      <c r="AV266" s="2"/>
      <c r="AZ266"/>
      <c r="BT266" s="2">
        <f>Tabla1[[#This Row],[FECHA_TRASPLANTE]]</f>
        <v>43474</v>
      </c>
      <c r="BU266">
        <f>IF(Tabla1[[#This Row],[FALLECIDO SI/NO]]="NO",0,1)</f>
        <v>0</v>
      </c>
      <c r="BV266" s="3">
        <f ca="1">IF(Tabla1[[#This Row],[FALLECIDO_COD]]=0,TODAY()-Tabla1[[#This Row],[FECHA_TRASPLANTE]],Tabla1[[#This Row],[FECHA DE DEFUNCIÓN]]-Tabla1[[#This Row],[FECHA_TRASPLANTE]])</f>
        <v>2401</v>
      </c>
      <c r="BW266" s="3">
        <f ca="1">IF(Tabla1[[#This Row],[FALLECIDO_COD]]=0,TODAY()-Tabla1[[#This Row],[FECHA_TRASPLANTE]],Tabla1[[#This Row],[FECHA DE DEFUNCIÓN]]-Tabla1[[#This Row],[FECHA_TRASPLANTE]])/30.4375</f>
        <v>78.882956878850109</v>
      </c>
      <c r="BX266" s="3">
        <f ca="1">IF(Tabla1[[#This Row],[FALLECIDO_COD]]=0,TODAY()-Tabla1[[#This Row],[FECHA_TRASPLANTE]],Tabla1[[#This Row],[FECHA DE DEFUNCIÓN]]-Tabla1[[#This Row],[FECHA_TRASPLANTE]])/365.25</f>
        <v>6.5735797399041749</v>
      </c>
      <c r="BY266"/>
      <c r="BZ266"/>
    </row>
    <row r="267" spans="1:78" hidden="1" x14ac:dyDescent="0.35">
      <c r="A267" t="s">
        <v>377</v>
      </c>
      <c r="D267" t="s">
        <v>1129</v>
      </c>
      <c r="E267" t="s">
        <v>375</v>
      </c>
      <c r="I267">
        <v>119.37131091283459</v>
      </c>
      <c r="J267" t="s">
        <v>1541</v>
      </c>
      <c r="K267" t="s">
        <v>242</v>
      </c>
      <c r="L267" t="s">
        <v>1542</v>
      </c>
      <c r="M267" t="s">
        <v>204</v>
      </c>
      <c r="N267" s="11">
        <v>205330808</v>
      </c>
      <c r="O267" s="2">
        <v>43481</v>
      </c>
      <c r="P267" t="s">
        <v>81</v>
      </c>
      <c r="Q267" s="2">
        <v>27203</v>
      </c>
      <c r="R267" s="3">
        <f>(Tabla1[[#This Row],[FECHA_TRASPLANTE]]-Tabla1[[#This Row],[FECHA_NAC]])/365.25</f>
        <v>44.566735112936342</v>
      </c>
      <c r="T267"/>
      <c r="W267" t="s">
        <v>82</v>
      </c>
      <c r="X267" t="s">
        <v>115</v>
      </c>
      <c r="Y267" t="s">
        <v>84</v>
      </c>
      <c r="Z267" t="s">
        <v>286</v>
      </c>
      <c r="AM267" t="s">
        <v>86</v>
      </c>
      <c r="AN267" s="2">
        <v>44842</v>
      </c>
      <c r="AO267"/>
      <c r="AV267" s="2"/>
      <c r="AZ267"/>
      <c r="BT267" s="2">
        <f>Tabla1[[#This Row],[FECHA_TRASPLANTE]]</f>
        <v>43481</v>
      </c>
      <c r="BU267">
        <f>IF(Tabla1[[#This Row],[FALLECIDO SI/NO]]="NO",0,1)</f>
        <v>1</v>
      </c>
      <c r="BV267" s="3">
        <f ca="1">IF(Tabla1[[#This Row],[FALLECIDO_COD]]=0,TODAY()-Tabla1[[#This Row],[FECHA_TRASPLANTE]],Tabla1[[#This Row],[FECHA DE DEFUNCIÓN]]-Tabla1[[#This Row],[FECHA_TRASPLANTE]])</f>
        <v>1361</v>
      </c>
      <c r="BW267" s="3">
        <f ca="1">IF(Tabla1[[#This Row],[FALLECIDO_COD]]=0,TODAY()-Tabla1[[#This Row],[FECHA_TRASPLANTE]],Tabla1[[#This Row],[FECHA DE DEFUNCIÓN]]-Tabla1[[#This Row],[FECHA_TRASPLANTE]])/30.4375</f>
        <v>44.714579055441476</v>
      </c>
      <c r="BX267" s="3">
        <f ca="1">IF(Tabla1[[#This Row],[FALLECIDO_COD]]=0,TODAY()-Tabla1[[#This Row],[FECHA_TRASPLANTE]],Tabla1[[#This Row],[FECHA DE DEFUNCIÓN]]-Tabla1[[#This Row],[FECHA_TRASPLANTE]])/365.25</f>
        <v>3.7262149212867897</v>
      </c>
      <c r="BY267"/>
      <c r="BZ267"/>
    </row>
    <row r="268" spans="1:78" hidden="1" x14ac:dyDescent="0.35">
      <c r="A268" t="s">
        <v>75</v>
      </c>
      <c r="D268" t="s">
        <v>1129</v>
      </c>
      <c r="E268" t="s">
        <v>375</v>
      </c>
      <c r="I268">
        <v>119.37131091283459</v>
      </c>
      <c r="K268" t="s">
        <v>1543</v>
      </c>
      <c r="L268" t="s">
        <v>1544</v>
      </c>
      <c r="M268" t="s">
        <v>567</v>
      </c>
      <c r="N268" s="11">
        <v>303370769</v>
      </c>
      <c r="O268" s="16">
        <v>43481</v>
      </c>
      <c r="P268" t="s">
        <v>90</v>
      </c>
      <c r="Q268" s="2">
        <v>27652</v>
      </c>
      <c r="R268" s="3">
        <f>(Tabla1[[#This Row],[FECHA_TRASPLANTE]]-Tabla1[[#This Row],[FECHA_NAC]])/365.25</f>
        <v>43.337440109514034</v>
      </c>
      <c r="T268"/>
      <c r="W268" t="s">
        <v>82</v>
      </c>
      <c r="X268" t="s">
        <v>110</v>
      </c>
      <c r="Y268" t="s">
        <v>84</v>
      </c>
      <c r="Z268" t="s">
        <v>1545</v>
      </c>
      <c r="AM268" t="s">
        <v>106</v>
      </c>
      <c r="AO268"/>
      <c r="AV268" s="2"/>
      <c r="AZ268"/>
      <c r="BJ268" s="2"/>
      <c r="BT268" s="2">
        <f>Tabla1[[#This Row],[FECHA_TRASPLANTE]]</f>
        <v>43481</v>
      </c>
      <c r="BU268">
        <f>IF(Tabla1[[#This Row],[FALLECIDO SI/NO]]="NO",0,1)</f>
        <v>0</v>
      </c>
      <c r="BV268" s="3">
        <f ca="1">IF(Tabla1[[#This Row],[FALLECIDO_COD]]=0,TODAY()-Tabla1[[#This Row],[FECHA_TRASPLANTE]],Tabla1[[#This Row],[FECHA DE DEFUNCIÓN]]-Tabla1[[#This Row],[FECHA_TRASPLANTE]])</f>
        <v>2394</v>
      </c>
      <c r="BW268" s="3">
        <f ca="1">IF(Tabla1[[#This Row],[FALLECIDO_COD]]=0,TODAY()-Tabla1[[#This Row],[FECHA_TRASPLANTE]],Tabla1[[#This Row],[FECHA DE DEFUNCIÓN]]-Tabla1[[#This Row],[FECHA_TRASPLANTE]])/30.4375</f>
        <v>78.652977412731005</v>
      </c>
      <c r="BX268" s="3">
        <f ca="1">IF(Tabla1[[#This Row],[FALLECIDO_COD]]=0,TODAY()-Tabla1[[#This Row],[FECHA_TRASPLANTE]],Tabla1[[#This Row],[FECHA DE DEFUNCIÓN]]-Tabla1[[#This Row],[FECHA_TRASPLANTE]])/365.25</f>
        <v>6.5544147843942504</v>
      </c>
      <c r="BY268"/>
      <c r="BZ268"/>
    </row>
    <row r="269" spans="1:78" hidden="1" x14ac:dyDescent="0.35">
      <c r="A269" t="s">
        <v>75</v>
      </c>
      <c r="D269" t="s">
        <v>1129</v>
      </c>
      <c r="E269" t="s">
        <v>77</v>
      </c>
      <c r="I269">
        <v>119.39327385037748</v>
      </c>
      <c r="K269" t="s">
        <v>1546</v>
      </c>
      <c r="L269" t="s">
        <v>1195</v>
      </c>
      <c r="M269" t="s">
        <v>274</v>
      </c>
      <c r="N269" s="11">
        <v>700680034</v>
      </c>
      <c r="O269" s="16">
        <v>43489</v>
      </c>
      <c r="P269" t="s">
        <v>90</v>
      </c>
      <c r="Q269" s="2">
        <v>22112</v>
      </c>
      <c r="R269" s="3">
        <f>(Tabla1[[#This Row],[FECHA_TRASPLANTE]]-Tabla1[[#This Row],[FECHA_NAC]])/365.25</f>
        <v>58.527036276522928</v>
      </c>
      <c r="T269"/>
      <c r="W269" t="s">
        <v>82</v>
      </c>
      <c r="X269" t="s">
        <v>120</v>
      </c>
      <c r="Y269" t="s">
        <v>1269</v>
      </c>
      <c r="Z269" t="s">
        <v>1269</v>
      </c>
      <c r="AM269" t="s">
        <v>106</v>
      </c>
      <c r="AO269"/>
      <c r="AV269" s="2"/>
      <c r="AZ269"/>
      <c r="BJ269" s="2"/>
      <c r="BT269" s="2">
        <f>Tabla1[[#This Row],[FECHA_TRASPLANTE]]</f>
        <v>43489</v>
      </c>
      <c r="BU269">
        <f>IF(Tabla1[[#This Row],[FALLECIDO SI/NO]]="NO",0,1)</f>
        <v>0</v>
      </c>
      <c r="BV269" s="3">
        <f ca="1">IF(Tabla1[[#This Row],[FALLECIDO_COD]]=0,TODAY()-Tabla1[[#This Row],[FECHA_TRASPLANTE]],Tabla1[[#This Row],[FECHA DE DEFUNCIÓN]]-Tabla1[[#This Row],[FECHA_TRASPLANTE]])</f>
        <v>2386</v>
      </c>
      <c r="BW269" s="3">
        <f ca="1">IF(Tabla1[[#This Row],[FALLECIDO_COD]]=0,TODAY()-Tabla1[[#This Row],[FECHA_TRASPLANTE]],Tabla1[[#This Row],[FECHA DE DEFUNCIÓN]]-Tabla1[[#This Row],[FECHA_TRASPLANTE]])/30.4375</f>
        <v>78.390143737166326</v>
      </c>
      <c r="BX269" s="3">
        <f ca="1">IF(Tabla1[[#This Row],[FALLECIDO_COD]]=0,TODAY()-Tabla1[[#This Row],[FECHA_TRASPLANTE]],Tabla1[[#This Row],[FECHA DE DEFUNCIÓN]]-Tabla1[[#This Row],[FECHA_TRASPLANTE]])/365.25</f>
        <v>6.5325119780971939</v>
      </c>
      <c r="BY269"/>
      <c r="BZ269"/>
    </row>
    <row r="270" spans="1:78" hidden="1" x14ac:dyDescent="0.35">
      <c r="A270" t="s">
        <v>75</v>
      </c>
      <c r="D270" t="s">
        <v>1129</v>
      </c>
      <c r="E270" t="s">
        <v>77</v>
      </c>
      <c r="I270">
        <v>119.39327385037748</v>
      </c>
      <c r="K270" t="s">
        <v>1547</v>
      </c>
      <c r="L270" t="s">
        <v>99</v>
      </c>
      <c r="M270" t="s">
        <v>99</v>
      </c>
      <c r="N270" s="11">
        <v>701980739</v>
      </c>
      <c r="O270" s="16">
        <v>43489</v>
      </c>
      <c r="P270" t="s">
        <v>81</v>
      </c>
      <c r="Q270" s="2">
        <v>33097</v>
      </c>
      <c r="R270" s="3">
        <f>(Tabla1[[#This Row],[FECHA_TRASPLANTE]]-Tabla1[[#This Row],[FECHA_NAC]])/365.25</f>
        <v>28.451745379876797</v>
      </c>
      <c r="T270"/>
      <c r="W270" t="s">
        <v>82</v>
      </c>
      <c r="AM270" t="s">
        <v>86</v>
      </c>
      <c r="AN270" s="2">
        <v>45229</v>
      </c>
      <c r="AO270"/>
      <c r="AV270" s="2"/>
      <c r="AZ270"/>
      <c r="BJ270" s="2"/>
      <c r="BT270" s="2">
        <f>Tabla1[[#This Row],[FECHA_TRASPLANTE]]</f>
        <v>43489</v>
      </c>
      <c r="BU270">
        <f>IF(Tabla1[[#This Row],[FALLECIDO SI/NO]]="NO",0,1)</f>
        <v>1</v>
      </c>
      <c r="BV270" s="3">
        <f ca="1">IF(Tabla1[[#This Row],[FALLECIDO_COD]]=0,TODAY()-Tabla1[[#This Row],[FECHA_TRASPLANTE]],Tabla1[[#This Row],[FECHA DE DEFUNCIÓN]]-Tabla1[[#This Row],[FECHA_TRASPLANTE]])</f>
        <v>1740</v>
      </c>
      <c r="BW270" s="3">
        <f ca="1">IF(Tabla1[[#This Row],[FALLECIDO_COD]]=0,TODAY()-Tabla1[[#This Row],[FECHA_TRASPLANTE]],Tabla1[[#This Row],[FECHA DE DEFUNCIÓN]]-Tabla1[[#This Row],[FECHA_TRASPLANTE]])/30.4375</f>
        <v>57.166324435318273</v>
      </c>
      <c r="BX270" s="3">
        <f ca="1">IF(Tabla1[[#This Row],[FALLECIDO_COD]]=0,TODAY()-Tabla1[[#This Row],[FECHA_TRASPLANTE]],Tabla1[[#This Row],[FECHA DE DEFUNCIÓN]]-Tabla1[[#This Row],[FECHA_TRASPLANTE]])/365.25</f>
        <v>4.7638603696098567</v>
      </c>
      <c r="BY270"/>
      <c r="BZ270"/>
    </row>
    <row r="271" spans="1:78" hidden="1" x14ac:dyDescent="0.35">
      <c r="A271" t="s">
        <v>1126</v>
      </c>
      <c r="D271" t="s">
        <v>1333</v>
      </c>
      <c r="E271" t="s">
        <v>77</v>
      </c>
      <c r="F271" t="s">
        <v>86</v>
      </c>
      <c r="I271">
        <v>119.06639288158796</v>
      </c>
      <c r="J271" t="s">
        <v>1548</v>
      </c>
      <c r="N271" s="11">
        <v>16121959</v>
      </c>
      <c r="O271" s="2">
        <v>43489</v>
      </c>
      <c r="P271" t="s">
        <v>1549</v>
      </c>
      <c r="Q271" s="2">
        <v>22396</v>
      </c>
      <c r="R271" s="3">
        <f>(Tabla1[[#This Row],[FECHA_TRASPLANTE]]-Tabla1[[#This Row],[FECHA_NAC]])/365.25</f>
        <v>57.74948665297741</v>
      </c>
      <c r="S271" t="s">
        <v>210</v>
      </c>
      <c r="U271" t="s">
        <v>1550</v>
      </c>
      <c r="V271" t="s">
        <v>1551</v>
      </c>
      <c r="W271" t="s">
        <v>146</v>
      </c>
      <c r="X271" t="s">
        <v>110</v>
      </c>
      <c r="Y271" t="s">
        <v>110</v>
      </c>
      <c r="Z271" t="s">
        <v>182</v>
      </c>
      <c r="AD271">
        <v>0</v>
      </c>
      <c r="AF271" t="s">
        <v>375</v>
      </c>
      <c r="AG271" t="s">
        <v>375</v>
      </c>
      <c r="AH271" t="s">
        <v>375</v>
      </c>
      <c r="AI271" t="s">
        <v>375</v>
      </c>
      <c r="AJ271" t="s">
        <v>375</v>
      </c>
      <c r="AK271" t="s">
        <v>375</v>
      </c>
      <c r="AM271" t="s">
        <v>106</v>
      </c>
      <c r="AN271" s="2" t="s">
        <v>106</v>
      </c>
      <c r="AQ271" t="s">
        <v>358</v>
      </c>
      <c r="AR271" s="2" t="s">
        <v>358</v>
      </c>
      <c r="AS271" s="2" t="s">
        <v>358</v>
      </c>
      <c r="AT271" t="s">
        <v>358</v>
      </c>
      <c r="AV271" s="2"/>
      <c r="AY271" t="s">
        <v>106</v>
      </c>
      <c r="AZ271"/>
      <c r="BA271" t="s">
        <v>1552</v>
      </c>
      <c r="BB271">
        <v>0.9</v>
      </c>
      <c r="BC271">
        <v>94</v>
      </c>
      <c r="BD271" t="s">
        <v>106</v>
      </c>
      <c r="BI271" t="s">
        <v>106</v>
      </c>
      <c r="BL271" t="s">
        <v>106</v>
      </c>
      <c r="BT271" s="2">
        <f>Tabla1[[#This Row],[FECHA_TRASPLANTE]]</f>
        <v>43489</v>
      </c>
      <c r="BU271">
        <f>IF(Tabla1[[#This Row],[FALLECIDO SI/NO]]="NO",0,1)</f>
        <v>0</v>
      </c>
      <c r="BV271" s="3">
        <f ca="1">IF(Tabla1[[#This Row],[FALLECIDO_COD]]=0,TODAY()-Tabla1[[#This Row],[FECHA_TRASPLANTE]],Tabla1[[#This Row],[FECHA DE DEFUNCIÓN]]-Tabla1[[#This Row],[FECHA_TRASPLANTE]])</f>
        <v>2386</v>
      </c>
      <c r="BW271" s="3">
        <f ca="1">IF(Tabla1[[#This Row],[FALLECIDO_COD]]=0,TODAY()-Tabla1[[#This Row],[FECHA_TRASPLANTE]],Tabla1[[#This Row],[FECHA DE DEFUNCIÓN]]-Tabla1[[#This Row],[FECHA_TRASPLANTE]])/30.4375</f>
        <v>78.390143737166326</v>
      </c>
      <c r="BX271" s="3">
        <f ca="1">IF(Tabla1[[#This Row],[FALLECIDO_COD]]=0,TODAY()-Tabla1[[#This Row],[FECHA_TRASPLANTE]],Tabla1[[#This Row],[FECHA DE DEFUNCIÓN]]-Tabla1[[#This Row],[FECHA_TRASPLANTE]])/365.25</f>
        <v>6.5325119780971939</v>
      </c>
      <c r="BY271"/>
      <c r="BZ271"/>
    </row>
    <row r="272" spans="1:78" hidden="1" x14ac:dyDescent="0.35">
      <c r="A272" t="s">
        <v>376</v>
      </c>
      <c r="B272" t="s">
        <v>376</v>
      </c>
      <c r="D272" t="s">
        <v>1129</v>
      </c>
      <c r="E272" t="s">
        <v>375</v>
      </c>
      <c r="I272">
        <v>119.42621825669183</v>
      </c>
      <c r="K272" t="s">
        <v>1553</v>
      </c>
      <c r="L272" t="s">
        <v>1554</v>
      </c>
      <c r="M272" t="s">
        <v>1555</v>
      </c>
      <c r="N272" s="11">
        <v>119230854</v>
      </c>
      <c r="O272" s="2">
        <v>43501</v>
      </c>
      <c r="P272" t="s">
        <v>90</v>
      </c>
      <c r="Q272" s="2">
        <v>38342</v>
      </c>
      <c r="R272" s="3">
        <f>(Tabla1[[#This Row],[FECHA_TRASPLANTE]]-Tabla1[[#This Row],[FECHA_NAC]])/365.25</f>
        <v>14.124572210814511</v>
      </c>
      <c r="T272"/>
      <c r="W272" t="s">
        <v>82</v>
      </c>
      <c r="AM272" t="s">
        <v>106</v>
      </c>
      <c r="AO272"/>
      <c r="AV272" s="2"/>
      <c r="AZ272"/>
      <c r="BT272" s="2">
        <f>Tabla1[[#This Row],[FECHA_TRASPLANTE]]</f>
        <v>43501</v>
      </c>
      <c r="BU272">
        <f>IF(Tabla1[[#This Row],[FALLECIDO SI/NO]]="NO",0,1)</f>
        <v>0</v>
      </c>
      <c r="BV272" s="3">
        <f ca="1">IF(Tabla1[[#This Row],[FALLECIDO_COD]]=0,TODAY()-Tabla1[[#This Row],[FECHA_TRASPLANTE]],Tabla1[[#This Row],[FECHA DE DEFUNCIÓN]]-Tabla1[[#This Row],[FECHA_TRASPLANTE]])</f>
        <v>2374</v>
      </c>
      <c r="BW272" s="3">
        <f ca="1">IF(Tabla1[[#This Row],[FALLECIDO_COD]]=0,TODAY()-Tabla1[[#This Row],[FECHA_TRASPLANTE]],Tabla1[[#This Row],[FECHA DE DEFUNCIÓN]]-Tabla1[[#This Row],[FECHA_TRASPLANTE]])/30.4375</f>
        <v>77.995893223819309</v>
      </c>
      <c r="BX272" s="3">
        <f ca="1">IF(Tabla1[[#This Row],[FALLECIDO_COD]]=0,TODAY()-Tabla1[[#This Row],[FECHA_TRASPLANTE]],Tabla1[[#This Row],[FECHA DE DEFUNCIÓN]]-Tabla1[[#This Row],[FECHA_TRASPLANTE]])/365.25</f>
        <v>6.4996577686516082</v>
      </c>
      <c r="BY272"/>
      <c r="BZ272"/>
    </row>
    <row r="273" spans="1:78" hidden="1" x14ac:dyDescent="0.35">
      <c r="A273" t="s">
        <v>75</v>
      </c>
      <c r="D273" t="s">
        <v>1129</v>
      </c>
      <c r="E273" t="s">
        <v>77</v>
      </c>
      <c r="I273">
        <v>119.44543582704186</v>
      </c>
      <c r="K273" t="s">
        <v>1556</v>
      </c>
      <c r="L273" t="s">
        <v>203</v>
      </c>
      <c r="M273" t="s">
        <v>479</v>
      </c>
      <c r="N273" s="11">
        <v>303370498</v>
      </c>
      <c r="O273" s="16">
        <v>43508</v>
      </c>
      <c r="P273" t="s">
        <v>81</v>
      </c>
      <c r="Q273" s="2">
        <v>27640</v>
      </c>
      <c r="R273" s="3">
        <f>(Tabla1[[#This Row],[FECHA_TRASPLANTE]]-Tabla1[[#This Row],[FECHA_NAC]])/365.25</f>
        <v>43.444216290212182</v>
      </c>
      <c r="T273"/>
      <c r="W273" t="s">
        <v>82</v>
      </c>
      <c r="X273" t="s">
        <v>120</v>
      </c>
      <c r="Y273" t="s">
        <v>1269</v>
      </c>
      <c r="Z273" t="s">
        <v>1269</v>
      </c>
      <c r="AM273" t="s">
        <v>106</v>
      </c>
      <c r="AO273"/>
      <c r="AV273" s="2"/>
      <c r="AZ273"/>
      <c r="BJ273" s="2"/>
      <c r="BT273" s="2">
        <f>Tabla1[[#This Row],[FECHA_TRASPLANTE]]</f>
        <v>43508</v>
      </c>
      <c r="BU273">
        <f>IF(Tabla1[[#This Row],[FALLECIDO SI/NO]]="NO",0,1)</f>
        <v>0</v>
      </c>
      <c r="BV273" s="3">
        <f ca="1">IF(Tabla1[[#This Row],[FALLECIDO_COD]]=0,TODAY()-Tabla1[[#This Row],[FECHA_TRASPLANTE]],Tabla1[[#This Row],[FECHA DE DEFUNCIÓN]]-Tabla1[[#This Row],[FECHA_TRASPLANTE]])</f>
        <v>2367</v>
      </c>
      <c r="BW273" s="3">
        <f ca="1">IF(Tabla1[[#This Row],[FALLECIDO_COD]]=0,TODAY()-Tabla1[[#This Row],[FECHA_TRASPLANTE]],Tabla1[[#This Row],[FECHA DE DEFUNCIÓN]]-Tabla1[[#This Row],[FECHA_TRASPLANTE]])/30.4375</f>
        <v>77.765913757700204</v>
      </c>
      <c r="BX273" s="3">
        <f ca="1">IF(Tabla1[[#This Row],[FALLECIDO_COD]]=0,TODAY()-Tabla1[[#This Row],[FECHA_TRASPLANTE]],Tabla1[[#This Row],[FECHA DE DEFUNCIÓN]]-Tabla1[[#This Row],[FECHA_TRASPLANTE]])/365.25</f>
        <v>6.4804928131416837</v>
      </c>
      <c r="BY273"/>
      <c r="BZ273"/>
    </row>
    <row r="274" spans="1:78" hidden="1" x14ac:dyDescent="0.35">
      <c r="A274" t="s">
        <v>75</v>
      </c>
      <c r="D274" t="s">
        <v>1129</v>
      </c>
      <c r="E274" t="s">
        <v>77</v>
      </c>
      <c r="I274">
        <v>119.44543582704186</v>
      </c>
      <c r="K274" t="s">
        <v>1557</v>
      </c>
      <c r="L274" t="s">
        <v>1558</v>
      </c>
      <c r="M274" t="s">
        <v>1559</v>
      </c>
      <c r="N274" s="11">
        <v>800640804</v>
      </c>
      <c r="O274" s="16">
        <v>43508</v>
      </c>
      <c r="P274" t="s">
        <v>81</v>
      </c>
      <c r="Q274" s="2">
        <v>19057</v>
      </c>
      <c r="R274" s="3">
        <f>(Tabla1[[#This Row],[FECHA_TRASPLANTE]]-Tabla1[[#This Row],[FECHA_NAC]])/365.25</f>
        <v>66.943189596167002</v>
      </c>
      <c r="T274"/>
      <c r="W274" t="s">
        <v>82</v>
      </c>
      <c r="X274" t="s">
        <v>91</v>
      </c>
      <c r="Y274" t="s">
        <v>211</v>
      </c>
      <c r="Z274" t="s">
        <v>607</v>
      </c>
      <c r="AM274" t="s">
        <v>106</v>
      </c>
      <c r="AO274"/>
      <c r="AV274" s="2"/>
      <c r="AZ274"/>
      <c r="BJ274" s="2"/>
      <c r="BT274" s="2">
        <f>Tabla1[[#This Row],[FECHA_TRASPLANTE]]</f>
        <v>43508</v>
      </c>
      <c r="BU274">
        <f>IF(Tabla1[[#This Row],[FALLECIDO SI/NO]]="NO",0,1)</f>
        <v>0</v>
      </c>
      <c r="BV274" s="3">
        <f ca="1">IF(Tabla1[[#This Row],[FALLECIDO_COD]]=0,TODAY()-Tabla1[[#This Row],[FECHA_TRASPLANTE]],Tabla1[[#This Row],[FECHA DE DEFUNCIÓN]]-Tabla1[[#This Row],[FECHA_TRASPLANTE]])</f>
        <v>2367</v>
      </c>
      <c r="BW274" s="3">
        <f ca="1">IF(Tabla1[[#This Row],[FALLECIDO_COD]]=0,TODAY()-Tabla1[[#This Row],[FECHA_TRASPLANTE]],Tabla1[[#This Row],[FECHA DE DEFUNCIÓN]]-Tabla1[[#This Row],[FECHA_TRASPLANTE]])/30.4375</f>
        <v>77.765913757700204</v>
      </c>
      <c r="BX274" s="3">
        <f ca="1">IF(Tabla1[[#This Row],[FALLECIDO_COD]]=0,TODAY()-Tabla1[[#This Row],[FECHA_TRASPLANTE]],Tabla1[[#This Row],[FECHA DE DEFUNCIÓN]]-Tabla1[[#This Row],[FECHA_TRASPLANTE]])/365.25</f>
        <v>6.4804928131416837</v>
      </c>
      <c r="BY274"/>
      <c r="BZ274"/>
    </row>
    <row r="275" spans="1:78" hidden="1" x14ac:dyDescent="0.35">
      <c r="A275" t="s">
        <v>377</v>
      </c>
      <c r="D275" t="s">
        <v>1129</v>
      </c>
      <c r="E275" t="s">
        <v>375</v>
      </c>
      <c r="I275">
        <v>119.44818119423473</v>
      </c>
      <c r="J275" t="s">
        <v>1560</v>
      </c>
      <c r="K275" t="s">
        <v>1561</v>
      </c>
      <c r="L275" t="s">
        <v>692</v>
      </c>
      <c r="M275" t="s">
        <v>167</v>
      </c>
      <c r="N275" s="11">
        <v>117270882</v>
      </c>
      <c r="O275" s="2">
        <v>43509</v>
      </c>
      <c r="P275" t="s">
        <v>81</v>
      </c>
      <c r="Q275" s="2">
        <v>36124</v>
      </c>
      <c r="R275" s="3">
        <f>(Tabla1[[#This Row],[FECHA_TRASPLANTE]]-Tabla1[[#This Row],[FECHA_NAC]])/365.25</f>
        <v>20.219028062970569</v>
      </c>
      <c r="T275"/>
      <c r="W275" t="s">
        <v>82</v>
      </c>
      <c r="X275" t="s">
        <v>91</v>
      </c>
      <c r="Y275" t="s">
        <v>553</v>
      </c>
      <c r="Z275" t="s">
        <v>553</v>
      </c>
      <c r="AM275" t="s">
        <v>106</v>
      </c>
      <c r="AO275"/>
      <c r="AV275" s="2"/>
      <c r="AZ275"/>
      <c r="BT275" s="2">
        <f>Tabla1[[#This Row],[FECHA_TRASPLANTE]]</f>
        <v>43509</v>
      </c>
      <c r="BU275">
        <f>IF(Tabla1[[#This Row],[FALLECIDO SI/NO]]="NO",0,1)</f>
        <v>0</v>
      </c>
      <c r="BV275" s="3">
        <f ca="1">IF(Tabla1[[#This Row],[FALLECIDO_COD]]=0,TODAY()-Tabla1[[#This Row],[FECHA_TRASPLANTE]],Tabla1[[#This Row],[FECHA DE DEFUNCIÓN]]-Tabla1[[#This Row],[FECHA_TRASPLANTE]])</f>
        <v>2366</v>
      </c>
      <c r="BW275" s="3">
        <f ca="1">IF(Tabla1[[#This Row],[FALLECIDO_COD]]=0,TODAY()-Tabla1[[#This Row],[FECHA_TRASPLANTE]],Tabla1[[#This Row],[FECHA DE DEFUNCIÓN]]-Tabla1[[#This Row],[FECHA_TRASPLANTE]])/30.4375</f>
        <v>77.733059548254616</v>
      </c>
      <c r="BX275" s="3">
        <f ca="1">IF(Tabla1[[#This Row],[FALLECIDO_COD]]=0,TODAY()-Tabla1[[#This Row],[FECHA_TRASPLANTE]],Tabla1[[#This Row],[FECHA DE DEFUNCIÓN]]-Tabla1[[#This Row],[FECHA_TRASPLANTE]])/365.25</f>
        <v>6.4777549623545516</v>
      </c>
      <c r="BY275"/>
      <c r="BZ275"/>
    </row>
    <row r="276" spans="1:78" hidden="1" x14ac:dyDescent="0.35">
      <c r="A276" t="s">
        <v>376</v>
      </c>
      <c r="B276" t="s">
        <v>376</v>
      </c>
      <c r="D276" t="s">
        <v>1129</v>
      </c>
      <c r="E276" t="s">
        <v>77</v>
      </c>
      <c r="I276">
        <v>119.44818119423473</v>
      </c>
      <c r="K276" t="s">
        <v>1562</v>
      </c>
      <c r="L276" t="s">
        <v>132</v>
      </c>
      <c r="M276" t="s">
        <v>1563</v>
      </c>
      <c r="N276" s="11">
        <v>305820550</v>
      </c>
      <c r="O276" s="2">
        <v>43509</v>
      </c>
      <c r="P276" t="s">
        <v>81</v>
      </c>
      <c r="Q276" s="2">
        <v>39755</v>
      </c>
      <c r="R276" s="3">
        <f>(Tabla1[[#This Row],[FECHA_TRASPLANTE]]-Tabla1[[#This Row],[FECHA_NAC]])/365.25</f>
        <v>10.277891854893909</v>
      </c>
      <c r="T276"/>
      <c r="W276" t="s">
        <v>82</v>
      </c>
      <c r="AM276" t="s">
        <v>106</v>
      </c>
      <c r="AO276"/>
      <c r="AV276" s="2"/>
      <c r="AZ276"/>
      <c r="BT276" s="2">
        <f>Tabla1[[#This Row],[FECHA_TRASPLANTE]]</f>
        <v>43509</v>
      </c>
      <c r="BU276">
        <f>IF(Tabla1[[#This Row],[FALLECIDO SI/NO]]="NO",0,1)</f>
        <v>0</v>
      </c>
      <c r="BV276" s="3">
        <f ca="1">IF(Tabla1[[#This Row],[FALLECIDO_COD]]=0,TODAY()-Tabla1[[#This Row],[FECHA_TRASPLANTE]],Tabla1[[#This Row],[FECHA DE DEFUNCIÓN]]-Tabla1[[#This Row],[FECHA_TRASPLANTE]])</f>
        <v>2366</v>
      </c>
      <c r="BW276" s="3">
        <f ca="1">IF(Tabla1[[#This Row],[FALLECIDO_COD]]=0,TODAY()-Tabla1[[#This Row],[FECHA_TRASPLANTE]],Tabla1[[#This Row],[FECHA DE DEFUNCIÓN]]-Tabla1[[#This Row],[FECHA_TRASPLANTE]])/30.4375</f>
        <v>77.733059548254616</v>
      </c>
      <c r="BX276" s="3">
        <f ca="1">IF(Tabla1[[#This Row],[FALLECIDO_COD]]=0,TODAY()-Tabla1[[#This Row],[FECHA_TRASPLANTE]],Tabla1[[#This Row],[FECHA DE DEFUNCIÓN]]-Tabla1[[#This Row],[FECHA_TRASPLANTE]])/365.25</f>
        <v>6.4777549623545516</v>
      </c>
      <c r="BY276"/>
      <c r="BZ276"/>
    </row>
    <row r="277" spans="1:78" hidden="1" x14ac:dyDescent="0.35">
      <c r="A277" t="s">
        <v>1125</v>
      </c>
      <c r="D277" t="s">
        <v>1129</v>
      </c>
      <c r="E277" t="s">
        <v>375</v>
      </c>
      <c r="I277">
        <v>119.1211498973306</v>
      </c>
      <c r="J277" t="s">
        <v>1490</v>
      </c>
      <c r="K277" t="s">
        <v>1564</v>
      </c>
      <c r="L277" t="s">
        <v>132</v>
      </c>
      <c r="M277" t="s">
        <v>518</v>
      </c>
      <c r="N277" s="11">
        <v>203820498</v>
      </c>
      <c r="O277" s="2">
        <v>43509</v>
      </c>
      <c r="R277" s="3">
        <f>(Tabla1[[#This Row],[FECHA_TRASPLANTE]]-Tabla1[[#This Row],[FECHA_NAC]])/365.25</f>
        <v>119.1211498973306</v>
      </c>
      <c r="T277"/>
      <c r="U277" t="s">
        <v>1348</v>
      </c>
      <c r="W277" t="s">
        <v>82</v>
      </c>
      <c r="AM277" t="s">
        <v>106</v>
      </c>
      <c r="AO277"/>
      <c r="AV277" s="2"/>
      <c r="AZ277"/>
      <c r="BT277" s="2">
        <f>Tabla1[[#This Row],[FECHA_TRASPLANTE]]</f>
        <v>43509</v>
      </c>
      <c r="BU277">
        <f>IF(Tabla1[[#This Row],[FALLECIDO SI/NO]]="NO",0,1)</f>
        <v>0</v>
      </c>
      <c r="BV277" s="3">
        <f ca="1">IF(Tabla1[[#This Row],[FALLECIDO_COD]]=0,TODAY()-Tabla1[[#This Row],[FECHA_TRASPLANTE]],Tabla1[[#This Row],[FECHA DE DEFUNCIÓN]]-Tabla1[[#This Row],[FECHA_TRASPLANTE]])</f>
        <v>2366</v>
      </c>
      <c r="BW277" s="3">
        <f ca="1">IF(Tabla1[[#This Row],[FALLECIDO_COD]]=0,TODAY()-Tabla1[[#This Row],[FECHA_TRASPLANTE]],Tabla1[[#This Row],[FECHA DE DEFUNCIÓN]]-Tabla1[[#This Row],[FECHA_TRASPLANTE]])/30.4375</f>
        <v>77.733059548254616</v>
      </c>
      <c r="BX277" s="3">
        <f ca="1">IF(Tabla1[[#This Row],[FALLECIDO_COD]]=0,TODAY()-Tabla1[[#This Row],[FECHA_TRASPLANTE]],Tabla1[[#This Row],[FECHA DE DEFUNCIÓN]]-Tabla1[[#This Row],[FECHA_TRASPLANTE]])/365.25</f>
        <v>6.4777549623545516</v>
      </c>
      <c r="BY277"/>
      <c r="BZ277"/>
    </row>
    <row r="278" spans="1:78" hidden="1" x14ac:dyDescent="0.35">
      <c r="A278" t="s">
        <v>1126</v>
      </c>
      <c r="D278" t="s">
        <v>1333</v>
      </c>
      <c r="E278" t="s">
        <v>77</v>
      </c>
      <c r="F278" t="s">
        <v>86</v>
      </c>
      <c r="I278">
        <v>119.1211498973306</v>
      </c>
      <c r="J278" t="s">
        <v>1548</v>
      </c>
      <c r="N278" s="11">
        <v>303080726</v>
      </c>
      <c r="O278" s="2">
        <v>43509</v>
      </c>
      <c r="P278" t="s">
        <v>1549</v>
      </c>
      <c r="Q278" s="2">
        <v>25556</v>
      </c>
      <c r="R278" s="3">
        <f>(Tabla1[[#This Row],[FECHA_TRASPLANTE]]-Tabla1[[#This Row],[FECHA_NAC]])/365.25</f>
        <v>49.152635181382614</v>
      </c>
      <c r="S278" t="s">
        <v>205</v>
      </c>
      <c r="U278" t="s">
        <v>1565</v>
      </c>
      <c r="V278" t="s">
        <v>1566</v>
      </c>
      <c r="W278" t="s">
        <v>82</v>
      </c>
      <c r="X278" t="s">
        <v>110</v>
      </c>
      <c r="Y278" t="s">
        <v>340</v>
      </c>
      <c r="Z278" t="s">
        <v>1567</v>
      </c>
      <c r="AF278" t="s">
        <v>375</v>
      </c>
      <c r="AG278" t="s">
        <v>375</v>
      </c>
      <c r="AH278" t="s">
        <v>375</v>
      </c>
      <c r="AI278" t="s">
        <v>375</v>
      </c>
      <c r="AJ278" t="s">
        <v>375</v>
      </c>
      <c r="AM278" t="s">
        <v>106</v>
      </c>
      <c r="AQ278" t="s">
        <v>358</v>
      </c>
      <c r="AR278" s="2" t="s">
        <v>358</v>
      </c>
      <c r="AS278" s="2" t="s">
        <v>772</v>
      </c>
      <c r="AT278" t="s">
        <v>772</v>
      </c>
      <c r="AV278" s="2">
        <v>43983</v>
      </c>
      <c r="AW278" t="s">
        <v>1568</v>
      </c>
      <c r="AX278" t="s">
        <v>1569</v>
      </c>
      <c r="AY278" t="s">
        <v>106</v>
      </c>
      <c r="AZ278"/>
      <c r="BA278" t="s">
        <v>1552</v>
      </c>
      <c r="BB278">
        <v>1.4</v>
      </c>
      <c r="BD278" t="s">
        <v>106</v>
      </c>
      <c r="BI278" t="s">
        <v>106</v>
      </c>
      <c r="BL278" t="s">
        <v>106</v>
      </c>
      <c r="BT278" s="2">
        <f>Tabla1[[#This Row],[FECHA_TRASPLANTE]]</f>
        <v>43509</v>
      </c>
      <c r="BU278">
        <f>IF(Tabla1[[#This Row],[FALLECIDO SI/NO]]="NO",0,1)</f>
        <v>0</v>
      </c>
      <c r="BV278" s="3">
        <f ca="1">IF(Tabla1[[#This Row],[FALLECIDO_COD]]=0,TODAY()-Tabla1[[#This Row],[FECHA_TRASPLANTE]],Tabla1[[#This Row],[FECHA DE DEFUNCIÓN]]-Tabla1[[#This Row],[FECHA_TRASPLANTE]])</f>
        <v>2366</v>
      </c>
      <c r="BW278" s="3">
        <f ca="1">IF(Tabla1[[#This Row],[FALLECIDO_COD]]=0,TODAY()-Tabla1[[#This Row],[FECHA_TRASPLANTE]],Tabla1[[#This Row],[FECHA DE DEFUNCIÓN]]-Tabla1[[#This Row],[FECHA_TRASPLANTE]])/30.4375</f>
        <v>77.733059548254616</v>
      </c>
      <c r="BX278" s="3">
        <f ca="1">IF(Tabla1[[#This Row],[FALLECIDO_COD]]=0,TODAY()-Tabla1[[#This Row],[FECHA_TRASPLANTE]],Tabla1[[#This Row],[FECHA DE DEFUNCIÓN]]-Tabla1[[#This Row],[FECHA_TRASPLANTE]])/365.25</f>
        <v>6.4777549623545516</v>
      </c>
      <c r="BY278"/>
      <c r="BZ278"/>
    </row>
    <row r="279" spans="1:78" hidden="1" x14ac:dyDescent="0.35">
      <c r="A279" t="s">
        <v>377</v>
      </c>
      <c r="D279" t="s">
        <v>1129</v>
      </c>
      <c r="E279" t="s">
        <v>77</v>
      </c>
      <c r="I279">
        <v>119.45367192862045</v>
      </c>
      <c r="K279" t="s">
        <v>980</v>
      </c>
      <c r="L279" t="s">
        <v>149</v>
      </c>
      <c r="M279" t="s">
        <v>682</v>
      </c>
      <c r="N279" s="11">
        <v>17063895</v>
      </c>
      <c r="O279" s="2">
        <v>43511</v>
      </c>
      <c r="P279" t="s">
        <v>81</v>
      </c>
      <c r="Q279" s="2">
        <v>25611</v>
      </c>
      <c r="R279" s="3">
        <f>(Tabla1[[#This Row],[FECHA_TRASPLANTE]]-Tabla1[[#This Row],[FECHA_NAC]])/365.25</f>
        <v>49.007529089664615</v>
      </c>
      <c r="T279"/>
      <c r="W279" t="s">
        <v>1132</v>
      </c>
      <c r="X279" t="s">
        <v>125</v>
      </c>
      <c r="Y279" t="s">
        <v>168</v>
      </c>
      <c r="Z279" t="s">
        <v>168</v>
      </c>
      <c r="AM279" t="s">
        <v>106</v>
      </c>
      <c r="AO279"/>
      <c r="AV279" s="2"/>
      <c r="AZ279"/>
      <c r="BT279" s="2">
        <f>Tabla1[[#This Row],[FECHA_TRASPLANTE]]</f>
        <v>43511</v>
      </c>
      <c r="BU279">
        <f>IF(Tabla1[[#This Row],[FALLECIDO SI/NO]]="NO",0,1)</f>
        <v>0</v>
      </c>
      <c r="BV279" s="3">
        <f ca="1">IF(Tabla1[[#This Row],[FALLECIDO_COD]]=0,TODAY()-Tabla1[[#This Row],[FECHA_TRASPLANTE]],Tabla1[[#This Row],[FECHA DE DEFUNCIÓN]]-Tabla1[[#This Row],[FECHA_TRASPLANTE]])</f>
        <v>2364</v>
      </c>
      <c r="BW279" s="3">
        <f ca="1">IF(Tabla1[[#This Row],[FALLECIDO_COD]]=0,TODAY()-Tabla1[[#This Row],[FECHA_TRASPLANTE]],Tabla1[[#This Row],[FECHA DE DEFUNCIÓN]]-Tabla1[[#This Row],[FECHA_TRASPLANTE]])/30.4375</f>
        <v>77.667351129363453</v>
      </c>
      <c r="BX279" s="3">
        <f ca="1">IF(Tabla1[[#This Row],[FALLECIDO_COD]]=0,TODAY()-Tabla1[[#This Row],[FECHA_TRASPLANTE]],Tabla1[[#This Row],[FECHA DE DEFUNCIÓN]]-Tabla1[[#This Row],[FECHA_TRASPLANTE]])/365.25</f>
        <v>6.4722792607802875</v>
      </c>
      <c r="BY279"/>
      <c r="BZ279"/>
    </row>
    <row r="280" spans="1:78" hidden="1" x14ac:dyDescent="0.35">
      <c r="A280" t="s">
        <v>75</v>
      </c>
      <c r="D280" t="s">
        <v>1129</v>
      </c>
      <c r="E280" t="s">
        <v>77</v>
      </c>
      <c r="I280">
        <v>119.45367192862045</v>
      </c>
      <c r="K280" t="s">
        <v>1570</v>
      </c>
      <c r="L280" t="s">
        <v>1571</v>
      </c>
      <c r="M280" t="s">
        <v>567</v>
      </c>
      <c r="N280" s="11">
        <v>601310273</v>
      </c>
      <c r="O280" s="16">
        <v>43511</v>
      </c>
      <c r="P280" t="s">
        <v>81</v>
      </c>
      <c r="Q280" s="2">
        <v>20962</v>
      </c>
      <c r="R280" s="3">
        <f>(Tabla1[[#This Row],[FECHA_TRASPLANTE]]-Tabla1[[#This Row],[FECHA_NAC]])/365.25</f>
        <v>61.735797399041751</v>
      </c>
      <c r="T280"/>
      <c r="W280" t="s">
        <v>82</v>
      </c>
      <c r="X280" t="s">
        <v>120</v>
      </c>
      <c r="Y280" t="s">
        <v>121</v>
      </c>
      <c r="Z280" t="s">
        <v>122</v>
      </c>
      <c r="AM280" t="s">
        <v>106</v>
      </c>
      <c r="AO280"/>
      <c r="AV280" s="2"/>
      <c r="AZ280"/>
      <c r="BJ280" s="2"/>
      <c r="BT280" s="2">
        <f>Tabla1[[#This Row],[FECHA_TRASPLANTE]]</f>
        <v>43511</v>
      </c>
      <c r="BU280">
        <f>IF(Tabla1[[#This Row],[FALLECIDO SI/NO]]="NO",0,1)</f>
        <v>0</v>
      </c>
      <c r="BV280" s="3">
        <f ca="1">IF(Tabla1[[#This Row],[FALLECIDO_COD]]=0,TODAY()-Tabla1[[#This Row],[FECHA_TRASPLANTE]],Tabla1[[#This Row],[FECHA DE DEFUNCIÓN]]-Tabla1[[#This Row],[FECHA_TRASPLANTE]])</f>
        <v>2364</v>
      </c>
      <c r="BW280" s="3">
        <f ca="1">IF(Tabla1[[#This Row],[FALLECIDO_COD]]=0,TODAY()-Tabla1[[#This Row],[FECHA_TRASPLANTE]],Tabla1[[#This Row],[FECHA DE DEFUNCIÓN]]-Tabla1[[#This Row],[FECHA_TRASPLANTE]])/30.4375</f>
        <v>77.667351129363453</v>
      </c>
      <c r="BX280" s="3">
        <f ca="1">IF(Tabla1[[#This Row],[FALLECIDO_COD]]=0,TODAY()-Tabla1[[#This Row],[FECHA_TRASPLANTE]],Tabla1[[#This Row],[FECHA DE DEFUNCIÓN]]-Tabla1[[#This Row],[FECHA_TRASPLANTE]])/365.25</f>
        <v>6.4722792607802875</v>
      </c>
      <c r="BY280"/>
      <c r="BZ280"/>
    </row>
    <row r="281" spans="1:78" hidden="1" x14ac:dyDescent="0.35">
      <c r="A281" t="s">
        <v>75</v>
      </c>
      <c r="D281" t="s">
        <v>1129</v>
      </c>
      <c r="E281" t="s">
        <v>77</v>
      </c>
      <c r="I281">
        <v>119.46739876458476</v>
      </c>
      <c r="K281" t="s">
        <v>1572</v>
      </c>
      <c r="L281" t="s">
        <v>386</v>
      </c>
      <c r="M281" t="s">
        <v>329</v>
      </c>
      <c r="N281" s="11">
        <v>106550799</v>
      </c>
      <c r="O281" s="16">
        <v>43516</v>
      </c>
      <c r="P281" t="s">
        <v>90</v>
      </c>
      <c r="Q281" s="2">
        <v>23902</v>
      </c>
      <c r="R281" s="3">
        <f>(Tabla1[[#This Row],[FECHA_TRASPLANTE]]-Tabla1[[#This Row],[FECHA_NAC]])/365.25</f>
        <v>53.700205338809035</v>
      </c>
      <c r="T281"/>
      <c r="W281" t="s">
        <v>82</v>
      </c>
      <c r="X281" t="s">
        <v>110</v>
      </c>
      <c r="Y281" t="s">
        <v>196</v>
      </c>
      <c r="Z281" t="s">
        <v>230</v>
      </c>
      <c r="AM281" t="s">
        <v>86</v>
      </c>
      <c r="AN281" s="2">
        <v>45136</v>
      </c>
      <c r="AO281"/>
      <c r="AV281" s="2"/>
      <c r="AZ281"/>
      <c r="BJ281" s="2"/>
      <c r="BT281" s="2">
        <f>Tabla1[[#This Row],[FECHA_TRASPLANTE]]</f>
        <v>43516</v>
      </c>
      <c r="BU281">
        <f>IF(Tabla1[[#This Row],[FALLECIDO SI/NO]]="NO",0,1)</f>
        <v>1</v>
      </c>
      <c r="BV281" s="3">
        <f ca="1">IF(Tabla1[[#This Row],[FALLECIDO_COD]]=0,TODAY()-Tabla1[[#This Row],[FECHA_TRASPLANTE]],Tabla1[[#This Row],[FECHA DE DEFUNCIÓN]]-Tabla1[[#This Row],[FECHA_TRASPLANTE]])</f>
        <v>1620</v>
      </c>
      <c r="BW281" s="3">
        <f ca="1">IF(Tabla1[[#This Row],[FALLECIDO_COD]]=0,TODAY()-Tabla1[[#This Row],[FECHA_TRASPLANTE]],Tabla1[[#This Row],[FECHA DE DEFUNCIÓN]]-Tabla1[[#This Row],[FECHA_TRASPLANTE]])/30.4375</f>
        <v>53.223819301848046</v>
      </c>
      <c r="BX281" s="3">
        <f ca="1">IF(Tabla1[[#This Row],[FALLECIDO_COD]]=0,TODAY()-Tabla1[[#This Row],[FECHA_TRASPLANTE]],Tabla1[[#This Row],[FECHA DE DEFUNCIÓN]]-Tabla1[[#This Row],[FECHA_TRASPLANTE]])/365.25</f>
        <v>4.4353182751540041</v>
      </c>
      <c r="BY281"/>
      <c r="BZ281"/>
    </row>
    <row r="282" spans="1:78" hidden="1" x14ac:dyDescent="0.35">
      <c r="A282" t="s">
        <v>376</v>
      </c>
      <c r="B282" t="s">
        <v>376</v>
      </c>
      <c r="D282" t="s">
        <v>1129</v>
      </c>
      <c r="E282" t="s">
        <v>77</v>
      </c>
      <c r="I282">
        <v>119.46739876458476</v>
      </c>
      <c r="K282" t="s">
        <v>1573</v>
      </c>
      <c r="L282" t="s">
        <v>149</v>
      </c>
      <c r="M282" t="s">
        <v>1574</v>
      </c>
      <c r="N282" s="11">
        <v>118920347</v>
      </c>
      <c r="O282" s="2">
        <v>43516</v>
      </c>
      <c r="P282" t="s">
        <v>90</v>
      </c>
      <c r="Q282" s="2">
        <v>37948</v>
      </c>
      <c r="R282" s="3">
        <f>(Tabla1[[#This Row],[FECHA_TRASPLANTE]]-Tabla1[[#This Row],[FECHA_NAC]])/365.25</f>
        <v>15.24435318275154</v>
      </c>
      <c r="T282"/>
      <c r="W282" t="s">
        <v>82</v>
      </c>
      <c r="AM282" t="s">
        <v>106</v>
      </c>
      <c r="AO282"/>
      <c r="AV282" s="2"/>
      <c r="AZ282"/>
      <c r="BT282" s="2">
        <f>Tabla1[[#This Row],[FECHA_TRASPLANTE]]</f>
        <v>43516</v>
      </c>
      <c r="BU282">
        <f>IF(Tabla1[[#This Row],[FALLECIDO SI/NO]]="NO",0,1)</f>
        <v>0</v>
      </c>
      <c r="BV282" s="3">
        <f ca="1">IF(Tabla1[[#This Row],[FALLECIDO_COD]]=0,TODAY()-Tabla1[[#This Row],[FECHA_TRASPLANTE]],Tabla1[[#This Row],[FECHA DE DEFUNCIÓN]]-Tabla1[[#This Row],[FECHA_TRASPLANTE]])</f>
        <v>2359</v>
      </c>
      <c r="BW282" s="3">
        <f ca="1">IF(Tabla1[[#This Row],[FALLECIDO_COD]]=0,TODAY()-Tabla1[[#This Row],[FECHA_TRASPLANTE]],Tabla1[[#This Row],[FECHA DE DEFUNCIÓN]]-Tabla1[[#This Row],[FECHA_TRASPLANTE]])/30.4375</f>
        <v>77.503080082135526</v>
      </c>
      <c r="BX282" s="3">
        <f ca="1">IF(Tabla1[[#This Row],[FALLECIDO_COD]]=0,TODAY()-Tabla1[[#This Row],[FECHA_TRASPLANTE]],Tabla1[[#This Row],[FECHA DE DEFUNCIÓN]]-Tabla1[[#This Row],[FECHA_TRASPLANTE]])/365.25</f>
        <v>6.4585900068446271</v>
      </c>
      <c r="BY282"/>
      <c r="BZ282"/>
    </row>
    <row r="283" spans="1:78" hidden="1" x14ac:dyDescent="0.35">
      <c r="A283" t="s">
        <v>377</v>
      </c>
      <c r="D283" t="s">
        <v>1129</v>
      </c>
      <c r="E283" t="s">
        <v>375</v>
      </c>
      <c r="I283">
        <v>119.50583390528483</v>
      </c>
      <c r="J283" t="s">
        <v>1575</v>
      </c>
      <c r="K283" t="s">
        <v>1576</v>
      </c>
      <c r="L283" t="s">
        <v>1577</v>
      </c>
      <c r="M283" t="s">
        <v>1143</v>
      </c>
      <c r="N283" s="11">
        <v>503770979</v>
      </c>
      <c r="O283" s="2">
        <v>43530</v>
      </c>
      <c r="P283" t="s">
        <v>81</v>
      </c>
      <c r="Q283" s="2">
        <v>33166</v>
      </c>
      <c r="R283" s="3">
        <f>(Tabla1[[#This Row],[FECHA_TRASPLANTE]]-Tabla1[[#This Row],[FECHA_NAC]])/365.25</f>
        <v>28.3750855578371</v>
      </c>
      <c r="T283"/>
      <c r="W283" t="s">
        <v>82</v>
      </c>
      <c r="X283" t="s">
        <v>125</v>
      </c>
      <c r="Y283" t="s">
        <v>441</v>
      </c>
      <c r="Z283" t="s">
        <v>1434</v>
      </c>
      <c r="AM283" t="s">
        <v>106</v>
      </c>
      <c r="AO283"/>
      <c r="AV283" s="2"/>
      <c r="AZ283"/>
      <c r="BT283" s="2">
        <f>Tabla1[[#This Row],[FECHA_TRASPLANTE]]</f>
        <v>43530</v>
      </c>
      <c r="BU283">
        <f>IF(Tabla1[[#This Row],[FALLECIDO SI/NO]]="NO",0,1)</f>
        <v>0</v>
      </c>
      <c r="BV283" s="3">
        <f ca="1">IF(Tabla1[[#This Row],[FALLECIDO_COD]]=0,TODAY()-Tabla1[[#This Row],[FECHA_TRASPLANTE]],Tabla1[[#This Row],[FECHA DE DEFUNCIÓN]]-Tabla1[[#This Row],[FECHA_TRASPLANTE]])</f>
        <v>2345</v>
      </c>
      <c r="BW283" s="3">
        <f ca="1">IF(Tabla1[[#This Row],[FALLECIDO_COD]]=0,TODAY()-Tabla1[[#This Row],[FECHA_TRASPLANTE]],Tabla1[[#This Row],[FECHA DE DEFUNCIÓN]]-Tabla1[[#This Row],[FECHA_TRASPLANTE]])/30.4375</f>
        <v>77.043121149897331</v>
      </c>
      <c r="BX283" s="3">
        <f ca="1">IF(Tabla1[[#This Row],[FALLECIDO_COD]]=0,TODAY()-Tabla1[[#This Row],[FECHA_TRASPLANTE]],Tabla1[[#This Row],[FECHA DE DEFUNCIÓN]]-Tabla1[[#This Row],[FECHA_TRASPLANTE]])/365.25</f>
        <v>6.4202600958247773</v>
      </c>
      <c r="BY283"/>
      <c r="BZ283"/>
    </row>
    <row r="284" spans="1:78" hidden="1" x14ac:dyDescent="0.35">
      <c r="A284" t="s">
        <v>1125</v>
      </c>
      <c r="D284" t="s">
        <v>1129</v>
      </c>
      <c r="E284" t="s">
        <v>375</v>
      </c>
      <c r="I284">
        <v>119.1978097193703</v>
      </c>
      <c r="J284" t="s">
        <v>1346</v>
      </c>
      <c r="K284" t="s">
        <v>1578</v>
      </c>
      <c r="L284" t="s">
        <v>88</v>
      </c>
      <c r="M284" t="s">
        <v>145</v>
      </c>
      <c r="N284" s="11">
        <v>800850998</v>
      </c>
      <c r="O284" s="2">
        <v>43537</v>
      </c>
      <c r="R284" s="3">
        <f>(Tabla1[[#This Row],[FECHA_TRASPLANTE]]-Tabla1[[#This Row],[FECHA_NAC]])/365.25</f>
        <v>119.1978097193703</v>
      </c>
      <c r="T284"/>
      <c r="U284" t="s">
        <v>1348</v>
      </c>
      <c r="W284" t="s">
        <v>82</v>
      </c>
      <c r="X284" t="s">
        <v>91</v>
      </c>
      <c r="Y284" t="s">
        <v>215</v>
      </c>
      <c r="Z284" t="s">
        <v>1579</v>
      </c>
      <c r="AM284" t="s">
        <v>86</v>
      </c>
      <c r="AN284" s="2">
        <v>44626</v>
      </c>
      <c r="AO284"/>
      <c r="AV284" s="2"/>
      <c r="AZ284"/>
      <c r="BT284" s="2">
        <f>Tabla1[[#This Row],[FECHA_TRASPLANTE]]</f>
        <v>43537</v>
      </c>
      <c r="BU284">
        <f>IF(Tabla1[[#This Row],[FALLECIDO SI/NO]]="NO",0,1)</f>
        <v>1</v>
      </c>
      <c r="BV284" s="3">
        <f ca="1">IF(Tabla1[[#This Row],[FALLECIDO_COD]]=0,TODAY()-Tabla1[[#This Row],[FECHA_TRASPLANTE]],Tabla1[[#This Row],[FECHA DE DEFUNCIÓN]]-Tabla1[[#This Row],[FECHA_TRASPLANTE]])</f>
        <v>1089</v>
      </c>
      <c r="BW284" s="3">
        <f ca="1">IF(Tabla1[[#This Row],[FALLECIDO_COD]]=0,TODAY()-Tabla1[[#This Row],[FECHA_TRASPLANTE]],Tabla1[[#This Row],[FECHA DE DEFUNCIÓN]]-Tabla1[[#This Row],[FECHA_TRASPLANTE]])/30.4375</f>
        <v>35.7782340862423</v>
      </c>
      <c r="BX284" s="3">
        <f ca="1">IF(Tabla1[[#This Row],[FALLECIDO_COD]]=0,TODAY()-Tabla1[[#This Row],[FECHA_TRASPLANTE]],Tabla1[[#This Row],[FECHA DE DEFUNCIÓN]]-Tabla1[[#This Row],[FECHA_TRASPLANTE]])/365.25</f>
        <v>2.9815195071868583</v>
      </c>
      <c r="BY284"/>
      <c r="BZ284"/>
    </row>
    <row r="285" spans="1:78" hidden="1" x14ac:dyDescent="0.35">
      <c r="A285" t="s">
        <v>75</v>
      </c>
      <c r="D285" t="s">
        <v>1129</v>
      </c>
      <c r="E285" t="s">
        <v>375</v>
      </c>
      <c r="I285">
        <v>119.54152367879203</v>
      </c>
      <c r="K285" t="s">
        <v>1580</v>
      </c>
      <c r="L285" t="s">
        <v>848</v>
      </c>
      <c r="M285" t="s">
        <v>448</v>
      </c>
      <c r="N285" s="11">
        <v>302150711</v>
      </c>
      <c r="O285" s="16">
        <v>43543</v>
      </c>
      <c r="P285" t="s">
        <v>81</v>
      </c>
      <c r="Q285" s="2">
        <v>20692</v>
      </c>
      <c r="R285" s="3">
        <f>(Tabla1[[#This Row],[FECHA_TRASPLANTE]]-Tabla1[[#This Row],[FECHA_NAC]])/365.25</f>
        <v>62.562628336755644</v>
      </c>
      <c r="T285"/>
      <c r="W285" t="s">
        <v>82</v>
      </c>
      <c r="X285" t="s">
        <v>110</v>
      </c>
      <c r="Y285" t="s">
        <v>84</v>
      </c>
      <c r="Z285" t="s">
        <v>797</v>
      </c>
      <c r="AM285" t="s">
        <v>106</v>
      </c>
      <c r="AO285"/>
      <c r="AV285" s="2"/>
      <c r="AZ285"/>
      <c r="BJ285" s="2"/>
      <c r="BT285" s="2">
        <f>Tabla1[[#This Row],[FECHA_TRASPLANTE]]</f>
        <v>43543</v>
      </c>
      <c r="BU285">
        <f>IF(Tabla1[[#This Row],[FALLECIDO SI/NO]]="NO",0,1)</f>
        <v>0</v>
      </c>
      <c r="BV285" s="3">
        <f ca="1">IF(Tabla1[[#This Row],[FALLECIDO_COD]]=0,TODAY()-Tabla1[[#This Row],[FECHA_TRASPLANTE]],Tabla1[[#This Row],[FECHA DE DEFUNCIÓN]]-Tabla1[[#This Row],[FECHA_TRASPLANTE]])</f>
        <v>2332</v>
      </c>
      <c r="BW285" s="3">
        <f ca="1">IF(Tabla1[[#This Row],[FALLECIDO_COD]]=0,TODAY()-Tabla1[[#This Row],[FECHA_TRASPLANTE]],Tabla1[[#This Row],[FECHA DE DEFUNCIÓN]]-Tabla1[[#This Row],[FECHA_TRASPLANTE]])/30.4375</f>
        <v>76.616016427104725</v>
      </c>
      <c r="BX285" s="3">
        <f ca="1">IF(Tabla1[[#This Row],[FALLECIDO_COD]]=0,TODAY()-Tabla1[[#This Row],[FECHA_TRASPLANTE]],Tabla1[[#This Row],[FECHA DE DEFUNCIÓN]]-Tabla1[[#This Row],[FECHA_TRASPLANTE]])/365.25</f>
        <v>6.3846680355920604</v>
      </c>
      <c r="BY285"/>
      <c r="BZ285"/>
    </row>
    <row r="286" spans="1:78" hidden="1" x14ac:dyDescent="0.35">
      <c r="A286" t="s">
        <v>377</v>
      </c>
      <c r="D286" t="s">
        <v>1129</v>
      </c>
      <c r="E286" t="s">
        <v>375</v>
      </c>
      <c r="I286">
        <v>119.5442690459849</v>
      </c>
      <c r="J286" t="s">
        <v>1581</v>
      </c>
      <c r="K286" t="s">
        <v>873</v>
      </c>
      <c r="L286" t="s">
        <v>1582</v>
      </c>
      <c r="M286" t="s">
        <v>108</v>
      </c>
      <c r="N286" s="11">
        <v>111590534</v>
      </c>
      <c r="O286" s="2">
        <v>43544</v>
      </c>
      <c r="P286" t="s">
        <v>81</v>
      </c>
      <c r="Q286" s="2">
        <v>30319</v>
      </c>
      <c r="R286" s="3">
        <f>(Tabla1[[#This Row],[FECHA_TRASPLANTE]]-Tabla1[[#This Row],[FECHA_NAC]])/365.25</f>
        <v>36.208076659822041</v>
      </c>
      <c r="T286"/>
      <c r="W286" t="s">
        <v>82</v>
      </c>
      <c r="X286" t="s">
        <v>91</v>
      </c>
      <c r="Y286" t="s">
        <v>108</v>
      </c>
      <c r="Z286" t="s">
        <v>1583</v>
      </c>
      <c r="AM286" t="s">
        <v>106</v>
      </c>
      <c r="AO286"/>
      <c r="AV286" s="2"/>
      <c r="AZ286"/>
      <c r="BT286" s="2">
        <f>Tabla1[[#This Row],[FECHA_TRASPLANTE]]</f>
        <v>43544</v>
      </c>
      <c r="BU286">
        <f>IF(Tabla1[[#This Row],[FALLECIDO SI/NO]]="NO",0,1)</f>
        <v>0</v>
      </c>
      <c r="BV286" s="3">
        <f ca="1">IF(Tabla1[[#This Row],[FALLECIDO_COD]]=0,TODAY()-Tabla1[[#This Row],[FECHA_TRASPLANTE]],Tabla1[[#This Row],[FECHA DE DEFUNCIÓN]]-Tabla1[[#This Row],[FECHA_TRASPLANTE]])</f>
        <v>2331</v>
      </c>
      <c r="BW286" s="3">
        <f ca="1">IF(Tabla1[[#This Row],[FALLECIDO_COD]]=0,TODAY()-Tabla1[[#This Row],[FECHA_TRASPLANTE]],Tabla1[[#This Row],[FECHA DE DEFUNCIÓN]]-Tabla1[[#This Row],[FECHA_TRASPLANTE]])/30.4375</f>
        <v>76.583162217659137</v>
      </c>
      <c r="BX286" s="3">
        <f ca="1">IF(Tabla1[[#This Row],[FALLECIDO_COD]]=0,TODAY()-Tabla1[[#This Row],[FECHA_TRASPLANTE]],Tabla1[[#This Row],[FECHA DE DEFUNCIÓN]]-Tabla1[[#This Row],[FECHA_TRASPLANTE]])/365.25</f>
        <v>6.3819301848049284</v>
      </c>
      <c r="BY286"/>
      <c r="BZ286"/>
    </row>
    <row r="287" spans="1:78" hidden="1" x14ac:dyDescent="0.35">
      <c r="A287" t="s">
        <v>377</v>
      </c>
      <c r="D287" t="s">
        <v>1129</v>
      </c>
      <c r="E287" t="s">
        <v>77</v>
      </c>
      <c r="I287">
        <v>119.55525051475635</v>
      </c>
      <c r="K287" t="s">
        <v>1584</v>
      </c>
      <c r="L287" t="s">
        <v>269</v>
      </c>
      <c r="M287" t="s">
        <v>408</v>
      </c>
      <c r="N287" s="11">
        <v>205610342</v>
      </c>
      <c r="O287" s="2">
        <v>43548</v>
      </c>
      <c r="P287" t="s">
        <v>81</v>
      </c>
      <c r="Q287" s="2">
        <v>29728</v>
      </c>
      <c r="R287" s="3">
        <f>(Tabla1[[#This Row],[FECHA_TRASPLANTE]]-Tabla1[[#This Row],[FECHA_NAC]])/365.25</f>
        <v>37.837097878165643</v>
      </c>
      <c r="T287"/>
      <c r="W287" t="s">
        <v>82</v>
      </c>
      <c r="X287" t="s">
        <v>115</v>
      </c>
      <c r="Y287" t="s">
        <v>84</v>
      </c>
      <c r="Z287" t="s">
        <v>115</v>
      </c>
      <c r="AM287" t="s">
        <v>106</v>
      </c>
      <c r="AO287"/>
      <c r="AV287" s="2"/>
      <c r="AZ287"/>
      <c r="BT287" s="2">
        <f>Tabla1[[#This Row],[FECHA_TRASPLANTE]]</f>
        <v>43548</v>
      </c>
      <c r="BU287">
        <f>IF(Tabla1[[#This Row],[FALLECIDO SI/NO]]="NO",0,1)</f>
        <v>0</v>
      </c>
      <c r="BV287" s="3">
        <f ca="1">IF(Tabla1[[#This Row],[FALLECIDO_COD]]=0,TODAY()-Tabla1[[#This Row],[FECHA_TRASPLANTE]],Tabla1[[#This Row],[FECHA DE DEFUNCIÓN]]-Tabla1[[#This Row],[FECHA_TRASPLANTE]])</f>
        <v>2327</v>
      </c>
      <c r="BW287" s="3">
        <f ca="1">IF(Tabla1[[#This Row],[FALLECIDO_COD]]=0,TODAY()-Tabla1[[#This Row],[FECHA_TRASPLANTE]],Tabla1[[#This Row],[FECHA DE DEFUNCIÓN]]-Tabla1[[#This Row],[FECHA_TRASPLANTE]])/30.4375</f>
        <v>76.451745379876797</v>
      </c>
      <c r="BX287" s="3">
        <f ca="1">IF(Tabla1[[#This Row],[FALLECIDO_COD]]=0,TODAY()-Tabla1[[#This Row],[FECHA_TRASPLANTE]],Tabla1[[#This Row],[FECHA DE DEFUNCIÓN]]-Tabla1[[#This Row],[FECHA_TRASPLANTE]])/365.25</f>
        <v>6.3709787816564001</v>
      </c>
      <c r="BY287"/>
      <c r="BZ287"/>
    </row>
    <row r="288" spans="1:78" hidden="1" x14ac:dyDescent="0.35">
      <c r="A288" t="s">
        <v>1126</v>
      </c>
      <c r="D288" t="s">
        <v>1333</v>
      </c>
      <c r="E288" t="s">
        <v>77</v>
      </c>
      <c r="F288" t="s">
        <v>106</v>
      </c>
      <c r="I288">
        <v>119.23066392881589</v>
      </c>
      <c r="J288" t="s">
        <v>1548</v>
      </c>
      <c r="N288" s="11">
        <v>107470515</v>
      </c>
      <c r="O288" s="2">
        <v>43549</v>
      </c>
      <c r="P288" t="s">
        <v>1549</v>
      </c>
      <c r="Q288" s="2">
        <v>25342</v>
      </c>
      <c r="R288" s="3">
        <f>(Tabla1[[#This Row],[FECHA_TRASPLANTE]]-Tabla1[[#This Row],[FECHA_NAC]])/365.25</f>
        <v>49.848049281314168</v>
      </c>
      <c r="S288" t="s">
        <v>200</v>
      </c>
      <c r="U288" t="s">
        <v>1585</v>
      </c>
      <c r="V288" t="s">
        <v>1551</v>
      </c>
      <c r="W288" t="s">
        <v>82</v>
      </c>
      <c r="X288" t="s">
        <v>110</v>
      </c>
      <c r="Y288" t="s">
        <v>196</v>
      </c>
      <c r="Z288" t="s">
        <v>797</v>
      </c>
      <c r="AF288" t="s">
        <v>770</v>
      </c>
      <c r="AG288" t="s">
        <v>770</v>
      </c>
      <c r="AH288" t="s">
        <v>770</v>
      </c>
      <c r="AI288" t="s">
        <v>770</v>
      </c>
      <c r="AM288" t="s">
        <v>86</v>
      </c>
      <c r="AN288" s="2">
        <v>43549</v>
      </c>
      <c r="AO288" s="2" t="s">
        <v>1586</v>
      </c>
      <c r="AP288" t="s">
        <v>106</v>
      </c>
      <c r="AQ288" t="s">
        <v>772</v>
      </c>
      <c r="AR288" s="2"/>
      <c r="AS288" s="2"/>
      <c r="AV288" s="2"/>
      <c r="AY288" t="s">
        <v>106</v>
      </c>
      <c r="AZ288"/>
      <c r="BA288" t="s">
        <v>1552</v>
      </c>
      <c r="BB288" t="s">
        <v>762</v>
      </c>
      <c r="BD288" t="s">
        <v>106</v>
      </c>
      <c r="BI288" t="s">
        <v>106</v>
      </c>
      <c r="BL288" t="s">
        <v>106</v>
      </c>
      <c r="BT288" s="2">
        <f>Tabla1[[#This Row],[FECHA_TRASPLANTE]]</f>
        <v>43549</v>
      </c>
      <c r="BU288">
        <f>IF(Tabla1[[#This Row],[FALLECIDO SI/NO]]="NO",0,1)</f>
        <v>1</v>
      </c>
      <c r="BV288" s="3">
        <f ca="1">IF(Tabla1[[#This Row],[FALLECIDO_COD]]=0,TODAY()-Tabla1[[#This Row],[FECHA_TRASPLANTE]],Tabla1[[#This Row],[FECHA DE DEFUNCIÓN]]-Tabla1[[#This Row],[FECHA_TRASPLANTE]])</f>
        <v>0</v>
      </c>
      <c r="BW288" s="3">
        <f ca="1">IF(Tabla1[[#This Row],[FALLECIDO_COD]]=0,TODAY()-Tabla1[[#This Row],[FECHA_TRASPLANTE]],Tabla1[[#This Row],[FECHA DE DEFUNCIÓN]]-Tabla1[[#This Row],[FECHA_TRASPLANTE]])/30.4375</f>
        <v>0</v>
      </c>
      <c r="BX288" s="3">
        <f ca="1">IF(Tabla1[[#This Row],[FALLECIDO_COD]]=0,TODAY()-Tabla1[[#This Row],[FECHA_TRASPLANTE]],Tabla1[[#This Row],[FECHA DE DEFUNCIÓN]]-Tabla1[[#This Row],[FECHA_TRASPLANTE]])/365.25</f>
        <v>0</v>
      </c>
      <c r="BY288"/>
      <c r="BZ288"/>
    </row>
    <row r="289" spans="1:78" hidden="1" x14ac:dyDescent="0.35">
      <c r="A289" t="s">
        <v>377</v>
      </c>
      <c r="D289" t="s">
        <v>1129</v>
      </c>
      <c r="E289" t="s">
        <v>375</v>
      </c>
      <c r="I289">
        <v>119.56348661633494</v>
      </c>
      <c r="J289" t="s">
        <v>1587</v>
      </c>
      <c r="K289" t="s">
        <v>1588</v>
      </c>
      <c r="L289" t="s">
        <v>1002</v>
      </c>
      <c r="M289" t="s">
        <v>103</v>
      </c>
      <c r="N289" s="11">
        <v>203320043</v>
      </c>
      <c r="O289" s="2">
        <v>43551</v>
      </c>
      <c r="P289" t="s">
        <v>81</v>
      </c>
      <c r="Q289" s="2">
        <v>21293</v>
      </c>
      <c r="R289" s="3">
        <f>(Tabla1[[#This Row],[FECHA_TRASPLANTE]]-Tabla1[[#This Row],[FECHA_NAC]])/365.25</f>
        <v>60.939082819986311</v>
      </c>
      <c r="T289"/>
      <c r="W289" t="s">
        <v>82</v>
      </c>
      <c r="X289" t="s">
        <v>822</v>
      </c>
      <c r="AM289" t="s">
        <v>86</v>
      </c>
      <c r="AN289" s="2">
        <v>43833</v>
      </c>
      <c r="AO289"/>
      <c r="AV289" s="2"/>
      <c r="AZ289"/>
      <c r="BT289" s="2">
        <f>Tabla1[[#This Row],[FECHA_TRASPLANTE]]</f>
        <v>43551</v>
      </c>
      <c r="BU289">
        <f>IF(Tabla1[[#This Row],[FALLECIDO SI/NO]]="NO",0,1)</f>
        <v>1</v>
      </c>
      <c r="BV289" s="3">
        <f ca="1">IF(Tabla1[[#This Row],[FALLECIDO_COD]]=0,TODAY()-Tabla1[[#This Row],[FECHA_TRASPLANTE]],Tabla1[[#This Row],[FECHA DE DEFUNCIÓN]]-Tabla1[[#This Row],[FECHA_TRASPLANTE]])</f>
        <v>282</v>
      </c>
      <c r="BW289" s="3">
        <f ca="1">IF(Tabla1[[#This Row],[FALLECIDO_COD]]=0,TODAY()-Tabla1[[#This Row],[FECHA_TRASPLANTE]],Tabla1[[#This Row],[FECHA DE DEFUNCIÓN]]-Tabla1[[#This Row],[FECHA_TRASPLANTE]])/30.4375</f>
        <v>9.2648870636550313</v>
      </c>
      <c r="BX289" s="3">
        <f ca="1">IF(Tabla1[[#This Row],[FALLECIDO_COD]]=0,TODAY()-Tabla1[[#This Row],[FECHA_TRASPLANTE]],Tabla1[[#This Row],[FECHA DE DEFUNCIÓN]]-Tabla1[[#This Row],[FECHA_TRASPLANTE]])/365.25</f>
        <v>0.77207392197125257</v>
      </c>
      <c r="BY289"/>
      <c r="BZ289"/>
    </row>
    <row r="290" spans="1:78" hidden="1" x14ac:dyDescent="0.35">
      <c r="A290" t="s">
        <v>1125</v>
      </c>
      <c r="D290" t="s">
        <v>1129</v>
      </c>
      <c r="E290" t="s">
        <v>375</v>
      </c>
      <c r="I290">
        <v>119.23613963039014</v>
      </c>
      <c r="J290" t="s">
        <v>1346</v>
      </c>
      <c r="K290" t="s">
        <v>1589</v>
      </c>
      <c r="L290" t="s">
        <v>547</v>
      </c>
      <c r="M290" t="s">
        <v>981</v>
      </c>
      <c r="N290" s="11">
        <v>107030409</v>
      </c>
      <c r="O290" s="2">
        <v>43551</v>
      </c>
      <c r="R290" s="3">
        <f>(Tabla1[[#This Row],[FECHA_TRASPLANTE]]-Tabla1[[#This Row],[FECHA_NAC]])/365.25</f>
        <v>119.23613963039014</v>
      </c>
      <c r="T290"/>
      <c r="U290" t="s">
        <v>1348</v>
      </c>
      <c r="W290" t="s">
        <v>82</v>
      </c>
      <c r="X290" t="s">
        <v>91</v>
      </c>
      <c r="Y290" t="s">
        <v>116</v>
      </c>
      <c r="Z290" t="s">
        <v>142</v>
      </c>
      <c r="AM290" t="s">
        <v>106</v>
      </c>
      <c r="AO290"/>
      <c r="AV290" s="2"/>
      <c r="AZ290"/>
      <c r="BT290" s="2">
        <f>Tabla1[[#This Row],[FECHA_TRASPLANTE]]</f>
        <v>43551</v>
      </c>
      <c r="BU290">
        <f>IF(Tabla1[[#This Row],[FALLECIDO SI/NO]]="NO",0,1)</f>
        <v>0</v>
      </c>
      <c r="BV290" s="3">
        <f ca="1">IF(Tabla1[[#This Row],[FALLECIDO_COD]]=0,TODAY()-Tabla1[[#This Row],[FECHA_TRASPLANTE]],Tabla1[[#This Row],[FECHA DE DEFUNCIÓN]]-Tabla1[[#This Row],[FECHA_TRASPLANTE]])</f>
        <v>2324</v>
      </c>
      <c r="BW290" s="3">
        <f ca="1">IF(Tabla1[[#This Row],[FALLECIDO_COD]]=0,TODAY()-Tabla1[[#This Row],[FECHA_TRASPLANTE]],Tabla1[[#This Row],[FECHA DE DEFUNCIÓN]]-Tabla1[[#This Row],[FECHA_TRASPLANTE]])/30.4375</f>
        <v>76.353182751540047</v>
      </c>
      <c r="BX290" s="3">
        <f ca="1">IF(Tabla1[[#This Row],[FALLECIDO_COD]]=0,TODAY()-Tabla1[[#This Row],[FECHA_TRASPLANTE]],Tabla1[[#This Row],[FECHA DE DEFUNCIÓN]]-Tabla1[[#This Row],[FECHA_TRASPLANTE]])/365.25</f>
        <v>6.362765229295003</v>
      </c>
      <c r="BY290"/>
      <c r="BZ290"/>
    </row>
    <row r="291" spans="1:78" hidden="1" x14ac:dyDescent="0.35">
      <c r="A291" t="s">
        <v>75</v>
      </c>
      <c r="D291" t="s">
        <v>1129</v>
      </c>
      <c r="E291" t="s">
        <v>77</v>
      </c>
      <c r="I291">
        <v>119.58544955387784</v>
      </c>
      <c r="K291" t="s">
        <v>1590</v>
      </c>
      <c r="L291" t="s">
        <v>171</v>
      </c>
      <c r="M291" t="s">
        <v>482</v>
      </c>
      <c r="N291" s="11">
        <v>703080322</v>
      </c>
      <c r="O291" s="16">
        <v>43559</v>
      </c>
      <c r="P291" t="s">
        <v>90</v>
      </c>
      <c r="Q291" s="2">
        <v>38125</v>
      </c>
      <c r="R291" s="3">
        <f>(Tabla1[[#This Row],[FECHA_TRASPLANTE]]-Tabla1[[#This Row],[FECHA_NAC]])/365.25</f>
        <v>14.877481177275838</v>
      </c>
      <c r="T291"/>
      <c r="W291" t="s">
        <v>82</v>
      </c>
      <c r="AM291" t="s">
        <v>106</v>
      </c>
      <c r="AO291"/>
      <c r="AV291" s="2"/>
      <c r="AZ291"/>
      <c r="BJ291" s="2"/>
      <c r="BT291" s="2">
        <f>Tabla1[[#This Row],[FECHA_TRASPLANTE]]</f>
        <v>43559</v>
      </c>
      <c r="BU291">
        <f>IF(Tabla1[[#This Row],[FALLECIDO SI/NO]]="NO",0,1)</f>
        <v>0</v>
      </c>
      <c r="BV291" s="3">
        <f ca="1">IF(Tabla1[[#This Row],[FALLECIDO_COD]]=0,TODAY()-Tabla1[[#This Row],[FECHA_TRASPLANTE]],Tabla1[[#This Row],[FECHA DE DEFUNCIÓN]]-Tabla1[[#This Row],[FECHA_TRASPLANTE]])</f>
        <v>2316</v>
      </c>
      <c r="BW291" s="3">
        <f ca="1">IF(Tabla1[[#This Row],[FALLECIDO_COD]]=0,TODAY()-Tabla1[[#This Row],[FECHA_TRASPLANTE]],Tabla1[[#This Row],[FECHA DE DEFUNCIÓN]]-Tabla1[[#This Row],[FECHA_TRASPLANTE]])/30.4375</f>
        <v>76.090349075975354</v>
      </c>
      <c r="BX291" s="3">
        <f ca="1">IF(Tabla1[[#This Row],[FALLECIDO_COD]]=0,TODAY()-Tabla1[[#This Row],[FECHA_TRASPLANTE]],Tabla1[[#This Row],[FECHA DE DEFUNCIÓN]]-Tabla1[[#This Row],[FECHA_TRASPLANTE]])/365.25</f>
        <v>6.3408624229979464</v>
      </c>
      <c r="BY291"/>
      <c r="BZ291"/>
    </row>
    <row r="292" spans="1:78" hidden="1" x14ac:dyDescent="0.35">
      <c r="A292" t="s">
        <v>377</v>
      </c>
      <c r="D292" t="s">
        <v>1129</v>
      </c>
      <c r="E292" t="s">
        <v>77</v>
      </c>
      <c r="I292">
        <v>119.59917638984214</v>
      </c>
      <c r="K292" t="s">
        <v>1326</v>
      </c>
      <c r="L292" t="s">
        <v>155</v>
      </c>
      <c r="M292" t="s">
        <v>918</v>
      </c>
      <c r="N292" s="11">
        <v>501990917</v>
      </c>
      <c r="O292" s="2">
        <v>43564</v>
      </c>
      <c r="P292" t="s">
        <v>81</v>
      </c>
      <c r="Q292" s="2">
        <v>22769</v>
      </c>
      <c r="R292" s="3">
        <f>(Tabla1[[#This Row],[FECHA_TRASPLANTE]]-Tabla1[[#This Row],[FECHA_NAC]])/365.25</f>
        <v>56.933607118412048</v>
      </c>
      <c r="T292"/>
      <c r="W292" t="s">
        <v>82</v>
      </c>
      <c r="X292" t="s">
        <v>115</v>
      </c>
      <c r="Y292" t="s">
        <v>197</v>
      </c>
      <c r="Z292" t="s">
        <v>621</v>
      </c>
      <c r="AM292" t="s">
        <v>106</v>
      </c>
      <c r="AO292"/>
      <c r="AV292" s="2"/>
      <c r="AZ292"/>
      <c r="BT292" s="2">
        <f>Tabla1[[#This Row],[FECHA_TRASPLANTE]]</f>
        <v>43564</v>
      </c>
      <c r="BU292">
        <f>IF(Tabla1[[#This Row],[FALLECIDO SI/NO]]="NO",0,1)</f>
        <v>0</v>
      </c>
      <c r="BV292" s="3">
        <f ca="1">IF(Tabla1[[#This Row],[FALLECIDO_COD]]=0,TODAY()-Tabla1[[#This Row],[FECHA_TRASPLANTE]],Tabla1[[#This Row],[FECHA DE DEFUNCIÓN]]-Tabla1[[#This Row],[FECHA_TRASPLANTE]])</f>
        <v>2311</v>
      </c>
      <c r="BW292" s="3">
        <f ca="1">IF(Tabla1[[#This Row],[FALLECIDO_COD]]=0,TODAY()-Tabla1[[#This Row],[FECHA_TRASPLANTE]],Tabla1[[#This Row],[FECHA DE DEFUNCIÓN]]-Tabla1[[#This Row],[FECHA_TRASPLANTE]])/30.4375</f>
        <v>75.926078028747426</v>
      </c>
      <c r="BX292" s="3">
        <f ca="1">IF(Tabla1[[#This Row],[FALLECIDO_COD]]=0,TODAY()-Tabla1[[#This Row],[FECHA_TRASPLANTE]],Tabla1[[#This Row],[FECHA DE DEFUNCIÓN]]-Tabla1[[#This Row],[FECHA_TRASPLANTE]])/365.25</f>
        <v>6.3271731690622861</v>
      </c>
      <c r="BY292"/>
      <c r="BZ292"/>
    </row>
    <row r="293" spans="1:78" hidden="1" x14ac:dyDescent="0.35">
      <c r="A293" t="s">
        <v>1125</v>
      </c>
      <c r="D293" t="s">
        <v>1129</v>
      </c>
      <c r="E293" t="s">
        <v>375</v>
      </c>
      <c r="I293">
        <v>119.27446954141</v>
      </c>
      <c r="J293" t="s">
        <v>1346</v>
      </c>
      <c r="K293" t="s">
        <v>1591</v>
      </c>
      <c r="L293" t="s">
        <v>1592</v>
      </c>
      <c r="M293" t="s">
        <v>1593</v>
      </c>
      <c r="N293" s="11">
        <v>2830101115</v>
      </c>
      <c r="O293" s="2">
        <v>43565</v>
      </c>
      <c r="R293" s="3">
        <f>(Tabla1[[#This Row],[FECHA_TRASPLANTE]]-Tabla1[[#This Row],[FECHA_NAC]])/365.25</f>
        <v>119.27446954141</v>
      </c>
      <c r="T293"/>
      <c r="U293" t="s">
        <v>1348</v>
      </c>
      <c r="W293" t="s">
        <v>146</v>
      </c>
      <c r="AM293" t="s">
        <v>106</v>
      </c>
      <c r="AO293"/>
      <c r="AV293" s="2"/>
      <c r="AZ293"/>
      <c r="BT293" s="2">
        <f>Tabla1[[#This Row],[FECHA_TRASPLANTE]]</f>
        <v>43565</v>
      </c>
      <c r="BU293">
        <f>IF(Tabla1[[#This Row],[FALLECIDO SI/NO]]="NO",0,1)</f>
        <v>0</v>
      </c>
      <c r="BV293" s="3">
        <f ca="1">IF(Tabla1[[#This Row],[FALLECIDO_COD]]=0,TODAY()-Tabla1[[#This Row],[FECHA_TRASPLANTE]],Tabla1[[#This Row],[FECHA DE DEFUNCIÓN]]-Tabla1[[#This Row],[FECHA_TRASPLANTE]])</f>
        <v>2310</v>
      </c>
      <c r="BW293" s="3">
        <f ca="1">IF(Tabla1[[#This Row],[FALLECIDO_COD]]=0,TODAY()-Tabla1[[#This Row],[FECHA_TRASPLANTE]],Tabla1[[#This Row],[FECHA DE DEFUNCIÓN]]-Tabla1[[#This Row],[FECHA_TRASPLANTE]])/30.4375</f>
        <v>75.893223819301852</v>
      </c>
      <c r="BX293" s="3">
        <f ca="1">IF(Tabla1[[#This Row],[FALLECIDO_COD]]=0,TODAY()-Tabla1[[#This Row],[FECHA_TRASPLANTE]],Tabla1[[#This Row],[FECHA DE DEFUNCIÓN]]-Tabla1[[#This Row],[FECHA_TRASPLANTE]])/365.25</f>
        <v>6.324435318275154</v>
      </c>
      <c r="BY293"/>
      <c r="BZ293"/>
    </row>
    <row r="294" spans="1:78" hidden="1" x14ac:dyDescent="0.35">
      <c r="A294" t="s">
        <v>75</v>
      </c>
      <c r="D294" t="s">
        <v>1129</v>
      </c>
      <c r="E294" t="s">
        <v>77</v>
      </c>
      <c r="I294">
        <v>119.60466712422786</v>
      </c>
      <c r="K294" t="s">
        <v>1594</v>
      </c>
      <c r="L294" t="s">
        <v>109</v>
      </c>
      <c r="M294" t="s">
        <v>289</v>
      </c>
      <c r="N294" s="11">
        <v>115600581</v>
      </c>
      <c r="O294" s="16">
        <v>43566</v>
      </c>
      <c r="P294" t="s">
        <v>81</v>
      </c>
      <c r="Q294" s="2">
        <v>34348</v>
      </c>
      <c r="R294" s="3">
        <f>(Tabla1[[#This Row],[FECHA_TRASPLANTE]]-Tabla1[[#This Row],[FECHA_NAC]])/365.25</f>
        <v>25.237508555783709</v>
      </c>
      <c r="T294"/>
      <c r="W294" t="s">
        <v>82</v>
      </c>
      <c r="AM294" t="s">
        <v>106</v>
      </c>
      <c r="AO294"/>
      <c r="AV294" s="2"/>
      <c r="AZ294"/>
      <c r="BJ294" s="2"/>
      <c r="BT294" s="2">
        <f>Tabla1[[#This Row],[FECHA_TRASPLANTE]]</f>
        <v>43566</v>
      </c>
      <c r="BU294">
        <f>IF(Tabla1[[#This Row],[FALLECIDO SI/NO]]="NO",0,1)</f>
        <v>0</v>
      </c>
      <c r="BV294" s="3">
        <f ca="1">IF(Tabla1[[#This Row],[FALLECIDO_COD]]=0,TODAY()-Tabla1[[#This Row],[FECHA_TRASPLANTE]],Tabla1[[#This Row],[FECHA DE DEFUNCIÓN]]-Tabla1[[#This Row],[FECHA_TRASPLANTE]])</f>
        <v>2309</v>
      </c>
      <c r="BW294" s="3">
        <f ca="1">IF(Tabla1[[#This Row],[FALLECIDO_COD]]=0,TODAY()-Tabla1[[#This Row],[FECHA_TRASPLANTE]],Tabla1[[#This Row],[FECHA DE DEFUNCIÓN]]-Tabla1[[#This Row],[FECHA_TRASPLANTE]])/30.4375</f>
        <v>75.860369609856264</v>
      </c>
      <c r="BX294" s="3">
        <f ca="1">IF(Tabla1[[#This Row],[FALLECIDO_COD]]=0,TODAY()-Tabla1[[#This Row],[FECHA_TRASPLANTE]],Tabla1[[#This Row],[FECHA DE DEFUNCIÓN]]-Tabla1[[#This Row],[FECHA_TRASPLANTE]])/365.25</f>
        <v>6.321697467488022</v>
      </c>
      <c r="BY294"/>
      <c r="BZ294"/>
    </row>
    <row r="295" spans="1:78" hidden="1" x14ac:dyDescent="0.35">
      <c r="A295" t="s">
        <v>376</v>
      </c>
      <c r="B295" t="s">
        <v>376</v>
      </c>
      <c r="D295" t="s">
        <v>1129</v>
      </c>
      <c r="E295" t="s">
        <v>77</v>
      </c>
      <c r="I295">
        <v>119.60466712422786</v>
      </c>
      <c r="K295" t="s">
        <v>1595</v>
      </c>
      <c r="L295" t="s">
        <v>156</v>
      </c>
      <c r="M295" t="s">
        <v>203</v>
      </c>
      <c r="N295" s="11">
        <v>119530039</v>
      </c>
      <c r="O295" s="2">
        <v>43566</v>
      </c>
      <c r="P295" t="s">
        <v>81</v>
      </c>
      <c r="Q295" s="2">
        <v>38707</v>
      </c>
      <c r="R295" s="3">
        <f>(Tabla1[[#This Row],[FECHA_TRASPLANTE]]-Tabla1[[#This Row],[FECHA_NAC]])/365.25</f>
        <v>13.30321697467488</v>
      </c>
      <c r="T295"/>
      <c r="W295" t="s">
        <v>82</v>
      </c>
      <c r="AM295" t="s">
        <v>106</v>
      </c>
      <c r="AO295"/>
      <c r="AV295" s="2"/>
      <c r="AZ295"/>
      <c r="BT295" s="2">
        <f>Tabla1[[#This Row],[FECHA_TRASPLANTE]]</f>
        <v>43566</v>
      </c>
      <c r="BU295">
        <f>IF(Tabla1[[#This Row],[FALLECIDO SI/NO]]="NO",0,1)</f>
        <v>0</v>
      </c>
      <c r="BV295" s="3">
        <f ca="1">IF(Tabla1[[#This Row],[FALLECIDO_COD]]=0,TODAY()-Tabla1[[#This Row],[FECHA_TRASPLANTE]],Tabla1[[#This Row],[FECHA DE DEFUNCIÓN]]-Tabla1[[#This Row],[FECHA_TRASPLANTE]])</f>
        <v>2309</v>
      </c>
      <c r="BW295" s="3">
        <f ca="1">IF(Tabla1[[#This Row],[FALLECIDO_COD]]=0,TODAY()-Tabla1[[#This Row],[FECHA_TRASPLANTE]],Tabla1[[#This Row],[FECHA DE DEFUNCIÓN]]-Tabla1[[#This Row],[FECHA_TRASPLANTE]])/30.4375</f>
        <v>75.860369609856264</v>
      </c>
      <c r="BX295" s="3">
        <f ca="1">IF(Tabla1[[#This Row],[FALLECIDO_COD]]=0,TODAY()-Tabla1[[#This Row],[FECHA_TRASPLANTE]],Tabla1[[#This Row],[FECHA DE DEFUNCIÓN]]-Tabla1[[#This Row],[FECHA_TRASPLANTE]])/365.25</f>
        <v>6.321697467488022</v>
      </c>
      <c r="BY295"/>
      <c r="BZ295"/>
    </row>
    <row r="296" spans="1:78" hidden="1" x14ac:dyDescent="0.35">
      <c r="A296" t="s">
        <v>75</v>
      </c>
      <c r="D296" t="s">
        <v>1129</v>
      </c>
      <c r="E296" t="s">
        <v>77</v>
      </c>
      <c r="I296">
        <v>119.63761153054222</v>
      </c>
      <c r="K296" t="s">
        <v>492</v>
      </c>
      <c r="L296" t="s">
        <v>1596</v>
      </c>
      <c r="M296" t="s">
        <v>600</v>
      </c>
      <c r="N296" s="11">
        <v>17912964</v>
      </c>
      <c r="O296" s="16">
        <v>43578</v>
      </c>
      <c r="P296" t="s">
        <v>81</v>
      </c>
      <c r="Q296" s="2">
        <v>29204</v>
      </c>
      <c r="R296" s="3">
        <f>(Tabla1[[#This Row],[FECHA_TRASPLANTE]]-Tabla1[[#This Row],[FECHA_NAC]])/365.25</f>
        <v>39.353867214236821</v>
      </c>
      <c r="T296"/>
      <c r="W296" t="s">
        <v>146</v>
      </c>
      <c r="X296" t="s">
        <v>120</v>
      </c>
      <c r="Y296" t="s">
        <v>755</v>
      </c>
      <c r="Z296" t="s">
        <v>756</v>
      </c>
      <c r="AM296" t="s">
        <v>106</v>
      </c>
      <c r="AO296"/>
      <c r="AV296" s="2"/>
      <c r="AZ296"/>
      <c r="BJ296" s="2"/>
      <c r="BT296" s="2">
        <f>Tabla1[[#This Row],[FECHA_TRASPLANTE]]</f>
        <v>43578</v>
      </c>
      <c r="BU296">
        <f>IF(Tabla1[[#This Row],[FALLECIDO SI/NO]]="NO",0,1)</f>
        <v>0</v>
      </c>
      <c r="BV296" s="3">
        <f ca="1">IF(Tabla1[[#This Row],[FALLECIDO_COD]]=0,TODAY()-Tabla1[[#This Row],[FECHA_TRASPLANTE]],Tabla1[[#This Row],[FECHA DE DEFUNCIÓN]]-Tabla1[[#This Row],[FECHA_TRASPLANTE]])</f>
        <v>2297</v>
      </c>
      <c r="BW296" s="3">
        <f ca="1">IF(Tabla1[[#This Row],[FALLECIDO_COD]]=0,TODAY()-Tabla1[[#This Row],[FECHA_TRASPLANTE]],Tabla1[[#This Row],[FECHA DE DEFUNCIÓN]]-Tabla1[[#This Row],[FECHA_TRASPLANTE]])/30.4375</f>
        <v>75.466119096509246</v>
      </c>
      <c r="BX296" s="3">
        <f ca="1">IF(Tabla1[[#This Row],[FALLECIDO_COD]]=0,TODAY()-Tabla1[[#This Row],[FECHA_TRASPLANTE]],Tabla1[[#This Row],[FECHA DE DEFUNCIÓN]]-Tabla1[[#This Row],[FECHA_TRASPLANTE]])/365.25</f>
        <v>6.2888432580424363</v>
      </c>
      <c r="BY296"/>
      <c r="BZ296"/>
    </row>
    <row r="297" spans="1:78" hidden="1" x14ac:dyDescent="0.35">
      <c r="A297" t="s">
        <v>1385</v>
      </c>
      <c r="B297" t="s">
        <v>75</v>
      </c>
      <c r="D297" t="s">
        <v>1129</v>
      </c>
      <c r="E297" t="s">
        <v>375</v>
      </c>
      <c r="I297">
        <v>119.64584763212079</v>
      </c>
      <c r="K297" t="s">
        <v>1597</v>
      </c>
      <c r="L297" t="s">
        <v>140</v>
      </c>
      <c r="M297" t="s">
        <v>605</v>
      </c>
      <c r="N297" s="11">
        <v>107130532</v>
      </c>
      <c r="O297" s="2">
        <v>43581</v>
      </c>
      <c r="P297" t="s">
        <v>81</v>
      </c>
      <c r="Q297" s="2">
        <v>24813</v>
      </c>
      <c r="R297" s="3">
        <f>(Tabla1[[#This Row],[FECHA_TRASPLANTE]]-Tabla1[[#This Row],[FECHA_NAC]])/365.25</f>
        <v>51.383983572895275</v>
      </c>
      <c r="T297"/>
      <c r="W297" t="s">
        <v>82</v>
      </c>
      <c r="X297" t="s">
        <v>115</v>
      </c>
      <c r="Y297" t="s">
        <v>365</v>
      </c>
      <c r="Z297" t="s">
        <v>386</v>
      </c>
      <c r="AM297" t="s">
        <v>106</v>
      </c>
      <c r="AO297"/>
      <c r="AV297" s="2"/>
      <c r="AZ297"/>
      <c r="BT297" s="2">
        <f>Tabla1[[#This Row],[FECHA_TRASPLANTE]]</f>
        <v>43581</v>
      </c>
      <c r="BU297">
        <f>IF(Tabla1[[#This Row],[FALLECIDO SI/NO]]="NO",0,1)</f>
        <v>0</v>
      </c>
      <c r="BV297" s="3">
        <f ca="1">IF(Tabla1[[#This Row],[FALLECIDO_COD]]=0,TODAY()-Tabla1[[#This Row],[FECHA_TRASPLANTE]],Tabla1[[#This Row],[FECHA DE DEFUNCIÓN]]-Tabla1[[#This Row],[FECHA_TRASPLANTE]])</f>
        <v>2294</v>
      </c>
      <c r="BW297" s="3">
        <f ca="1">IF(Tabla1[[#This Row],[FALLECIDO_COD]]=0,TODAY()-Tabla1[[#This Row],[FECHA_TRASPLANTE]],Tabla1[[#This Row],[FECHA DE DEFUNCIÓN]]-Tabla1[[#This Row],[FECHA_TRASPLANTE]])/30.4375</f>
        <v>75.367556468172481</v>
      </c>
      <c r="BX297" s="3">
        <f ca="1">IF(Tabla1[[#This Row],[FALLECIDO_COD]]=0,TODAY()-Tabla1[[#This Row],[FECHA_TRASPLANTE]],Tabla1[[#This Row],[FECHA DE DEFUNCIÓN]]-Tabla1[[#This Row],[FECHA_TRASPLANTE]])/365.25</f>
        <v>6.2806297056810401</v>
      </c>
      <c r="BY297"/>
      <c r="BZ297"/>
    </row>
    <row r="298" spans="1:78" hidden="1" x14ac:dyDescent="0.35">
      <c r="A298" t="s">
        <v>377</v>
      </c>
      <c r="D298" t="s">
        <v>1129</v>
      </c>
      <c r="E298" t="s">
        <v>77</v>
      </c>
      <c r="I298">
        <v>119.65957446808511</v>
      </c>
      <c r="K298" t="s">
        <v>1598</v>
      </c>
      <c r="L298" t="s">
        <v>1599</v>
      </c>
      <c r="M298" t="s">
        <v>228</v>
      </c>
      <c r="N298" s="11">
        <v>900650835</v>
      </c>
      <c r="O298" s="2">
        <v>43586</v>
      </c>
      <c r="P298" t="s">
        <v>90</v>
      </c>
      <c r="Q298" s="2">
        <v>22758</v>
      </c>
      <c r="R298" s="3">
        <f>(Tabla1[[#This Row],[FECHA_TRASPLANTE]]-Tabla1[[#This Row],[FECHA_NAC]])/365.25</f>
        <v>57.023956194387409</v>
      </c>
      <c r="T298"/>
      <c r="W298" t="s">
        <v>82</v>
      </c>
      <c r="X298" t="s">
        <v>91</v>
      </c>
      <c r="Y298" t="s">
        <v>116</v>
      </c>
      <c r="Z298" t="s">
        <v>1600</v>
      </c>
      <c r="AM298" t="s">
        <v>106</v>
      </c>
      <c r="AO298"/>
      <c r="AV298" s="2"/>
      <c r="AZ298"/>
      <c r="BT298" s="2">
        <f>Tabla1[[#This Row],[FECHA_TRASPLANTE]]</f>
        <v>43586</v>
      </c>
      <c r="BU298">
        <f>IF(Tabla1[[#This Row],[FALLECIDO SI/NO]]="NO",0,1)</f>
        <v>0</v>
      </c>
      <c r="BV298" s="3">
        <f ca="1">IF(Tabla1[[#This Row],[FALLECIDO_COD]]=0,TODAY()-Tabla1[[#This Row],[FECHA_TRASPLANTE]],Tabla1[[#This Row],[FECHA DE DEFUNCIÓN]]-Tabla1[[#This Row],[FECHA_TRASPLANTE]])</f>
        <v>2289</v>
      </c>
      <c r="BW298" s="3">
        <f ca="1">IF(Tabla1[[#This Row],[FALLECIDO_COD]]=0,TODAY()-Tabla1[[#This Row],[FECHA_TRASPLANTE]],Tabla1[[#This Row],[FECHA DE DEFUNCIÓN]]-Tabla1[[#This Row],[FECHA_TRASPLANTE]])/30.4375</f>
        <v>75.203285420944553</v>
      </c>
      <c r="BX298" s="3">
        <f ca="1">IF(Tabla1[[#This Row],[FALLECIDO_COD]]=0,TODAY()-Tabla1[[#This Row],[FECHA_TRASPLANTE]],Tabla1[[#This Row],[FECHA DE DEFUNCIÓN]]-Tabla1[[#This Row],[FECHA_TRASPLANTE]])/365.25</f>
        <v>6.2669404517453797</v>
      </c>
      <c r="BY298"/>
      <c r="BZ298"/>
    </row>
    <row r="299" spans="1:78" hidden="1" x14ac:dyDescent="0.35">
      <c r="A299" t="s">
        <v>377</v>
      </c>
      <c r="D299" t="s">
        <v>1129</v>
      </c>
      <c r="E299" t="s">
        <v>375</v>
      </c>
      <c r="I299">
        <v>119.69800960878517</v>
      </c>
      <c r="J299" t="s">
        <v>1601</v>
      </c>
      <c r="K299" t="s">
        <v>1602</v>
      </c>
      <c r="L299" t="s">
        <v>98</v>
      </c>
      <c r="M299" t="s">
        <v>561</v>
      </c>
      <c r="N299" s="11">
        <v>207430737</v>
      </c>
      <c r="O299" s="2">
        <v>43600</v>
      </c>
      <c r="P299" t="s">
        <v>90</v>
      </c>
      <c r="Q299" s="2">
        <v>34937</v>
      </c>
      <c r="R299" s="3">
        <f>(Tabla1[[#This Row],[FECHA_TRASPLANTE]]-Tabla1[[#This Row],[FECHA_NAC]])/365.25</f>
        <v>23.718001368925393</v>
      </c>
      <c r="T299"/>
      <c r="W299" t="s">
        <v>82</v>
      </c>
      <c r="X299" t="s">
        <v>1603</v>
      </c>
      <c r="AM299" t="s">
        <v>106</v>
      </c>
      <c r="AO299"/>
      <c r="AV299" s="2"/>
      <c r="AZ299"/>
      <c r="BT299" s="2">
        <f>Tabla1[[#This Row],[FECHA_TRASPLANTE]]</f>
        <v>43600</v>
      </c>
      <c r="BU299">
        <f>IF(Tabla1[[#This Row],[FALLECIDO SI/NO]]="NO",0,1)</f>
        <v>0</v>
      </c>
      <c r="BV299" s="3">
        <f ca="1">IF(Tabla1[[#This Row],[FALLECIDO_COD]]=0,TODAY()-Tabla1[[#This Row],[FECHA_TRASPLANTE]],Tabla1[[#This Row],[FECHA DE DEFUNCIÓN]]-Tabla1[[#This Row],[FECHA_TRASPLANTE]])</f>
        <v>2275</v>
      </c>
      <c r="BW299" s="3">
        <f ca="1">IF(Tabla1[[#This Row],[FALLECIDO_COD]]=0,TODAY()-Tabla1[[#This Row],[FECHA_TRASPLANTE]],Tabla1[[#This Row],[FECHA DE DEFUNCIÓN]]-Tabla1[[#This Row],[FECHA_TRASPLANTE]])/30.4375</f>
        <v>74.743326488706359</v>
      </c>
      <c r="BX299" s="3">
        <f ca="1">IF(Tabla1[[#This Row],[FALLECIDO_COD]]=0,TODAY()-Tabla1[[#This Row],[FECHA_TRASPLANTE]],Tabla1[[#This Row],[FECHA DE DEFUNCIÓN]]-Tabla1[[#This Row],[FECHA_TRASPLANTE]])/365.25</f>
        <v>6.2286105407255308</v>
      </c>
      <c r="BY299"/>
      <c r="BZ299"/>
    </row>
    <row r="300" spans="1:78" hidden="1" x14ac:dyDescent="0.35">
      <c r="A300" t="s">
        <v>377</v>
      </c>
      <c r="D300" t="s">
        <v>1129</v>
      </c>
      <c r="E300" t="s">
        <v>375</v>
      </c>
      <c r="I300">
        <v>119.71722717913521</v>
      </c>
      <c r="J300" t="s">
        <v>1604</v>
      </c>
      <c r="K300" t="s">
        <v>1605</v>
      </c>
      <c r="L300" t="s">
        <v>132</v>
      </c>
      <c r="M300" t="s">
        <v>1515</v>
      </c>
      <c r="N300" s="11">
        <v>111140148</v>
      </c>
      <c r="O300" s="2">
        <v>43607</v>
      </c>
      <c r="P300" t="s">
        <v>81</v>
      </c>
      <c r="Q300" s="2">
        <v>29820</v>
      </c>
      <c r="R300" s="3">
        <f>(Tabla1[[#This Row],[FECHA_TRASPLANTE]]-Tabla1[[#This Row],[FECHA_NAC]])/365.25</f>
        <v>37.746748802190282</v>
      </c>
      <c r="T300"/>
      <c r="W300" t="s">
        <v>82</v>
      </c>
      <c r="X300" t="s">
        <v>261</v>
      </c>
      <c r="Y300" t="s">
        <v>311</v>
      </c>
      <c r="Z300" t="s">
        <v>311</v>
      </c>
      <c r="AM300" t="s">
        <v>106</v>
      </c>
      <c r="AO300"/>
      <c r="AV300" s="2"/>
      <c r="AZ300"/>
      <c r="BT300" s="2">
        <f>Tabla1[[#This Row],[FECHA_TRASPLANTE]]</f>
        <v>43607</v>
      </c>
      <c r="BU300">
        <f>IF(Tabla1[[#This Row],[FALLECIDO SI/NO]]="NO",0,1)</f>
        <v>0</v>
      </c>
      <c r="BV300" s="3">
        <f ca="1">IF(Tabla1[[#This Row],[FALLECIDO_COD]]=0,TODAY()-Tabla1[[#This Row],[FECHA_TRASPLANTE]],Tabla1[[#This Row],[FECHA DE DEFUNCIÓN]]-Tabla1[[#This Row],[FECHA_TRASPLANTE]])</f>
        <v>2268</v>
      </c>
      <c r="BW300" s="3">
        <f ca="1">IF(Tabla1[[#This Row],[FALLECIDO_COD]]=0,TODAY()-Tabla1[[#This Row],[FECHA_TRASPLANTE]],Tabla1[[#This Row],[FECHA DE DEFUNCIÓN]]-Tabla1[[#This Row],[FECHA_TRASPLANTE]])/30.4375</f>
        <v>74.513347022587268</v>
      </c>
      <c r="BX300" s="3">
        <f ca="1">IF(Tabla1[[#This Row],[FALLECIDO_COD]]=0,TODAY()-Tabla1[[#This Row],[FECHA_TRASPLANTE]],Tabla1[[#This Row],[FECHA DE DEFUNCIÓN]]-Tabla1[[#This Row],[FECHA_TRASPLANTE]])/365.25</f>
        <v>6.2094455852156054</v>
      </c>
      <c r="BY300"/>
      <c r="BZ300"/>
    </row>
    <row r="301" spans="1:78" hidden="1" x14ac:dyDescent="0.35">
      <c r="A301" t="s">
        <v>377</v>
      </c>
      <c r="D301" t="s">
        <v>1129</v>
      </c>
      <c r="E301" t="s">
        <v>375</v>
      </c>
      <c r="I301">
        <v>119.72271791352094</v>
      </c>
      <c r="J301" t="s">
        <v>1606</v>
      </c>
      <c r="K301" t="s">
        <v>1607</v>
      </c>
      <c r="L301" t="s">
        <v>141</v>
      </c>
      <c r="M301" t="s">
        <v>1608</v>
      </c>
      <c r="N301" s="11">
        <v>106470403</v>
      </c>
      <c r="O301" s="2">
        <v>43609</v>
      </c>
      <c r="P301" t="s">
        <v>81</v>
      </c>
      <c r="Q301" s="2">
        <v>23750</v>
      </c>
      <c r="R301" s="3">
        <f>(Tabla1[[#This Row],[FECHA_TRASPLANTE]]-Tabla1[[#This Row],[FECHA_NAC]])/365.25</f>
        <v>54.370978781656397</v>
      </c>
      <c r="T301"/>
      <c r="W301" t="s">
        <v>82</v>
      </c>
      <c r="X301" t="s">
        <v>91</v>
      </c>
      <c r="Y301" t="s">
        <v>179</v>
      </c>
      <c r="Z301" t="s">
        <v>621</v>
      </c>
      <c r="AM301" t="s">
        <v>86</v>
      </c>
      <c r="AN301" s="2">
        <v>45494</v>
      </c>
      <c r="AO301"/>
      <c r="AV301" s="2"/>
      <c r="AZ301"/>
      <c r="BT301" s="2">
        <f>Tabla1[[#This Row],[FECHA_TRASPLANTE]]</f>
        <v>43609</v>
      </c>
      <c r="BU301">
        <f>IF(Tabla1[[#This Row],[FALLECIDO SI/NO]]="NO",0,1)</f>
        <v>1</v>
      </c>
      <c r="BV301" s="3">
        <f ca="1">IF(Tabla1[[#This Row],[FALLECIDO_COD]]=0,TODAY()-Tabla1[[#This Row],[FECHA_TRASPLANTE]],Tabla1[[#This Row],[FECHA DE DEFUNCIÓN]]-Tabla1[[#This Row],[FECHA_TRASPLANTE]])</f>
        <v>1885</v>
      </c>
      <c r="BW301" s="3">
        <f ca="1">IF(Tabla1[[#This Row],[FALLECIDO_COD]]=0,TODAY()-Tabla1[[#This Row],[FECHA_TRASPLANTE]],Tabla1[[#This Row],[FECHA DE DEFUNCIÓN]]-Tabla1[[#This Row],[FECHA_TRASPLANTE]])/30.4375</f>
        <v>61.930184804928132</v>
      </c>
      <c r="BX301" s="3">
        <f ca="1">IF(Tabla1[[#This Row],[FALLECIDO_COD]]=0,TODAY()-Tabla1[[#This Row],[FECHA_TRASPLANTE]],Tabla1[[#This Row],[FECHA DE DEFUNCIÓN]]-Tabla1[[#This Row],[FECHA_TRASPLANTE]])/365.25</f>
        <v>5.160848733744011</v>
      </c>
      <c r="BY301"/>
      <c r="BZ301"/>
    </row>
    <row r="302" spans="1:78" hidden="1" x14ac:dyDescent="0.35">
      <c r="A302" t="s">
        <v>377</v>
      </c>
      <c r="D302" t="s">
        <v>1129</v>
      </c>
      <c r="E302" t="s">
        <v>77</v>
      </c>
      <c r="I302">
        <v>119.72271791352094</v>
      </c>
      <c r="K302" t="s">
        <v>1609</v>
      </c>
      <c r="L302" t="s">
        <v>385</v>
      </c>
      <c r="M302" t="s">
        <v>1610</v>
      </c>
      <c r="N302" s="11">
        <v>503570570</v>
      </c>
      <c r="O302" s="2">
        <v>43609</v>
      </c>
      <c r="P302" t="s">
        <v>81</v>
      </c>
      <c r="Q302" s="2">
        <v>31878</v>
      </c>
      <c r="R302" s="3">
        <f>(Tabla1[[#This Row],[FECHA_TRASPLANTE]]-Tabla1[[#This Row],[FECHA_NAC]])/365.25</f>
        <v>32.11772758384668</v>
      </c>
      <c r="T302"/>
      <c r="W302" t="s">
        <v>82</v>
      </c>
      <c r="X302" t="s">
        <v>1611</v>
      </c>
      <c r="AM302" t="s">
        <v>106</v>
      </c>
      <c r="AO302"/>
      <c r="AV302" s="2"/>
      <c r="AZ302"/>
      <c r="BT302" s="2">
        <f>Tabla1[[#This Row],[FECHA_TRASPLANTE]]</f>
        <v>43609</v>
      </c>
      <c r="BU302">
        <f>IF(Tabla1[[#This Row],[FALLECIDO SI/NO]]="NO",0,1)</f>
        <v>0</v>
      </c>
      <c r="BV302" s="3">
        <f ca="1">IF(Tabla1[[#This Row],[FALLECIDO_COD]]=0,TODAY()-Tabla1[[#This Row],[FECHA_TRASPLANTE]],Tabla1[[#This Row],[FECHA DE DEFUNCIÓN]]-Tabla1[[#This Row],[FECHA_TRASPLANTE]])</f>
        <v>2266</v>
      </c>
      <c r="BW302" s="3">
        <f ca="1">IF(Tabla1[[#This Row],[FALLECIDO_COD]]=0,TODAY()-Tabla1[[#This Row],[FECHA_TRASPLANTE]],Tabla1[[#This Row],[FECHA DE DEFUNCIÓN]]-Tabla1[[#This Row],[FECHA_TRASPLANTE]])/30.4375</f>
        <v>74.447638603696092</v>
      </c>
      <c r="BX302" s="3">
        <f ca="1">IF(Tabla1[[#This Row],[FALLECIDO_COD]]=0,TODAY()-Tabla1[[#This Row],[FECHA_TRASPLANTE]],Tabla1[[#This Row],[FECHA DE DEFUNCIÓN]]-Tabla1[[#This Row],[FECHA_TRASPLANTE]])/365.25</f>
        <v>6.2039698836413413</v>
      </c>
      <c r="BY302"/>
      <c r="BZ302"/>
    </row>
    <row r="303" spans="1:78" hidden="1" x14ac:dyDescent="0.35">
      <c r="A303" t="s">
        <v>377</v>
      </c>
      <c r="D303" t="s">
        <v>1129</v>
      </c>
      <c r="E303" t="s">
        <v>375</v>
      </c>
      <c r="I303">
        <v>119.73644474948524</v>
      </c>
      <c r="J303" t="s">
        <v>1612</v>
      </c>
      <c r="K303" t="s">
        <v>1146</v>
      </c>
      <c r="L303" t="s">
        <v>1613</v>
      </c>
      <c r="M303" t="s">
        <v>160</v>
      </c>
      <c r="N303" s="11">
        <v>900500449</v>
      </c>
      <c r="O303" s="2">
        <v>43614</v>
      </c>
      <c r="P303" t="s">
        <v>81</v>
      </c>
      <c r="Q303" s="2">
        <v>22067</v>
      </c>
      <c r="R303" s="3">
        <f>(Tabla1[[#This Row],[FECHA_TRASPLANTE]]-Tabla1[[#This Row],[FECHA_NAC]])/365.25</f>
        <v>58.992470910335385</v>
      </c>
      <c r="T303"/>
      <c r="W303" t="s">
        <v>82</v>
      </c>
      <c r="X303" t="s">
        <v>115</v>
      </c>
      <c r="Y303" t="s">
        <v>84</v>
      </c>
      <c r="Z303" t="s">
        <v>454</v>
      </c>
      <c r="AM303" t="s">
        <v>86</v>
      </c>
      <c r="AN303" s="2">
        <v>43666</v>
      </c>
      <c r="AO303"/>
      <c r="AV303" s="2"/>
      <c r="AZ303"/>
      <c r="BT303" s="2">
        <f>Tabla1[[#This Row],[FECHA_TRASPLANTE]]</f>
        <v>43614</v>
      </c>
      <c r="BU303">
        <f>IF(Tabla1[[#This Row],[FALLECIDO SI/NO]]="NO",0,1)</f>
        <v>1</v>
      </c>
      <c r="BV303" s="3">
        <f ca="1">IF(Tabla1[[#This Row],[FALLECIDO_COD]]=0,TODAY()-Tabla1[[#This Row],[FECHA_TRASPLANTE]],Tabla1[[#This Row],[FECHA DE DEFUNCIÓN]]-Tabla1[[#This Row],[FECHA_TRASPLANTE]])</f>
        <v>52</v>
      </c>
      <c r="BW303" s="3">
        <f ca="1">IF(Tabla1[[#This Row],[FALLECIDO_COD]]=0,TODAY()-Tabla1[[#This Row],[FECHA_TRASPLANTE]],Tabla1[[#This Row],[FECHA DE DEFUNCIÓN]]-Tabla1[[#This Row],[FECHA_TRASPLANTE]])/30.4375</f>
        <v>1.7084188911704312</v>
      </c>
      <c r="BX303" s="3">
        <f ca="1">IF(Tabla1[[#This Row],[FALLECIDO_COD]]=0,TODAY()-Tabla1[[#This Row],[FECHA_TRASPLANTE]],Tabla1[[#This Row],[FECHA DE DEFUNCIÓN]]-Tabla1[[#This Row],[FECHA_TRASPLANTE]])/365.25</f>
        <v>0.14236824093086928</v>
      </c>
      <c r="BY303"/>
      <c r="BZ303"/>
    </row>
    <row r="304" spans="1:78" hidden="1" x14ac:dyDescent="0.35">
      <c r="A304" t="s">
        <v>1125</v>
      </c>
      <c r="D304" t="s">
        <v>1129</v>
      </c>
      <c r="E304" t="s">
        <v>375</v>
      </c>
      <c r="I304">
        <v>119.40862422997947</v>
      </c>
      <c r="J304" t="s">
        <v>1490</v>
      </c>
      <c r="K304" t="s">
        <v>1614</v>
      </c>
      <c r="L304" t="s">
        <v>145</v>
      </c>
      <c r="M304" t="s">
        <v>362</v>
      </c>
      <c r="N304" s="11">
        <v>28020495</v>
      </c>
      <c r="O304" s="2">
        <v>43614</v>
      </c>
      <c r="R304" s="3">
        <f>(Tabla1[[#This Row],[FECHA_TRASPLANTE]]-Tabla1[[#This Row],[FECHA_NAC]])/365.25</f>
        <v>119.40862422997947</v>
      </c>
      <c r="T304"/>
      <c r="U304" t="s">
        <v>1348</v>
      </c>
      <c r="W304" t="s">
        <v>146</v>
      </c>
      <c r="AM304" t="s">
        <v>106</v>
      </c>
      <c r="AO304"/>
      <c r="AV304" s="2"/>
      <c r="AZ304"/>
      <c r="BT304" s="2">
        <f>Tabla1[[#This Row],[FECHA_TRASPLANTE]]</f>
        <v>43614</v>
      </c>
      <c r="BU304">
        <f>IF(Tabla1[[#This Row],[FALLECIDO SI/NO]]="NO",0,1)</f>
        <v>0</v>
      </c>
      <c r="BV304" s="3">
        <f ca="1">IF(Tabla1[[#This Row],[FALLECIDO_COD]]=0,TODAY()-Tabla1[[#This Row],[FECHA_TRASPLANTE]],Tabla1[[#This Row],[FECHA DE DEFUNCIÓN]]-Tabla1[[#This Row],[FECHA_TRASPLANTE]])</f>
        <v>2261</v>
      </c>
      <c r="BW304" s="3">
        <f ca="1">IF(Tabla1[[#This Row],[FALLECIDO_COD]]=0,TODAY()-Tabla1[[#This Row],[FECHA_TRASPLANTE]],Tabla1[[#This Row],[FECHA DE DEFUNCIÓN]]-Tabla1[[#This Row],[FECHA_TRASPLANTE]])/30.4375</f>
        <v>74.283367556468178</v>
      </c>
      <c r="BX304" s="3">
        <f ca="1">IF(Tabla1[[#This Row],[FALLECIDO_COD]]=0,TODAY()-Tabla1[[#This Row],[FECHA_TRASPLANTE]],Tabla1[[#This Row],[FECHA DE DEFUNCIÓN]]-Tabla1[[#This Row],[FECHA_TRASPLANTE]])/365.25</f>
        <v>6.1902806297056809</v>
      </c>
      <c r="BY304"/>
      <c r="BZ304"/>
    </row>
    <row r="305" spans="1:78" hidden="1" x14ac:dyDescent="0.35">
      <c r="A305" t="s">
        <v>377</v>
      </c>
      <c r="D305" t="s">
        <v>1129</v>
      </c>
      <c r="E305" t="s">
        <v>375</v>
      </c>
      <c r="I305">
        <v>119.75566231983528</v>
      </c>
      <c r="J305" t="s">
        <v>1615</v>
      </c>
      <c r="K305" t="s">
        <v>1616</v>
      </c>
      <c r="L305" t="s">
        <v>188</v>
      </c>
      <c r="M305" t="s">
        <v>1617</v>
      </c>
      <c r="N305" s="11">
        <v>501530395</v>
      </c>
      <c r="O305" s="2">
        <v>43621</v>
      </c>
      <c r="P305" t="s">
        <v>81</v>
      </c>
      <c r="Q305" s="2">
        <v>20109</v>
      </c>
      <c r="R305" s="3">
        <f>(Tabla1[[#This Row],[FECHA_TRASPLANTE]]-Tabla1[[#This Row],[FECHA_NAC]])/365.25</f>
        <v>64.372347707049968</v>
      </c>
      <c r="T305"/>
      <c r="W305" t="s">
        <v>82</v>
      </c>
      <c r="X305" t="s">
        <v>83</v>
      </c>
      <c r="Y305" t="s">
        <v>84</v>
      </c>
      <c r="Z305" t="s">
        <v>83</v>
      </c>
      <c r="AM305" t="s">
        <v>106</v>
      </c>
      <c r="AO305"/>
      <c r="AV305" s="2"/>
      <c r="AZ305"/>
      <c r="BT305" s="2">
        <f>Tabla1[[#This Row],[FECHA_TRASPLANTE]]</f>
        <v>43621</v>
      </c>
      <c r="BU305">
        <f>IF(Tabla1[[#This Row],[FALLECIDO SI/NO]]="NO",0,1)</f>
        <v>0</v>
      </c>
      <c r="BV305" s="3">
        <f ca="1">IF(Tabla1[[#This Row],[FALLECIDO_COD]]=0,TODAY()-Tabla1[[#This Row],[FECHA_TRASPLANTE]],Tabla1[[#This Row],[FECHA DE DEFUNCIÓN]]-Tabla1[[#This Row],[FECHA_TRASPLANTE]])</f>
        <v>2254</v>
      </c>
      <c r="BW305" s="3">
        <f ca="1">IF(Tabla1[[#This Row],[FALLECIDO_COD]]=0,TODAY()-Tabla1[[#This Row],[FECHA_TRASPLANTE]],Tabla1[[#This Row],[FECHA DE DEFUNCIÓN]]-Tabla1[[#This Row],[FECHA_TRASPLANTE]])/30.4375</f>
        <v>74.053388090349074</v>
      </c>
      <c r="BX305" s="3">
        <f ca="1">IF(Tabla1[[#This Row],[FALLECIDO_COD]]=0,TODAY()-Tabla1[[#This Row],[FECHA_TRASPLANTE]],Tabla1[[#This Row],[FECHA DE DEFUNCIÓN]]-Tabla1[[#This Row],[FECHA_TRASPLANTE]])/365.25</f>
        <v>6.1711156741957565</v>
      </c>
      <c r="BY305"/>
      <c r="BZ305"/>
    </row>
    <row r="306" spans="1:78" hidden="1" x14ac:dyDescent="0.35">
      <c r="A306" t="s">
        <v>377</v>
      </c>
      <c r="D306" t="s">
        <v>1129</v>
      </c>
      <c r="E306" t="s">
        <v>77</v>
      </c>
      <c r="I306">
        <v>119.78037062457103</v>
      </c>
      <c r="K306" t="s">
        <v>1618</v>
      </c>
      <c r="L306" t="s">
        <v>1619</v>
      </c>
      <c r="M306" t="s">
        <v>156</v>
      </c>
      <c r="N306" s="11">
        <v>601230251</v>
      </c>
      <c r="O306" s="2">
        <v>43630</v>
      </c>
      <c r="P306" t="s">
        <v>90</v>
      </c>
      <c r="Q306" s="2">
        <v>20478</v>
      </c>
      <c r="R306" s="3">
        <f>(Tabla1[[#This Row],[FECHA_TRASPLANTE]]-Tabla1[[#This Row],[FECHA_NAC]])/365.25</f>
        <v>63.38672142368241</v>
      </c>
      <c r="T306"/>
      <c r="W306" t="s">
        <v>82</v>
      </c>
      <c r="X306" t="s">
        <v>1620</v>
      </c>
      <c r="AM306" t="s">
        <v>86</v>
      </c>
      <c r="AN306" s="2">
        <v>43631</v>
      </c>
      <c r="AO306"/>
      <c r="AV306" s="2"/>
      <c r="AZ306"/>
      <c r="BT306" s="2">
        <f>Tabla1[[#This Row],[FECHA_TRASPLANTE]]</f>
        <v>43630</v>
      </c>
      <c r="BU306">
        <f>IF(Tabla1[[#This Row],[FALLECIDO SI/NO]]="NO",0,1)</f>
        <v>1</v>
      </c>
      <c r="BV306" s="3">
        <f ca="1">IF(Tabla1[[#This Row],[FALLECIDO_COD]]=0,TODAY()-Tabla1[[#This Row],[FECHA_TRASPLANTE]],Tabla1[[#This Row],[FECHA DE DEFUNCIÓN]]-Tabla1[[#This Row],[FECHA_TRASPLANTE]])</f>
        <v>1</v>
      </c>
      <c r="BW306" s="3">
        <f ca="1">IF(Tabla1[[#This Row],[FALLECIDO_COD]]=0,TODAY()-Tabla1[[#This Row],[FECHA_TRASPLANTE]],Tabla1[[#This Row],[FECHA DE DEFUNCIÓN]]-Tabla1[[#This Row],[FECHA_TRASPLANTE]])/30.4375</f>
        <v>3.2854209445585217E-2</v>
      </c>
      <c r="BX306" s="3">
        <f ca="1">IF(Tabla1[[#This Row],[FALLECIDO_COD]]=0,TODAY()-Tabla1[[#This Row],[FECHA_TRASPLANTE]],Tabla1[[#This Row],[FECHA DE DEFUNCIÓN]]-Tabla1[[#This Row],[FECHA_TRASPLANTE]])/365.25</f>
        <v>2.7378507871321013E-3</v>
      </c>
      <c r="BY306"/>
      <c r="BZ306"/>
    </row>
    <row r="307" spans="1:78" hidden="1" x14ac:dyDescent="0.35">
      <c r="A307" t="s">
        <v>377</v>
      </c>
      <c r="D307" t="s">
        <v>1129</v>
      </c>
      <c r="E307" t="s">
        <v>375</v>
      </c>
      <c r="I307">
        <v>119.79409746053534</v>
      </c>
      <c r="J307" t="s">
        <v>1621</v>
      </c>
      <c r="K307" t="s">
        <v>1622</v>
      </c>
      <c r="L307" t="s">
        <v>141</v>
      </c>
      <c r="M307" t="s">
        <v>588</v>
      </c>
      <c r="N307" s="11">
        <v>2920102228</v>
      </c>
      <c r="O307" s="2">
        <v>43635</v>
      </c>
      <c r="P307" t="s">
        <v>90</v>
      </c>
      <c r="Q307" s="2">
        <v>33670</v>
      </c>
      <c r="R307" s="3">
        <f>(Tabla1[[#This Row],[FECHA_TRASPLANTE]]-Tabla1[[#This Row],[FECHA_NAC]])/365.25</f>
        <v>27.282683093771389</v>
      </c>
      <c r="T307"/>
      <c r="W307" t="s">
        <v>146</v>
      </c>
      <c r="X307" t="s">
        <v>1623</v>
      </c>
      <c r="AM307" t="s">
        <v>106</v>
      </c>
      <c r="AO307"/>
      <c r="AV307" s="2"/>
      <c r="AZ307"/>
      <c r="BT307" s="2">
        <f>Tabla1[[#This Row],[FECHA_TRASPLANTE]]</f>
        <v>43635</v>
      </c>
      <c r="BU307">
        <f>IF(Tabla1[[#This Row],[FALLECIDO SI/NO]]="NO",0,1)</f>
        <v>0</v>
      </c>
      <c r="BV307" s="3">
        <f ca="1">IF(Tabla1[[#This Row],[FALLECIDO_COD]]=0,TODAY()-Tabla1[[#This Row],[FECHA_TRASPLANTE]],Tabla1[[#This Row],[FECHA DE DEFUNCIÓN]]-Tabla1[[#This Row],[FECHA_TRASPLANTE]])</f>
        <v>2240</v>
      </c>
      <c r="BW307" s="3">
        <f ca="1">IF(Tabla1[[#This Row],[FALLECIDO_COD]]=0,TODAY()-Tabla1[[#This Row],[FECHA_TRASPLANTE]],Tabla1[[#This Row],[FECHA DE DEFUNCIÓN]]-Tabla1[[#This Row],[FECHA_TRASPLANTE]])/30.4375</f>
        <v>73.593429158110879</v>
      </c>
      <c r="BX307" s="3">
        <f ca="1">IF(Tabla1[[#This Row],[FALLECIDO_COD]]=0,TODAY()-Tabla1[[#This Row],[FECHA_TRASPLANTE]],Tabla1[[#This Row],[FECHA DE DEFUNCIÓN]]-Tabla1[[#This Row],[FECHA_TRASPLANTE]])/365.25</f>
        <v>6.1327857631759066</v>
      </c>
      <c r="BY307"/>
      <c r="BZ307"/>
    </row>
    <row r="308" spans="1:78" hidden="1" x14ac:dyDescent="0.35">
      <c r="A308" t="s">
        <v>1125</v>
      </c>
      <c r="D308" t="s">
        <v>1129</v>
      </c>
      <c r="E308" t="s">
        <v>375</v>
      </c>
      <c r="I308">
        <v>119.46611909650925</v>
      </c>
      <c r="J308" t="s">
        <v>1346</v>
      </c>
      <c r="K308" t="s">
        <v>1624</v>
      </c>
      <c r="L308" t="s">
        <v>305</v>
      </c>
      <c r="M308" t="s">
        <v>203</v>
      </c>
      <c r="N308" s="11">
        <v>106490216</v>
      </c>
      <c r="O308" s="2">
        <v>43635</v>
      </c>
      <c r="R308" s="3">
        <f>(Tabla1[[#This Row],[FECHA_TRASPLANTE]]-Tabla1[[#This Row],[FECHA_NAC]])/365.25</f>
        <v>119.46611909650925</v>
      </c>
      <c r="T308"/>
      <c r="U308" t="s">
        <v>1348</v>
      </c>
      <c r="W308" t="s">
        <v>82</v>
      </c>
      <c r="X308" t="s">
        <v>91</v>
      </c>
      <c r="Y308" t="s">
        <v>116</v>
      </c>
      <c r="Z308" t="s">
        <v>116</v>
      </c>
      <c r="AM308" t="s">
        <v>86</v>
      </c>
      <c r="AN308" s="2">
        <v>44613</v>
      </c>
      <c r="AO308"/>
      <c r="AV308" s="2"/>
      <c r="AZ308"/>
      <c r="BT308" s="2">
        <f>Tabla1[[#This Row],[FECHA_TRASPLANTE]]</f>
        <v>43635</v>
      </c>
      <c r="BU308">
        <f>IF(Tabla1[[#This Row],[FALLECIDO SI/NO]]="NO",0,1)</f>
        <v>1</v>
      </c>
      <c r="BV308" s="3">
        <f ca="1">IF(Tabla1[[#This Row],[FALLECIDO_COD]]=0,TODAY()-Tabla1[[#This Row],[FECHA_TRASPLANTE]],Tabla1[[#This Row],[FECHA DE DEFUNCIÓN]]-Tabla1[[#This Row],[FECHA_TRASPLANTE]])</f>
        <v>978</v>
      </c>
      <c r="BW308" s="3">
        <f ca="1">IF(Tabla1[[#This Row],[FALLECIDO_COD]]=0,TODAY()-Tabla1[[#This Row],[FECHA_TRASPLANTE]],Tabla1[[#This Row],[FECHA DE DEFUNCIÓN]]-Tabla1[[#This Row],[FECHA_TRASPLANTE]])/30.4375</f>
        <v>32.131416837782339</v>
      </c>
      <c r="BX308" s="3">
        <f ca="1">IF(Tabla1[[#This Row],[FALLECIDO_COD]]=0,TODAY()-Tabla1[[#This Row],[FECHA_TRASPLANTE]],Tabla1[[#This Row],[FECHA DE DEFUNCIÓN]]-Tabla1[[#This Row],[FECHA_TRASPLANTE]])/365.25</f>
        <v>2.6776180698151952</v>
      </c>
      <c r="BY308"/>
      <c r="BZ308"/>
    </row>
    <row r="309" spans="1:78" hidden="1" x14ac:dyDescent="0.35">
      <c r="A309" t="s">
        <v>376</v>
      </c>
      <c r="B309" t="s">
        <v>376</v>
      </c>
      <c r="D309" t="s">
        <v>1129</v>
      </c>
      <c r="E309" t="s">
        <v>77</v>
      </c>
      <c r="I309">
        <v>119.81331503088538</v>
      </c>
      <c r="K309" t="s">
        <v>1625</v>
      </c>
      <c r="L309" t="s">
        <v>844</v>
      </c>
      <c r="M309" t="s">
        <v>156</v>
      </c>
      <c r="N309" s="11">
        <v>305690225</v>
      </c>
      <c r="O309" s="2">
        <v>43642</v>
      </c>
      <c r="P309" t="s">
        <v>81</v>
      </c>
      <c r="Q309" s="2">
        <v>39064</v>
      </c>
      <c r="R309" s="3">
        <f>(Tabla1[[#This Row],[FECHA_TRASPLANTE]]-Tabla1[[#This Row],[FECHA_NAC]])/365.25</f>
        <v>12.533880903490759</v>
      </c>
      <c r="T309"/>
      <c r="W309" t="s">
        <v>82</v>
      </c>
      <c r="AM309" t="s">
        <v>106</v>
      </c>
      <c r="AO309"/>
      <c r="AV309" s="2"/>
      <c r="AZ309"/>
      <c r="BT309" s="2">
        <f>Tabla1[[#This Row],[FECHA_TRASPLANTE]]</f>
        <v>43642</v>
      </c>
      <c r="BU309">
        <f>IF(Tabla1[[#This Row],[FALLECIDO SI/NO]]="NO",0,1)</f>
        <v>0</v>
      </c>
      <c r="BV309" s="3">
        <f ca="1">IF(Tabla1[[#This Row],[FALLECIDO_COD]]=0,TODAY()-Tabla1[[#This Row],[FECHA_TRASPLANTE]],Tabla1[[#This Row],[FECHA DE DEFUNCIÓN]]-Tabla1[[#This Row],[FECHA_TRASPLANTE]])</f>
        <v>2233</v>
      </c>
      <c r="BW309" s="3">
        <f ca="1">IF(Tabla1[[#This Row],[FALLECIDO_COD]]=0,TODAY()-Tabla1[[#This Row],[FECHA_TRASPLANTE]],Tabla1[[#This Row],[FECHA DE DEFUNCIÓN]]-Tabla1[[#This Row],[FECHA_TRASPLANTE]])/30.4375</f>
        <v>73.363449691991789</v>
      </c>
      <c r="BX309" s="3">
        <f ca="1">IF(Tabla1[[#This Row],[FALLECIDO_COD]]=0,TODAY()-Tabla1[[#This Row],[FECHA_TRASPLANTE]],Tabla1[[#This Row],[FECHA DE DEFUNCIÓN]]-Tabla1[[#This Row],[FECHA_TRASPLANTE]])/365.25</f>
        <v>6.1136208076659821</v>
      </c>
      <c r="BY309"/>
      <c r="BZ309"/>
    </row>
    <row r="310" spans="1:78" hidden="1" x14ac:dyDescent="0.35">
      <c r="A310" t="s">
        <v>377</v>
      </c>
      <c r="D310" t="s">
        <v>1129</v>
      </c>
      <c r="E310" t="s">
        <v>375</v>
      </c>
      <c r="I310">
        <v>119.81331503088538</v>
      </c>
      <c r="J310" t="s">
        <v>1626</v>
      </c>
      <c r="K310" t="s">
        <v>1627</v>
      </c>
      <c r="L310" t="s">
        <v>753</v>
      </c>
      <c r="M310" t="s">
        <v>1330</v>
      </c>
      <c r="N310" s="11">
        <v>503240487</v>
      </c>
      <c r="O310" s="2">
        <v>43642</v>
      </c>
      <c r="P310" t="s">
        <v>81</v>
      </c>
      <c r="Q310" s="2">
        <v>29874</v>
      </c>
      <c r="R310" s="3">
        <f>(Tabla1[[#This Row],[FECHA_TRASPLANTE]]-Tabla1[[#This Row],[FECHA_NAC]])/365.25</f>
        <v>37.694729637234772</v>
      </c>
      <c r="T310"/>
      <c r="W310" t="s">
        <v>82</v>
      </c>
      <c r="X310" t="s">
        <v>1537</v>
      </c>
      <c r="AM310" t="s">
        <v>106</v>
      </c>
      <c r="AO310"/>
      <c r="AV310" s="2"/>
      <c r="AZ310"/>
      <c r="BT310" s="2">
        <f>Tabla1[[#This Row],[FECHA_TRASPLANTE]]</f>
        <v>43642</v>
      </c>
      <c r="BU310">
        <f>IF(Tabla1[[#This Row],[FALLECIDO SI/NO]]="NO",0,1)</f>
        <v>0</v>
      </c>
      <c r="BV310" s="3">
        <f ca="1">IF(Tabla1[[#This Row],[FALLECIDO_COD]]=0,TODAY()-Tabla1[[#This Row],[FECHA_TRASPLANTE]],Tabla1[[#This Row],[FECHA DE DEFUNCIÓN]]-Tabla1[[#This Row],[FECHA_TRASPLANTE]])</f>
        <v>2233</v>
      </c>
      <c r="BW310" s="3">
        <f ca="1">IF(Tabla1[[#This Row],[FALLECIDO_COD]]=0,TODAY()-Tabla1[[#This Row],[FECHA_TRASPLANTE]],Tabla1[[#This Row],[FECHA DE DEFUNCIÓN]]-Tabla1[[#This Row],[FECHA_TRASPLANTE]])/30.4375</f>
        <v>73.363449691991789</v>
      </c>
      <c r="BX310" s="3">
        <f ca="1">IF(Tabla1[[#This Row],[FALLECIDO_COD]]=0,TODAY()-Tabla1[[#This Row],[FECHA_TRASPLANTE]],Tabla1[[#This Row],[FECHA DE DEFUNCIÓN]]-Tabla1[[#This Row],[FECHA_TRASPLANTE]])/365.25</f>
        <v>6.1136208076659821</v>
      </c>
      <c r="BY310"/>
      <c r="BZ310"/>
    </row>
    <row r="311" spans="1:78" hidden="1" x14ac:dyDescent="0.35">
      <c r="A311" t="s">
        <v>75</v>
      </c>
      <c r="D311" t="s">
        <v>1129</v>
      </c>
      <c r="E311" t="s">
        <v>77</v>
      </c>
      <c r="I311">
        <v>119.81331503088538</v>
      </c>
      <c r="K311" t="s">
        <v>1628</v>
      </c>
      <c r="L311" t="s">
        <v>449</v>
      </c>
      <c r="M311" t="s">
        <v>167</v>
      </c>
      <c r="N311" s="11">
        <v>701500094</v>
      </c>
      <c r="O311" s="16">
        <v>43642</v>
      </c>
      <c r="P311" t="s">
        <v>81</v>
      </c>
      <c r="Q311" s="2">
        <v>30327</v>
      </c>
      <c r="R311" s="3">
        <f>(Tabla1[[#This Row],[FECHA_TRASPLANTE]]-Tabla1[[#This Row],[FECHA_NAC]])/365.25</f>
        <v>36.454483230663932</v>
      </c>
      <c r="T311"/>
      <c r="W311" t="s">
        <v>82</v>
      </c>
      <c r="AM311" t="s">
        <v>106</v>
      </c>
      <c r="AO311"/>
      <c r="AV311" s="2"/>
      <c r="AZ311"/>
      <c r="BJ311" s="2"/>
      <c r="BT311" s="2">
        <f>Tabla1[[#This Row],[FECHA_TRASPLANTE]]</f>
        <v>43642</v>
      </c>
      <c r="BU311">
        <f>IF(Tabla1[[#This Row],[FALLECIDO SI/NO]]="NO",0,1)</f>
        <v>0</v>
      </c>
      <c r="BV311" s="3">
        <f ca="1">IF(Tabla1[[#This Row],[FALLECIDO_COD]]=0,TODAY()-Tabla1[[#This Row],[FECHA_TRASPLANTE]],Tabla1[[#This Row],[FECHA DE DEFUNCIÓN]]-Tabla1[[#This Row],[FECHA_TRASPLANTE]])</f>
        <v>2233</v>
      </c>
      <c r="BW311" s="3">
        <f ca="1">IF(Tabla1[[#This Row],[FALLECIDO_COD]]=0,TODAY()-Tabla1[[#This Row],[FECHA_TRASPLANTE]],Tabla1[[#This Row],[FECHA DE DEFUNCIÓN]]-Tabla1[[#This Row],[FECHA_TRASPLANTE]])/30.4375</f>
        <v>73.363449691991789</v>
      </c>
      <c r="BX311" s="3">
        <f ca="1">IF(Tabla1[[#This Row],[FALLECIDO_COD]]=0,TODAY()-Tabla1[[#This Row],[FECHA_TRASPLANTE]],Tabla1[[#This Row],[FECHA DE DEFUNCIÓN]]-Tabla1[[#This Row],[FECHA_TRASPLANTE]])/365.25</f>
        <v>6.1136208076659821</v>
      </c>
      <c r="BY311"/>
      <c r="BZ311"/>
    </row>
    <row r="312" spans="1:78" hidden="1" x14ac:dyDescent="0.35">
      <c r="A312" t="s">
        <v>1126</v>
      </c>
      <c r="D312" t="s">
        <v>1333</v>
      </c>
      <c r="E312" t="s">
        <v>77</v>
      </c>
      <c r="F312" t="s">
        <v>86</v>
      </c>
      <c r="I312">
        <v>119.49897330595482</v>
      </c>
      <c r="J312" t="s">
        <v>1548</v>
      </c>
      <c r="N312" s="11">
        <v>301931209</v>
      </c>
      <c r="O312" s="2">
        <v>43647</v>
      </c>
      <c r="P312" t="s">
        <v>1549</v>
      </c>
      <c r="Q312" s="2">
        <v>18049</v>
      </c>
      <c r="R312" s="3">
        <f>(Tabla1[[#This Row],[FECHA_TRASPLANTE]]-Tabla1[[#This Row],[FECHA_NAC]])/365.25</f>
        <v>70.083504449007535</v>
      </c>
      <c r="S312" t="s">
        <v>205</v>
      </c>
      <c r="U312" t="s">
        <v>1585</v>
      </c>
      <c r="W312" t="s">
        <v>82</v>
      </c>
      <c r="X312" t="s">
        <v>110</v>
      </c>
      <c r="Y312" t="s">
        <v>110</v>
      </c>
      <c r="Z312" t="s">
        <v>158</v>
      </c>
      <c r="AF312" t="s">
        <v>375</v>
      </c>
      <c r="AG312" t="s">
        <v>375</v>
      </c>
      <c r="AH312" t="s">
        <v>375</v>
      </c>
      <c r="AI312" t="s">
        <v>375</v>
      </c>
      <c r="AM312" t="s">
        <v>86</v>
      </c>
      <c r="AN312" s="2">
        <v>44872</v>
      </c>
      <c r="AO312" s="2" t="s">
        <v>1629</v>
      </c>
      <c r="AP312" t="s">
        <v>86</v>
      </c>
      <c r="AQ312" t="s">
        <v>358</v>
      </c>
      <c r="AR312" s="2" t="s">
        <v>358</v>
      </c>
      <c r="AS312" s="2" t="s">
        <v>358</v>
      </c>
      <c r="AV312" s="2"/>
      <c r="AY312" t="s">
        <v>106</v>
      </c>
      <c r="AZ312"/>
      <c r="BA312" t="s">
        <v>1552</v>
      </c>
      <c r="BB312">
        <v>1.6</v>
      </c>
      <c r="BD312" t="s">
        <v>106</v>
      </c>
      <c r="BI312" t="s">
        <v>106</v>
      </c>
      <c r="BL312" t="s">
        <v>86</v>
      </c>
      <c r="BM312">
        <v>44835</v>
      </c>
      <c r="BN312" t="s">
        <v>1629</v>
      </c>
      <c r="BT312" s="2">
        <f>Tabla1[[#This Row],[FECHA_TRASPLANTE]]</f>
        <v>43647</v>
      </c>
      <c r="BU312">
        <f>IF(Tabla1[[#This Row],[FALLECIDO SI/NO]]="NO",0,1)</f>
        <v>1</v>
      </c>
      <c r="BV312" s="3">
        <f ca="1">IF(Tabla1[[#This Row],[FALLECIDO_COD]]=0,TODAY()-Tabla1[[#This Row],[FECHA_TRASPLANTE]],Tabla1[[#This Row],[FECHA DE DEFUNCIÓN]]-Tabla1[[#This Row],[FECHA_TRASPLANTE]])</f>
        <v>1225</v>
      </c>
      <c r="BW312" s="3">
        <f ca="1">IF(Tabla1[[#This Row],[FALLECIDO_COD]]=0,TODAY()-Tabla1[[#This Row],[FECHA_TRASPLANTE]],Tabla1[[#This Row],[FECHA DE DEFUNCIÓN]]-Tabla1[[#This Row],[FECHA_TRASPLANTE]])/30.4375</f>
        <v>40.246406570841891</v>
      </c>
      <c r="BX312" s="3">
        <f ca="1">IF(Tabla1[[#This Row],[FALLECIDO_COD]]=0,TODAY()-Tabla1[[#This Row],[FECHA_TRASPLANTE]],Tabla1[[#This Row],[FECHA DE DEFUNCIÓN]]-Tabla1[[#This Row],[FECHA_TRASPLANTE]])/365.25</f>
        <v>3.353867214236824</v>
      </c>
      <c r="BY312"/>
      <c r="BZ312"/>
    </row>
    <row r="313" spans="1:78" hidden="1" x14ac:dyDescent="0.35">
      <c r="A313" t="s">
        <v>75</v>
      </c>
      <c r="D313" t="s">
        <v>1129</v>
      </c>
      <c r="E313" t="s">
        <v>375</v>
      </c>
      <c r="I313">
        <v>119.86822237474261</v>
      </c>
      <c r="K313" t="s">
        <v>1630</v>
      </c>
      <c r="L313" t="s">
        <v>408</v>
      </c>
      <c r="M313" t="s">
        <v>228</v>
      </c>
      <c r="N313" s="11">
        <v>302320428</v>
      </c>
      <c r="O313" s="16">
        <v>43662</v>
      </c>
      <c r="P313" t="s">
        <v>81</v>
      </c>
      <c r="Q313" s="2">
        <v>21251</v>
      </c>
      <c r="R313" s="3">
        <f>(Tabla1[[#This Row],[FECHA_TRASPLANTE]]-Tabla1[[#This Row],[FECHA_NAC]])/365.25</f>
        <v>61.35797399041752</v>
      </c>
      <c r="T313"/>
      <c r="W313" t="s">
        <v>82</v>
      </c>
      <c r="X313" t="s">
        <v>110</v>
      </c>
      <c r="Y313" t="s">
        <v>134</v>
      </c>
      <c r="Z313" t="s">
        <v>1631</v>
      </c>
      <c r="AM313" t="s">
        <v>106</v>
      </c>
      <c r="AO313"/>
      <c r="AV313" s="2"/>
      <c r="AZ313"/>
      <c r="BJ313" s="2"/>
      <c r="BT313" s="2">
        <f>Tabla1[[#This Row],[FECHA_TRASPLANTE]]</f>
        <v>43662</v>
      </c>
      <c r="BU313">
        <f>IF(Tabla1[[#This Row],[FALLECIDO SI/NO]]="NO",0,1)</f>
        <v>0</v>
      </c>
      <c r="BV313" s="3">
        <f ca="1">IF(Tabla1[[#This Row],[FALLECIDO_COD]]=0,TODAY()-Tabla1[[#This Row],[FECHA_TRASPLANTE]],Tabla1[[#This Row],[FECHA DE DEFUNCIÓN]]-Tabla1[[#This Row],[FECHA_TRASPLANTE]])</f>
        <v>2213</v>
      </c>
      <c r="BW313" s="3">
        <f ca="1">IF(Tabla1[[#This Row],[FALLECIDO_COD]]=0,TODAY()-Tabla1[[#This Row],[FECHA_TRASPLANTE]],Tabla1[[#This Row],[FECHA DE DEFUNCIÓN]]-Tabla1[[#This Row],[FECHA_TRASPLANTE]])/30.4375</f>
        <v>72.706365503080079</v>
      </c>
      <c r="BX313" s="3">
        <f ca="1">IF(Tabla1[[#This Row],[FALLECIDO_COD]]=0,TODAY()-Tabla1[[#This Row],[FECHA_TRASPLANTE]],Tabla1[[#This Row],[FECHA DE DEFUNCIÓN]]-Tabla1[[#This Row],[FECHA_TRASPLANTE]])/365.25</f>
        <v>6.0588637919233399</v>
      </c>
      <c r="BY313"/>
      <c r="BZ313"/>
    </row>
    <row r="314" spans="1:78" hidden="1" x14ac:dyDescent="0.35">
      <c r="A314" t="s">
        <v>75</v>
      </c>
      <c r="D314" t="s">
        <v>1129</v>
      </c>
      <c r="E314" t="s">
        <v>77</v>
      </c>
      <c r="I314">
        <v>119.87096774193549</v>
      </c>
      <c r="K314" t="s">
        <v>1632</v>
      </c>
      <c r="L314" t="s">
        <v>1633</v>
      </c>
      <c r="M314" t="s">
        <v>141</v>
      </c>
      <c r="N314" s="11">
        <v>112820448</v>
      </c>
      <c r="O314" s="16">
        <v>43663</v>
      </c>
      <c r="P314" t="s">
        <v>81</v>
      </c>
      <c r="Q314" s="2">
        <v>31580</v>
      </c>
      <c r="R314" s="3">
        <f>(Tabla1[[#This Row],[FECHA_TRASPLANTE]]-Tabla1[[#This Row],[FECHA_NAC]])/365.25</f>
        <v>33.081451060917182</v>
      </c>
      <c r="T314"/>
      <c r="W314" t="s">
        <v>82</v>
      </c>
      <c r="X314" t="s">
        <v>91</v>
      </c>
      <c r="Y314" t="s">
        <v>193</v>
      </c>
      <c r="Z314" t="s">
        <v>760</v>
      </c>
      <c r="AM314" t="s">
        <v>86</v>
      </c>
      <c r="AN314" s="2">
        <v>44011</v>
      </c>
      <c r="AO314"/>
      <c r="AV314" s="2"/>
      <c r="AZ314"/>
      <c r="BJ314" s="2"/>
      <c r="BT314" s="2">
        <f>Tabla1[[#This Row],[FECHA_TRASPLANTE]]</f>
        <v>43663</v>
      </c>
      <c r="BU314">
        <f>IF(Tabla1[[#This Row],[FALLECIDO SI/NO]]="NO",0,1)</f>
        <v>1</v>
      </c>
      <c r="BV314" s="3">
        <f ca="1">IF(Tabla1[[#This Row],[FALLECIDO_COD]]=0,TODAY()-Tabla1[[#This Row],[FECHA_TRASPLANTE]],Tabla1[[#This Row],[FECHA DE DEFUNCIÓN]]-Tabla1[[#This Row],[FECHA_TRASPLANTE]])</f>
        <v>348</v>
      </c>
      <c r="BW314" s="3">
        <f ca="1">IF(Tabla1[[#This Row],[FALLECIDO_COD]]=0,TODAY()-Tabla1[[#This Row],[FECHA_TRASPLANTE]],Tabla1[[#This Row],[FECHA DE DEFUNCIÓN]]-Tabla1[[#This Row],[FECHA_TRASPLANTE]])/30.4375</f>
        <v>11.433264887063656</v>
      </c>
      <c r="BX314" s="3">
        <f ca="1">IF(Tabla1[[#This Row],[FALLECIDO_COD]]=0,TODAY()-Tabla1[[#This Row],[FECHA_TRASPLANTE]],Tabla1[[#This Row],[FECHA DE DEFUNCIÓN]]-Tabla1[[#This Row],[FECHA_TRASPLANTE]])/365.25</f>
        <v>0.95277207392197127</v>
      </c>
      <c r="BY314"/>
      <c r="BZ314"/>
    </row>
    <row r="315" spans="1:78" hidden="1" x14ac:dyDescent="0.35">
      <c r="A315" t="s">
        <v>377</v>
      </c>
      <c r="D315" t="s">
        <v>1129</v>
      </c>
      <c r="E315" t="s">
        <v>375</v>
      </c>
      <c r="I315">
        <v>119.87096774193549</v>
      </c>
      <c r="J315" t="s">
        <v>1634</v>
      </c>
      <c r="K315" t="s">
        <v>1635</v>
      </c>
      <c r="L315" t="s">
        <v>243</v>
      </c>
      <c r="M315" t="s">
        <v>109</v>
      </c>
      <c r="N315" s="11">
        <v>203980217</v>
      </c>
      <c r="O315" s="2">
        <v>43663</v>
      </c>
      <c r="P315" t="s">
        <v>81</v>
      </c>
      <c r="Q315" s="2">
        <v>23656</v>
      </c>
      <c r="R315" s="3">
        <f>(Tabla1[[#This Row],[FECHA_TRASPLANTE]]-Tabla1[[#This Row],[FECHA_NAC]])/365.25</f>
        <v>54.776180698151954</v>
      </c>
      <c r="T315"/>
      <c r="W315" t="s">
        <v>82</v>
      </c>
      <c r="X315" t="s">
        <v>115</v>
      </c>
      <c r="Y315" t="s">
        <v>1636</v>
      </c>
      <c r="Z315" t="s">
        <v>311</v>
      </c>
      <c r="AM315" t="s">
        <v>106</v>
      </c>
      <c r="AO315"/>
      <c r="AV315" s="2"/>
      <c r="AZ315"/>
      <c r="BT315" s="2">
        <f>Tabla1[[#This Row],[FECHA_TRASPLANTE]]</f>
        <v>43663</v>
      </c>
      <c r="BU315">
        <f>IF(Tabla1[[#This Row],[FALLECIDO SI/NO]]="NO",0,1)</f>
        <v>0</v>
      </c>
      <c r="BV315" s="3">
        <f ca="1">IF(Tabla1[[#This Row],[FALLECIDO_COD]]=0,TODAY()-Tabla1[[#This Row],[FECHA_TRASPLANTE]],Tabla1[[#This Row],[FECHA DE DEFUNCIÓN]]-Tabla1[[#This Row],[FECHA_TRASPLANTE]])</f>
        <v>2212</v>
      </c>
      <c r="BW315" s="3">
        <f ca="1">IF(Tabla1[[#This Row],[FALLECIDO_COD]]=0,TODAY()-Tabla1[[#This Row],[FECHA_TRASPLANTE]],Tabla1[[#This Row],[FECHA DE DEFUNCIÓN]]-Tabla1[[#This Row],[FECHA_TRASPLANTE]])/30.4375</f>
        <v>72.67351129363449</v>
      </c>
      <c r="BX315" s="3">
        <f ca="1">IF(Tabla1[[#This Row],[FALLECIDO_COD]]=0,TODAY()-Tabla1[[#This Row],[FECHA_TRASPLANTE]],Tabla1[[#This Row],[FECHA DE DEFUNCIÓN]]-Tabla1[[#This Row],[FECHA_TRASPLANTE]])/365.25</f>
        <v>6.0561259411362078</v>
      </c>
      <c r="BY315"/>
      <c r="BZ315"/>
    </row>
    <row r="316" spans="1:78" hidden="1" x14ac:dyDescent="0.35">
      <c r="A316" t="s">
        <v>377</v>
      </c>
      <c r="D316" t="s">
        <v>1129</v>
      </c>
      <c r="E316" t="s">
        <v>77</v>
      </c>
      <c r="I316">
        <v>119.87096774193549</v>
      </c>
      <c r="K316" t="s">
        <v>1637</v>
      </c>
      <c r="L316" t="s">
        <v>1510</v>
      </c>
      <c r="M316" t="s">
        <v>1638</v>
      </c>
      <c r="N316" s="11">
        <v>204960946</v>
      </c>
      <c r="O316" s="2">
        <v>43663</v>
      </c>
      <c r="P316" t="s">
        <v>81</v>
      </c>
      <c r="Q316" s="2">
        <v>27000</v>
      </c>
      <c r="R316" s="3">
        <f>(Tabla1[[#This Row],[FECHA_TRASPLANTE]]-Tabla1[[#This Row],[FECHA_NAC]])/365.25</f>
        <v>45.620807665982205</v>
      </c>
      <c r="T316"/>
      <c r="W316" t="s">
        <v>82</v>
      </c>
      <c r="X316" t="s">
        <v>115</v>
      </c>
      <c r="Y316" t="s">
        <v>365</v>
      </c>
      <c r="Z316" t="s">
        <v>386</v>
      </c>
      <c r="AM316" t="s">
        <v>106</v>
      </c>
      <c r="AO316"/>
      <c r="AV316" s="2"/>
      <c r="AZ316"/>
      <c r="BT316" s="2">
        <f>Tabla1[[#This Row],[FECHA_TRASPLANTE]]</f>
        <v>43663</v>
      </c>
      <c r="BU316">
        <f>IF(Tabla1[[#This Row],[FALLECIDO SI/NO]]="NO",0,1)</f>
        <v>0</v>
      </c>
      <c r="BV316" s="3">
        <f ca="1">IF(Tabla1[[#This Row],[FALLECIDO_COD]]=0,TODAY()-Tabla1[[#This Row],[FECHA_TRASPLANTE]],Tabla1[[#This Row],[FECHA DE DEFUNCIÓN]]-Tabla1[[#This Row],[FECHA_TRASPLANTE]])</f>
        <v>2212</v>
      </c>
      <c r="BW316" s="3">
        <f ca="1">IF(Tabla1[[#This Row],[FALLECIDO_COD]]=0,TODAY()-Tabla1[[#This Row],[FECHA_TRASPLANTE]],Tabla1[[#This Row],[FECHA DE DEFUNCIÓN]]-Tabla1[[#This Row],[FECHA_TRASPLANTE]])/30.4375</f>
        <v>72.67351129363449</v>
      </c>
      <c r="BX316" s="3">
        <f ca="1">IF(Tabla1[[#This Row],[FALLECIDO_COD]]=0,TODAY()-Tabla1[[#This Row],[FECHA_TRASPLANTE]],Tabla1[[#This Row],[FECHA DE DEFUNCIÓN]]-Tabla1[[#This Row],[FECHA_TRASPLANTE]])/365.25</f>
        <v>6.0561259411362078</v>
      </c>
      <c r="BY316"/>
      <c r="BZ316"/>
    </row>
    <row r="317" spans="1:78" hidden="1" x14ac:dyDescent="0.35">
      <c r="A317" t="s">
        <v>1125</v>
      </c>
      <c r="D317" t="s">
        <v>1129</v>
      </c>
      <c r="E317" t="s">
        <v>375</v>
      </c>
      <c r="I317">
        <v>119.58110882956879</v>
      </c>
      <c r="J317" t="s">
        <v>1346</v>
      </c>
      <c r="K317" t="s">
        <v>695</v>
      </c>
      <c r="L317" t="s">
        <v>132</v>
      </c>
      <c r="M317" t="s">
        <v>432</v>
      </c>
      <c r="N317" s="11">
        <v>110860089</v>
      </c>
      <c r="O317" s="2">
        <v>43677</v>
      </c>
      <c r="R317" s="3">
        <f>(Tabla1[[#This Row],[FECHA_TRASPLANTE]]-Tabla1[[#This Row],[FECHA_NAC]])/365.25</f>
        <v>119.58110882956879</v>
      </c>
      <c r="T317"/>
      <c r="U317" t="s">
        <v>1348</v>
      </c>
      <c r="W317" t="s">
        <v>82</v>
      </c>
      <c r="X317" t="s">
        <v>91</v>
      </c>
      <c r="Y317" t="s">
        <v>116</v>
      </c>
      <c r="Z317" t="s">
        <v>616</v>
      </c>
      <c r="AM317" t="s">
        <v>106</v>
      </c>
      <c r="AO317"/>
      <c r="AV317" s="2"/>
      <c r="AZ317"/>
      <c r="BT317" s="2">
        <f>Tabla1[[#This Row],[FECHA_TRASPLANTE]]</f>
        <v>43677</v>
      </c>
      <c r="BU317">
        <f>IF(Tabla1[[#This Row],[FALLECIDO SI/NO]]="NO",0,1)</f>
        <v>0</v>
      </c>
      <c r="BV317" s="3">
        <f ca="1">IF(Tabla1[[#This Row],[FALLECIDO_COD]]=0,TODAY()-Tabla1[[#This Row],[FECHA_TRASPLANTE]],Tabla1[[#This Row],[FECHA DE DEFUNCIÓN]]-Tabla1[[#This Row],[FECHA_TRASPLANTE]])</f>
        <v>2198</v>
      </c>
      <c r="BW317" s="3">
        <f ca="1">IF(Tabla1[[#This Row],[FALLECIDO_COD]]=0,TODAY()-Tabla1[[#This Row],[FECHA_TRASPLANTE]],Tabla1[[#This Row],[FECHA DE DEFUNCIÓN]]-Tabla1[[#This Row],[FECHA_TRASPLANTE]])/30.4375</f>
        <v>72.21355236139631</v>
      </c>
      <c r="BX317" s="3">
        <f ca="1">IF(Tabla1[[#This Row],[FALLECIDO_COD]]=0,TODAY()-Tabla1[[#This Row],[FECHA_TRASPLANTE]],Tabla1[[#This Row],[FECHA DE DEFUNCIÓN]]-Tabla1[[#This Row],[FECHA_TRASPLANTE]])/365.25</f>
        <v>6.0177960301163589</v>
      </c>
      <c r="BY317"/>
      <c r="BZ317"/>
    </row>
    <row r="318" spans="1:78" hidden="1" x14ac:dyDescent="0.35">
      <c r="A318" t="s">
        <v>376</v>
      </c>
      <c r="B318" t="s">
        <v>376</v>
      </c>
      <c r="D318" t="s">
        <v>1129</v>
      </c>
      <c r="E318" t="s">
        <v>77</v>
      </c>
      <c r="I318">
        <v>119.92038435140699</v>
      </c>
      <c r="K318" t="s">
        <v>1639</v>
      </c>
      <c r="L318" t="s">
        <v>576</v>
      </c>
      <c r="M318" t="s">
        <v>386</v>
      </c>
      <c r="N318" s="11">
        <v>504600911</v>
      </c>
      <c r="O318" s="2">
        <v>43681</v>
      </c>
      <c r="P318" t="s">
        <v>81</v>
      </c>
      <c r="Q318" s="2">
        <v>38566</v>
      </c>
      <c r="R318" s="3">
        <f>(Tabla1[[#This Row],[FECHA_TRASPLANTE]]-Tabla1[[#This Row],[FECHA_NAC]])/365.25</f>
        <v>14.004106776180699</v>
      </c>
      <c r="T318"/>
      <c r="W318" t="s">
        <v>82</v>
      </c>
      <c r="AM318" t="s">
        <v>86</v>
      </c>
      <c r="AN318" s="2">
        <v>44977</v>
      </c>
      <c r="AO318"/>
      <c r="AV318" s="2"/>
      <c r="AZ318"/>
      <c r="BT318" s="2">
        <f>Tabla1[[#This Row],[FECHA_TRASPLANTE]]</f>
        <v>43681</v>
      </c>
      <c r="BU318">
        <f>IF(Tabla1[[#This Row],[FALLECIDO SI/NO]]="NO",0,1)</f>
        <v>1</v>
      </c>
      <c r="BV318" s="3">
        <f ca="1">IF(Tabla1[[#This Row],[FALLECIDO_COD]]=0,TODAY()-Tabla1[[#This Row],[FECHA_TRASPLANTE]],Tabla1[[#This Row],[FECHA DE DEFUNCIÓN]]-Tabla1[[#This Row],[FECHA_TRASPLANTE]])</f>
        <v>1296</v>
      </c>
      <c r="BW318" s="3">
        <f ca="1">IF(Tabla1[[#This Row],[FALLECIDO_COD]]=0,TODAY()-Tabla1[[#This Row],[FECHA_TRASPLANTE]],Tabla1[[#This Row],[FECHA DE DEFUNCIÓN]]-Tabla1[[#This Row],[FECHA_TRASPLANTE]])/30.4375</f>
        <v>42.579055441478438</v>
      </c>
      <c r="BX318" s="3">
        <f ca="1">IF(Tabla1[[#This Row],[FALLECIDO_COD]]=0,TODAY()-Tabla1[[#This Row],[FECHA_TRASPLANTE]],Tabla1[[#This Row],[FECHA DE DEFUNCIÓN]]-Tabla1[[#This Row],[FECHA_TRASPLANTE]])/365.25</f>
        <v>3.5482546201232035</v>
      </c>
      <c r="BY318"/>
      <c r="BZ318"/>
    </row>
    <row r="319" spans="1:78" hidden="1" x14ac:dyDescent="0.35">
      <c r="A319" t="s">
        <v>1126</v>
      </c>
      <c r="D319" t="s">
        <v>1333</v>
      </c>
      <c r="E319" t="s">
        <v>77</v>
      </c>
      <c r="F319" t="s">
        <v>86</v>
      </c>
      <c r="I319">
        <v>119.59206023271732</v>
      </c>
      <c r="J319" t="s">
        <v>1548</v>
      </c>
      <c r="N319" s="11">
        <v>303760861</v>
      </c>
      <c r="O319" s="2">
        <v>43681</v>
      </c>
      <c r="P319" t="s">
        <v>1549</v>
      </c>
      <c r="Q319" s="2">
        <v>29895</v>
      </c>
      <c r="R319" s="3">
        <f>(Tabla1[[#This Row],[FECHA_TRASPLANTE]]-Tabla1[[#This Row],[FECHA_NAC]])/365.25</f>
        <v>37.744010951403148</v>
      </c>
      <c r="S319" t="s">
        <v>200</v>
      </c>
      <c r="U319" t="s">
        <v>1640</v>
      </c>
      <c r="V319" t="s">
        <v>1566</v>
      </c>
      <c r="W319" t="s">
        <v>82</v>
      </c>
      <c r="X319" t="s">
        <v>110</v>
      </c>
      <c r="Y319" t="s">
        <v>801</v>
      </c>
      <c r="Z319" t="s">
        <v>311</v>
      </c>
      <c r="AF319" t="s">
        <v>375</v>
      </c>
      <c r="AG319" t="s">
        <v>375</v>
      </c>
      <c r="AH319" t="s">
        <v>375</v>
      </c>
      <c r="AI319" t="s">
        <v>375</v>
      </c>
      <c r="AJ319" t="s">
        <v>375</v>
      </c>
      <c r="AK319" t="s">
        <v>375</v>
      </c>
      <c r="AM319" t="s">
        <v>106</v>
      </c>
      <c r="AQ319" t="s">
        <v>358</v>
      </c>
      <c r="AR319" s="2" t="s">
        <v>358</v>
      </c>
      <c r="AS319" s="2" t="s">
        <v>358</v>
      </c>
      <c r="AT319" t="s">
        <v>358</v>
      </c>
      <c r="AV319" s="2"/>
      <c r="AY319" t="s">
        <v>106</v>
      </c>
      <c r="AZ319"/>
      <c r="BA319" t="s">
        <v>1552</v>
      </c>
      <c r="BB319">
        <v>1.3</v>
      </c>
      <c r="BD319" t="s">
        <v>106</v>
      </c>
      <c r="BI319" t="s">
        <v>86</v>
      </c>
      <c r="BJ319">
        <v>44958</v>
      </c>
      <c r="BK319" t="s">
        <v>1641</v>
      </c>
      <c r="BL319" t="s">
        <v>106</v>
      </c>
      <c r="BT319" s="2">
        <f>Tabla1[[#This Row],[FECHA_TRASPLANTE]]</f>
        <v>43681</v>
      </c>
      <c r="BU319">
        <f>IF(Tabla1[[#This Row],[FALLECIDO SI/NO]]="NO",0,1)</f>
        <v>0</v>
      </c>
      <c r="BV319" s="3">
        <f ca="1">IF(Tabla1[[#This Row],[FALLECIDO_COD]]=0,TODAY()-Tabla1[[#This Row],[FECHA_TRASPLANTE]],Tabla1[[#This Row],[FECHA DE DEFUNCIÓN]]-Tabla1[[#This Row],[FECHA_TRASPLANTE]])</f>
        <v>2194</v>
      </c>
      <c r="BW319" s="3">
        <f ca="1">IF(Tabla1[[#This Row],[FALLECIDO_COD]]=0,TODAY()-Tabla1[[#This Row],[FECHA_TRASPLANTE]],Tabla1[[#This Row],[FECHA DE DEFUNCIÓN]]-Tabla1[[#This Row],[FECHA_TRASPLANTE]])/30.4375</f>
        <v>72.082135523613957</v>
      </c>
      <c r="BX319" s="3">
        <f ca="1">IF(Tabla1[[#This Row],[FALLECIDO_COD]]=0,TODAY()-Tabla1[[#This Row],[FECHA_TRASPLANTE]],Tabla1[[#This Row],[FECHA DE DEFUNCIÓN]]-Tabla1[[#This Row],[FECHA_TRASPLANTE]])/365.25</f>
        <v>6.0068446269678306</v>
      </c>
      <c r="BY319"/>
      <c r="BZ319"/>
    </row>
    <row r="320" spans="1:78" hidden="1" x14ac:dyDescent="0.35">
      <c r="A320" t="s">
        <v>377</v>
      </c>
      <c r="D320" t="s">
        <v>1129</v>
      </c>
      <c r="E320" t="s">
        <v>375</v>
      </c>
      <c r="I320">
        <v>119.96705559368566</v>
      </c>
      <c r="J320" t="s">
        <v>1642</v>
      </c>
      <c r="K320" t="s">
        <v>87</v>
      </c>
      <c r="L320" t="s">
        <v>362</v>
      </c>
      <c r="M320" t="s">
        <v>277</v>
      </c>
      <c r="N320" s="11">
        <v>107590329</v>
      </c>
      <c r="O320" s="2">
        <v>43698</v>
      </c>
      <c r="P320" t="s">
        <v>90</v>
      </c>
      <c r="Q320" s="2">
        <v>23158</v>
      </c>
      <c r="R320" s="3">
        <f>(Tabla1[[#This Row],[FECHA_TRASPLANTE]]-Tabla1[[#This Row],[FECHA_NAC]])/365.25</f>
        <v>56.23545516769336</v>
      </c>
      <c r="T320"/>
      <c r="W320" t="s">
        <v>82</v>
      </c>
      <c r="X320" t="s">
        <v>115</v>
      </c>
      <c r="Y320" t="s">
        <v>172</v>
      </c>
      <c r="Z320" t="s">
        <v>607</v>
      </c>
      <c r="AM320" t="s">
        <v>106</v>
      </c>
      <c r="AO320"/>
      <c r="AV320" s="2"/>
      <c r="AZ320"/>
      <c r="BT320" s="2">
        <f>Tabla1[[#This Row],[FECHA_TRASPLANTE]]</f>
        <v>43698</v>
      </c>
      <c r="BU320">
        <f>IF(Tabla1[[#This Row],[FALLECIDO SI/NO]]="NO",0,1)</f>
        <v>0</v>
      </c>
      <c r="BV320" s="3">
        <f ca="1">IF(Tabla1[[#This Row],[FALLECIDO_COD]]=0,TODAY()-Tabla1[[#This Row],[FECHA_TRASPLANTE]],Tabla1[[#This Row],[FECHA DE DEFUNCIÓN]]-Tabla1[[#This Row],[FECHA_TRASPLANTE]])</f>
        <v>2177</v>
      </c>
      <c r="BW320" s="3">
        <f ca="1">IF(Tabla1[[#This Row],[FALLECIDO_COD]]=0,TODAY()-Tabla1[[#This Row],[FECHA_TRASPLANTE]],Tabla1[[#This Row],[FECHA DE DEFUNCIÓN]]-Tabla1[[#This Row],[FECHA_TRASPLANTE]])/30.4375</f>
        <v>71.523613963039011</v>
      </c>
      <c r="BX320" s="3">
        <f ca="1">IF(Tabla1[[#This Row],[FALLECIDO_COD]]=0,TODAY()-Tabla1[[#This Row],[FECHA_TRASPLANTE]],Tabla1[[#This Row],[FECHA DE DEFUNCIÓN]]-Tabla1[[#This Row],[FECHA_TRASPLANTE]])/365.25</f>
        <v>5.9603011635865846</v>
      </c>
      <c r="BY320"/>
      <c r="BZ320"/>
    </row>
    <row r="321" spans="1:78" hidden="1" x14ac:dyDescent="0.35">
      <c r="A321" t="s">
        <v>377</v>
      </c>
      <c r="D321" t="s">
        <v>1129</v>
      </c>
      <c r="E321" t="s">
        <v>375</v>
      </c>
      <c r="I321">
        <v>119.98627316403569</v>
      </c>
      <c r="J321" t="s">
        <v>1643</v>
      </c>
      <c r="K321" t="s">
        <v>1644</v>
      </c>
      <c r="L321" t="s">
        <v>561</v>
      </c>
      <c r="M321" t="s">
        <v>98</v>
      </c>
      <c r="N321" s="11">
        <v>402620197</v>
      </c>
      <c r="O321" s="2">
        <v>43705</v>
      </c>
      <c r="P321" t="s">
        <v>81</v>
      </c>
      <c r="Q321" s="2">
        <v>37701</v>
      </c>
      <c r="R321" s="3">
        <f>(Tabla1[[#This Row],[FECHA_TRASPLANTE]]-Tabla1[[#This Row],[FECHA_NAC]])/365.25</f>
        <v>16.438056125941138</v>
      </c>
      <c r="T321"/>
      <c r="W321" t="s">
        <v>82</v>
      </c>
      <c r="X321" t="s">
        <v>1645</v>
      </c>
      <c r="AM321" t="s">
        <v>106</v>
      </c>
      <c r="AO321"/>
      <c r="AV321" s="2"/>
      <c r="AZ321"/>
      <c r="BT321" s="2">
        <f>Tabla1[[#This Row],[FECHA_TRASPLANTE]]</f>
        <v>43705</v>
      </c>
      <c r="BU321">
        <f>IF(Tabla1[[#This Row],[FALLECIDO SI/NO]]="NO",0,1)</f>
        <v>0</v>
      </c>
      <c r="BV321" s="3">
        <f ca="1">IF(Tabla1[[#This Row],[FALLECIDO_COD]]=0,TODAY()-Tabla1[[#This Row],[FECHA_TRASPLANTE]],Tabla1[[#This Row],[FECHA DE DEFUNCIÓN]]-Tabla1[[#This Row],[FECHA_TRASPLANTE]])</f>
        <v>2170</v>
      </c>
      <c r="BW321" s="3">
        <f ca="1">IF(Tabla1[[#This Row],[FALLECIDO_COD]]=0,TODAY()-Tabla1[[#This Row],[FECHA_TRASPLANTE]],Tabla1[[#This Row],[FECHA DE DEFUNCIÓN]]-Tabla1[[#This Row],[FECHA_TRASPLANTE]])/30.4375</f>
        <v>71.293634496919921</v>
      </c>
      <c r="BX321" s="3">
        <f ca="1">IF(Tabla1[[#This Row],[FALLECIDO_COD]]=0,TODAY()-Tabla1[[#This Row],[FECHA_TRASPLANTE]],Tabla1[[#This Row],[FECHA DE DEFUNCIÓN]]-Tabla1[[#This Row],[FECHA_TRASPLANTE]])/365.25</f>
        <v>5.9411362080766601</v>
      </c>
      <c r="BY321"/>
      <c r="BZ321"/>
    </row>
    <row r="322" spans="1:78" hidden="1" x14ac:dyDescent="0.35">
      <c r="A322" t="s">
        <v>1125</v>
      </c>
      <c r="D322" t="s">
        <v>1129</v>
      </c>
      <c r="E322" t="s">
        <v>375</v>
      </c>
      <c r="I322">
        <v>119.65776865160849</v>
      </c>
      <c r="J322" t="s">
        <v>1490</v>
      </c>
      <c r="K322" t="s">
        <v>1646</v>
      </c>
      <c r="L322" t="s">
        <v>99</v>
      </c>
      <c r="M322" t="s">
        <v>440</v>
      </c>
      <c r="N322" s="11">
        <v>1730100230</v>
      </c>
      <c r="O322" s="2">
        <v>43705</v>
      </c>
      <c r="R322" s="3">
        <f>(Tabla1[[#This Row],[FECHA_TRASPLANTE]]-Tabla1[[#This Row],[FECHA_NAC]])/365.25</f>
        <v>119.65776865160849</v>
      </c>
      <c r="T322"/>
      <c r="U322" t="s">
        <v>1348</v>
      </c>
      <c r="W322" t="s">
        <v>146</v>
      </c>
      <c r="AM322" t="s">
        <v>106</v>
      </c>
      <c r="AO322"/>
      <c r="AV322" s="2"/>
      <c r="AZ322"/>
      <c r="BT322" s="2">
        <f>Tabla1[[#This Row],[FECHA_TRASPLANTE]]</f>
        <v>43705</v>
      </c>
      <c r="BU322">
        <f>IF(Tabla1[[#This Row],[FALLECIDO SI/NO]]="NO",0,1)</f>
        <v>0</v>
      </c>
      <c r="BV322" s="3">
        <f ca="1">IF(Tabla1[[#This Row],[FALLECIDO_COD]]=0,TODAY()-Tabla1[[#This Row],[FECHA_TRASPLANTE]],Tabla1[[#This Row],[FECHA DE DEFUNCIÓN]]-Tabla1[[#This Row],[FECHA_TRASPLANTE]])</f>
        <v>2170</v>
      </c>
      <c r="BW322" s="3">
        <f ca="1">IF(Tabla1[[#This Row],[FALLECIDO_COD]]=0,TODAY()-Tabla1[[#This Row],[FECHA_TRASPLANTE]],Tabla1[[#This Row],[FECHA DE DEFUNCIÓN]]-Tabla1[[#This Row],[FECHA_TRASPLANTE]])/30.4375</f>
        <v>71.293634496919921</v>
      </c>
      <c r="BX322" s="3">
        <f ca="1">IF(Tabla1[[#This Row],[FALLECIDO_COD]]=0,TODAY()-Tabla1[[#This Row],[FECHA_TRASPLANTE]],Tabla1[[#This Row],[FECHA DE DEFUNCIÓN]]-Tabla1[[#This Row],[FECHA_TRASPLANTE]])/365.25</f>
        <v>5.9411362080766601</v>
      </c>
      <c r="BY322"/>
      <c r="BZ322"/>
    </row>
    <row r="323" spans="1:78" hidden="1" x14ac:dyDescent="0.35">
      <c r="A323" t="s">
        <v>377</v>
      </c>
      <c r="D323" t="s">
        <v>1129</v>
      </c>
      <c r="E323" t="s">
        <v>375</v>
      </c>
      <c r="I323">
        <v>120.00549073438573</v>
      </c>
      <c r="J323" t="s">
        <v>1647</v>
      </c>
      <c r="K323" t="s">
        <v>1648</v>
      </c>
      <c r="L323" t="s">
        <v>1195</v>
      </c>
      <c r="M323" t="s">
        <v>1510</v>
      </c>
      <c r="N323" s="11">
        <v>105020217</v>
      </c>
      <c r="O323" s="2">
        <v>43712</v>
      </c>
      <c r="P323" t="s">
        <v>90</v>
      </c>
      <c r="Q323" s="2">
        <v>21538</v>
      </c>
      <c r="R323" s="3">
        <f>(Tabla1[[#This Row],[FECHA_TRASPLANTE]]-Tabla1[[#This Row],[FECHA_NAC]])/365.25</f>
        <v>60.709103353867214</v>
      </c>
      <c r="T323"/>
      <c r="W323" t="s">
        <v>82</v>
      </c>
      <c r="X323" t="s">
        <v>1649</v>
      </c>
      <c r="AM323" t="s">
        <v>106</v>
      </c>
      <c r="AO323"/>
      <c r="AV323" s="2"/>
      <c r="AZ323"/>
      <c r="BT323" s="2">
        <f>Tabla1[[#This Row],[FECHA_TRASPLANTE]]</f>
        <v>43712</v>
      </c>
      <c r="BU323">
        <f>IF(Tabla1[[#This Row],[FALLECIDO SI/NO]]="NO",0,1)</f>
        <v>0</v>
      </c>
      <c r="BV323" s="3">
        <f ca="1">IF(Tabla1[[#This Row],[FALLECIDO_COD]]=0,TODAY()-Tabla1[[#This Row],[FECHA_TRASPLANTE]],Tabla1[[#This Row],[FECHA DE DEFUNCIÓN]]-Tabla1[[#This Row],[FECHA_TRASPLANTE]])</f>
        <v>2163</v>
      </c>
      <c r="BW323" s="3">
        <f ca="1">IF(Tabla1[[#This Row],[FALLECIDO_COD]]=0,TODAY()-Tabla1[[#This Row],[FECHA_TRASPLANTE]],Tabla1[[#This Row],[FECHA DE DEFUNCIÓN]]-Tabla1[[#This Row],[FECHA_TRASPLANTE]])/30.4375</f>
        <v>71.063655030800817</v>
      </c>
      <c r="BX323" s="3">
        <f ca="1">IF(Tabla1[[#This Row],[FALLECIDO_COD]]=0,TODAY()-Tabla1[[#This Row],[FECHA_TRASPLANTE]],Tabla1[[#This Row],[FECHA DE DEFUNCIÓN]]-Tabla1[[#This Row],[FECHA_TRASPLANTE]])/365.25</f>
        <v>5.9219712525667347</v>
      </c>
      <c r="BY323"/>
      <c r="BZ323"/>
    </row>
    <row r="324" spans="1:78" hidden="1" x14ac:dyDescent="0.35">
      <c r="A324" t="s">
        <v>377</v>
      </c>
      <c r="D324" t="s">
        <v>1129</v>
      </c>
      <c r="E324" t="s">
        <v>77</v>
      </c>
      <c r="I324">
        <v>120.00549073438573</v>
      </c>
      <c r="K324" t="s">
        <v>1432</v>
      </c>
      <c r="L324" t="s">
        <v>1433</v>
      </c>
      <c r="M324" t="s">
        <v>440</v>
      </c>
      <c r="N324" s="11">
        <v>207030297</v>
      </c>
      <c r="O324" s="2">
        <v>43712</v>
      </c>
      <c r="P324" t="s">
        <v>81</v>
      </c>
      <c r="Q324" s="2">
        <v>33844</v>
      </c>
      <c r="R324" s="3">
        <f>(Tabla1[[#This Row],[FECHA_TRASPLANTE]]-Tabla1[[#This Row],[FECHA_NAC]])/365.25</f>
        <v>27.017111567419576</v>
      </c>
      <c r="T324"/>
      <c r="W324" t="s">
        <v>82</v>
      </c>
      <c r="X324" t="s">
        <v>125</v>
      </c>
      <c r="Y324" t="s">
        <v>441</v>
      </c>
      <c r="Z324" t="s">
        <v>1434</v>
      </c>
      <c r="AM324" t="s">
        <v>106</v>
      </c>
      <c r="AO324"/>
      <c r="AV324" s="2"/>
      <c r="AZ324"/>
      <c r="BT324" s="2">
        <f>Tabla1[[#This Row],[FECHA_TRASPLANTE]]</f>
        <v>43712</v>
      </c>
      <c r="BU324">
        <f>IF(Tabla1[[#This Row],[FALLECIDO SI/NO]]="NO",0,1)</f>
        <v>0</v>
      </c>
      <c r="BV324" s="3">
        <f ca="1">IF(Tabla1[[#This Row],[FALLECIDO_COD]]=0,TODAY()-Tabla1[[#This Row],[FECHA_TRASPLANTE]],Tabla1[[#This Row],[FECHA DE DEFUNCIÓN]]-Tabla1[[#This Row],[FECHA_TRASPLANTE]])</f>
        <v>2163</v>
      </c>
      <c r="BW324" s="3">
        <f ca="1">IF(Tabla1[[#This Row],[FALLECIDO_COD]]=0,TODAY()-Tabla1[[#This Row],[FECHA_TRASPLANTE]],Tabla1[[#This Row],[FECHA DE DEFUNCIÓN]]-Tabla1[[#This Row],[FECHA_TRASPLANTE]])/30.4375</f>
        <v>71.063655030800817</v>
      </c>
      <c r="BX324" s="3">
        <f ca="1">IF(Tabla1[[#This Row],[FALLECIDO_COD]]=0,TODAY()-Tabla1[[#This Row],[FECHA_TRASPLANTE]],Tabla1[[#This Row],[FECHA DE DEFUNCIÓN]]-Tabla1[[#This Row],[FECHA_TRASPLANTE]])/365.25</f>
        <v>5.9219712525667347</v>
      </c>
      <c r="BY324"/>
      <c r="BZ324"/>
    </row>
    <row r="325" spans="1:78" hidden="1" x14ac:dyDescent="0.35">
      <c r="A325" t="s">
        <v>75</v>
      </c>
      <c r="D325" t="s">
        <v>1129</v>
      </c>
      <c r="E325" t="s">
        <v>77</v>
      </c>
      <c r="I325">
        <v>120.00549073438573</v>
      </c>
      <c r="K325" t="s">
        <v>1650</v>
      </c>
      <c r="L325" t="s">
        <v>145</v>
      </c>
      <c r="M325" t="s">
        <v>145</v>
      </c>
      <c r="N325" s="11">
        <v>800790204</v>
      </c>
      <c r="O325" s="16">
        <v>43712</v>
      </c>
      <c r="P325" t="s">
        <v>90</v>
      </c>
      <c r="Q325" s="2">
        <v>27135</v>
      </c>
      <c r="R325" s="3">
        <f>(Tabla1[[#This Row],[FECHA_TRASPLANTE]]-Tabla1[[#This Row],[FECHA_NAC]])/365.25</f>
        <v>45.385352498288846</v>
      </c>
      <c r="T325"/>
      <c r="W325" t="s">
        <v>82</v>
      </c>
      <c r="AM325" t="s">
        <v>86</v>
      </c>
      <c r="AN325" s="2">
        <v>44126</v>
      </c>
      <c r="AO325"/>
      <c r="AV325" s="2"/>
      <c r="AZ325"/>
      <c r="BJ325" s="2"/>
      <c r="BT325" s="2">
        <f>Tabla1[[#This Row],[FECHA_TRASPLANTE]]</f>
        <v>43712</v>
      </c>
      <c r="BU325">
        <f>IF(Tabla1[[#This Row],[FALLECIDO SI/NO]]="NO",0,1)</f>
        <v>1</v>
      </c>
      <c r="BV325" s="3">
        <f ca="1">IF(Tabla1[[#This Row],[FALLECIDO_COD]]=0,TODAY()-Tabla1[[#This Row],[FECHA_TRASPLANTE]],Tabla1[[#This Row],[FECHA DE DEFUNCIÓN]]-Tabla1[[#This Row],[FECHA_TRASPLANTE]])</f>
        <v>414</v>
      </c>
      <c r="BW325" s="3">
        <f ca="1">IF(Tabla1[[#This Row],[FALLECIDO_COD]]=0,TODAY()-Tabla1[[#This Row],[FECHA_TRASPLANTE]],Tabla1[[#This Row],[FECHA DE DEFUNCIÓN]]-Tabla1[[#This Row],[FECHA_TRASPLANTE]])/30.4375</f>
        <v>13.60164271047228</v>
      </c>
      <c r="BX325" s="3">
        <f ca="1">IF(Tabla1[[#This Row],[FALLECIDO_COD]]=0,TODAY()-Tabla1[[#This Row],[FECHA_TRASPLANTE]],Tabla1[[#This Row],[FECHA DE DEFUNCIÓN]]-Tabla1[[#This Row],[FECHA_TRASPLANTE]])/365.25</f>
        <v>1.1334702258726899</v>
      </c>
      <c r="BY325"/>
      <c r="BZ325"/>
    </row>
    <row r="326" spans="1:78" hidden="1" x14ac:dyDescent="0.35">
      <c r="A326" t="s">
        <v>377</v>
      </c>
      <c r="D326" t="s">
        <v>1129</v>
      </c>
      <c r="E326" t="s">
        <v>375</v>
      </c>
      <c r="I326">
        <v>120.02470830473575</v>
      </c>
      <c r="J326" t="s">
        <v>1651</v>
      </c>
      <c r="K326" t="s">
        <v>1652</v>
      </c>
      <c r="L326" t="s">
        <v>1653</v>
      </c>
      <c r="M326" t="s">
        <v>260</v>
      </c>
      <c r="N326" s="11">
        <v>504210302</v>
      </c>
      <c r="O326" s="2">
        <v>43719</v>
      </c>
      <c r="P326" t="s">
        <v>81</v>
      </c>
      <c r="Q326" s="2">
        <v>35882</v>
      </c>
      <c r="R326" s="3">
        <f>(Tabla1[[#This Row],[FECHA_TRASPLANTE]]-Tabla1[[#This Row],[FECHA_NAC]])/365.25</f>
        <v>21.456536618754278</v>
      </c>
      <c r="T326"/>
      <c r="W326" t="s">
        <v>82</v>
      </c>
      <c r="X326" t="s">
        <v>125</v>
      </c>
      <c r="Y326" t="s">
        <v>168</v>
      </c>
      <c r="Z326" t="s">
        <v>168</v>
      </c>
      <c r="AM326" t="s">
        <v>106</v>
      </c>
      <c r="AO326"/>
      <c r="AV326" s="2"/>
      <c r="AZ326"/>
      <c r="BT326" s="2">
        <f>Tabla1[[#This Row],[FECHA_TRASPLANTE]]</f>
        <v>43719</v>
      </c>
      <c r="BU326">
        <f>IF(Tabla1[[#This Row],[FALLECIDO SI/NO]]="NO",0,1)</f>
        <v>0</v>
      </c>
      <c r="BV326" s="3">
        <f ca="1">IF(Tabla1[[#This Row],[FALLECIDO_COD]]=0,TODAY()-Tabla1[[#This Row],[FECHA_TRASPLANTE]],Tabla1[[#This Row],[FECHA DE DEFUNCIÓN]]-Tabla1[[#This Row],[FECHA_TRASPLANTE]])</f>
        <v>2156</v>
      </c>
      <c r="BW326" s="3">
        <f ca="1">IF(Tabla1[[#This Row],[FALLECIDO_COD]]=0,TODAY()-Tabla1[[#This Row],[FECHA_TRASPLANTE]],Tabla1[[#This Row],[FECHA DE DEFUNCIÓN]]-Tabla1[[#This Row],[FECHA_TRASPLANTE]])/30.4375</f>
        <v>70.833675564681727</v>
      </c>
      <c r="BX326" s="3">
        <f ca="1">IF(Tabla1[[#This Row],[FALLECIDO_COD]]=0,TODAY()-Tabla1[[#This Row],[FECHA_TRASPLANTE]],Tabla1[[#This Row],[FECHA DE DEFUNCIÓN]]-Tabla1[[#This Row],[FECHA_TRASPLANTE]])/365.25</f>
        <v>5.9028062970568103</v>
      </c>
      <c r="BY326"/>
      <c r="BZ326"/>
    </row>
    <row r="327" spans="1:78" hidden="1" x14ac:dyDescent="0.35">
      <c r="A327" t="s">
        <v>75</v>
      </c>
      <c r="D327" t="s">
        <v>1129</v>
      </c>
      <c r="E327" t="s">
        <v>375</v>
      </c>
      <c r="I327">
        <v>120.06039807824297</v>
      </c>
      <c r="K327" t="s">
        <v>1654</v>
      </c>
      <c r="L327" t="s">
        <v>155</v>
      </c>
      <c r="M327" t="s">
        <v>1444</v>
      </c>
      <c r="N327" s="11">
        <v>303360810</v>
      </c>
      <c r="O327" s="16">
        <v>43732</v>
      </c>
      <c r="P327" t="s">
        <v>81</v>
      </c>
      <c r="Q327" s="2">
        <v>27516</v>
      </c>
      <c r="R327" s="3">
        <f>(Tabla1[[#This Row],[FECHA_TRASPLANTE]]-Tabla1[[#This Row],[FECHA_NAC]])/365.25</f>
        <v>44.396988364134153</v>
      </c>
      <c r="T327"/>
      <c r="W327" t="s">
        <v>82</v>
      </c>
      <c r="X327" t="s">
        <v>110</v>
      </c>
      <c r="Y327" t="s">
        <v>134</v>
      </c>
      <c r="Z327" t="s">
        <v>134</v>
      </c>
      <c r="AM327" t="s">
        <v>106</v>
      </c>
      <c r="AO327"/>
      <c r="AV327" s="2"/>
      <c r="AZ327"/>
      <c r="BJ327" s="2"/>
      <c r="BT327" s="2">
        <f>Tabla1[[#This Row],[FECHA_TRASPLANTE]]</f>
        <v>43732</v>
      </c>
      <c r="BU327">
        <f>IF(Tabla1[[#This Row],[FALLECIDO SI/NO]]="NO",0,1)</f>
        <v>0</v>
      </c>
      <c r="BV327" s="3">
        <f ca="1">IF(Tabla1[[#This Row],[FALLECIDO_COD]]=0,TODAY()-Tabla1[[#This Row],[FECHA_TRASPLANTE]],Tabla1[[#This Row],[FECHA DE DEFUNCIÓN]]-Tabla1[[#This Row],[FECHA_TRASPLANTE]])</f>
        <v>2143</v>
      </c>
      <c r="BW327" s="3">
        <f ca="1">IF(Tabla1[[#This Row],[FALLECIDO_COD]]=0,TODAY()-Tabla1[[#This Row],[FECHA_TRASPLANTE]],Tabla1[[#This Row],[FECHA DE DEFUNCIÓN]]-Tabla1[[#This Row],[FECHA_TRASPLANTE]])/30.4375</f>
        <v>70.406570841889121</v>
      </c>
      <c r="BX327" s="3">
        <f ca="1">IF(Tabla1[[#This Row],[FALLECIDO_COD]]=0,TODAY()-Tabla1[[#This Row],[FECHA_TRASPLANTE]],Tabla1[[#This Row],[FECHA DE DEFUNCIÓN]]-Tabla1[[#This Row],[FECHA_TRASPLANTE]])/365.25</f>
        <v>5.8672142368240934</v>
      </c>
      <c r="BY327"/>
      <c r="BZ327"/>
    </row>
    <row r="328" spans="1:78" hidden="1" x14ac:dyDescent="0.35">
      <c r="A328" t="s">
        <v>377</v>
      </c>
      <c r="D328" t="s">
        <v>1129</v>
      </c>
      <c r="E328" t="s">
        <v>375</v>
      </c>
      <c r="I328">
        <v>120.08236101578586</v>
      </c>
      <c r="J328" t="s">
        <v>1655</v>
      </c>
      <c r="K328" t="s">
        <v>520</v>
      </c>
      <c r="L328" t="s">
        <v>1245</v>
      </c>
      <c r="M328" t="s">
        <v>360</v>
      </c>
      <c r="N328" s="11">
        <v>114700673</v>
      </c>
      <c r="O328" s="2">
        <v>43740</v>
      </c>
      <c r="P328" t="s">
        <v>81</v>
      </c>
      <c r="Q328" s="2">
        <v>33425</v>
      </c>
      <c r="R328" s="3">
        <f>(Tabla1[[#This Row],[FECHA_TRASPLANTE]]-Tabla1[[#This Row],[FECHA_NAC]])/365.25</f>
        <v>28.240930869267626</v>
      </c>
      <c r="T328"/>
      <c r="W328" t="s">
        <v>82</v>
      </c>
      <c r="X328" t="s">
        <v>91</v>
      </c>
      <c r="Y328" t="s">
        <v>179</v>
      </c>
      <c r="Z328" t="s">
        <v>621</v>
      </c>
      <c r="AM328" t="s">
        <v>106</v>
      </c>
      <c r="AO328"/>
      <c r="AV328" s="2"/>
      <c r="AZ328"/>
      <c r="BT328" s="2">
        <f>Tabla1[[#This Row],[FECHA_TRASPLANTE]]</f>
        <v>43740</v>
      </c>
      <c r="BU328">
        <f>IF(Tabla1[[#This Row],[FALLECIDO SI/NO]]="NO",0,1)</f>
        <v>0</v>
      </c>
      <c r="BV328" s="3">
        <f ca="1">IF(Tabla1[[#This Row],[FALLECIDO_COD]]=0,TODAY()-Tabla1[[#This Row],[FECHA_TRASPLANTE]],Tabla1[[#This Row],[FECHA DE DEFUNCIÓN]]-Tabla1[[#This Row],[FECHA_TRASPLANTE]])</f>
        <v>2135</v>
      </c>
      <c r="BW328" s="3">
        <f ca="1">IF(Tabla1[[#This Row],[FALLECIDO_COD]]=0,TODAY()-Tabla1[[#This Row],[FECHA_TRASPLANTE]],Tabla1[[#This Row],[FECHA DE DEFUNCIÓN]]-Tabla1[[#This Row],[FECHA_TRASPLANTE]])/30.4375</f>
        <v>70.143737166324442</v>
      </c>
      <c r="BX328" s="3">
        <f ca="1">IF(Tabla1[[#This Row],[FALLECIDO_COD]]=0,TODAY()-Tabla1[[#This Row],[FECHA_TRASPLANTE]],Tabla1[[#This Row],[FECHA DE DEFUNCIÓN]]-Tabla1[[#This Row],[FECHA_TRASPLANTE]])/365.25</f>
        <v>5.8453114305270359</v>
      </c>
      <c r="BY328"/>
      <c r="BZ328"/>
    </row>
    <row r="329" spans="1:78" hidden="1" x14ac:dyDescent="0.35">
      <c r="A329" t="s">
        <v>377</v>
      </c>
      <c r="D329" t="s">
        <v>1129</v>
      </c>
      <c r="E329" t="s">
        <v>375</v>
      </c>
      <c r="I329">
        <v>120.1015785861359</v>
      </c>
      <c r="J329" t="s">
        <v>1656</v>
      </c>
      <c r="K329" t="s">
        <v>1657</v>
      </c>
      <c r="L329" t="s">
        <v>1502</v>
      </c>
      <c r="M329" t="s">
        <v>203</v>
      </c>
      <c r="N329" s="11">
        <v>204670373</v>
      </c>
      <c r="O329" s="2">
        <v>43747</v>
      </c>
      <c r="P329" t="s">
        <v>81</v>
      </c>
      <c r="Q329" s="2">
        <v>25966</v>
      </c>
      <c r="R329" s="3">
        <f>(Tabla1[[#This Row],[FECHA_TRASPLANTE]]-Tabla1[[#This Row],[FECHA_NAC]])/365.25</f>
        <v>48.681724845995895</v>
      </c>
      <c r="T329"/>
      <c r="W329" t="s">
        <v>82</v>
      </c>
      <c r="X329" t="s">
        <v>91</v>
      </c>
      <c r="Y329" t="s">
        <v>179</v>
      </c>
      <c r="Z329" t="s">
        <v>537</v>
      </c>
      <c r="AM329" t="s">
        <v>106</v>
      </c>
      <c r="AO329"/>
      <c r="AV329" s="2"/>
      <c r="AZ329"/>
      <c r="BT329" s="2">
        <f>Tabla1[[#This Row],[FECHA_TRASPLANTE]]</f>
        <v>43747</v>
      </c>
      <c r="BU329">
        <f>IF(Tabla1[[#This Row],[FALLECIDO SI/NO]]="NO",0,1)</f>
        <v>0</v>
      </c>
      <c r="BV329" s="3">
        <f ca="1">IF(Tabla1[[#This Row],[FALLECIDO_COD]]=0,TODAY()-Tabla1[[#This Row],[FECHA_TRASPLANTE]],Tabla1[[#This Row],[FECHA DE DEFUNCIÓN]]-Tabla1[[#This Row],[FECHA_TRASPLANTE]])</f>
        <v>2128</v>
      </c>
      <c r="BW329" s="3">
        <f ca="1">IF(Tabla1[[#This Row],[FALLECIDO_COD]]=0,TODAY()-Tabla1[[#This Row],[FECHA_TRASPLANTE]],Tabla1[[#This Row],[FECHA DE DEFUNCIÓN]]-Tabla1[[#This Row],[FECHA_TRASPLANTE]])/30.4375</f>
        <v>69.913757700205338</v>
      </c>
      <c r="BX329" s="3">
        <f ca="1">IF(Tabla1[[#This Row],[FALLECIDO_COD]]=0,TODAY()-Tabla1[[#This Row],[FECHA_TRASPLANTE]],Tabla1[[#This Row],[FECHA DE DEFUNCIÓN]]-Tabla1[[#This Row],[FECHA_TRASPLANTE]])/365.25</f>
        <v>5.8261464750171115</v>
      </c>
      <c r="BY329"/>
      <c r="BZ329"/>
    </row>
    <row r="330" spans="1:78" hidden="1" x14ac:dyDescent="0.35">
      <c r="A330" t="s">
        <v>377</v>
      </c>
      <c r="D330" t="s">
        <v>1129</v>
      </c>
      <c r="E330" t="s">
        <v>375</v>
      </c>
      <c r="I330">
        <v>120.12079615648592</v>
      </c>
      <c r="J330" t="s">
        <v>1658</v>
      </c>
      <c r="K330" t="s">
        <v>1111</v>
      </c>
      <c r="L330" t="s">
        <v>269</v>
      </c>
      <c r="M330" t="s">
        <v>1659</v>
      </c>
      <c r="N330" s="11">
        <v>208450299</v>
      </c>
      <c r="O330" s="2">
        <v>43754</v>
      </c>
      <c r="P330" t="s">
        <v>81</v>
      </c>
      <c r="Q330" s="2">
        <v>37869</v>
      </c>
      <c r="R330" s="3">
        <f>(Tabla1[[#This Row],[FECHA_TRASPLANTE]]-Tabla1[[#This Row],[FECHA_NAC]])/365.25</f>
        <v>16.112251882272417</v>
      </c>
      <c r="T330"/>
      <c r="W330" t="s">
        <v>82</v>
      </c>
      <c r="AM330" t="s">
        <v>106</v>
      </c>
      <c r="AO330"/>
      <c r="AV330" s="2"/>
      <c r="AZ330"/>
      <c r="BT330" s="2">
        <f>Tabla1[[#This Row],[FECHA_TRASPLANTE]]</f>
        <v>43754</v>
      </c>
      <c r="BU330">
        <f>IF(Tabla1[[#This Row],[FALLECIDO SI/NO]]="NO",0,1)</f>
        <v>0</v>
      </c>
      <c r="BV330" s="3">
        <f ca="1">IF(Tabla1[[#This Row],[FALLECIDO_COD]]=0,TODAY()-Tabla1[[#This Row],[FECHA_TRASPLANTE]],Tabla1[[#This Row],[FECHA DE DEFUNCIÓN]]-Tabla1[[#This Row],[FECHA_TRASPLANTE]])</f>
        <v>2121</v>
      </c>
      <c r="BW330" s="3">
        <f ca="1">IF(Tabla1[[#This Row],[FALLECIDO_COD]]=0,TODAY()-Tabla1[[#This Row],[FECHA_TRASPLANTE]],Tabla1[[#This Row],[FECHA DE DEFUNCIÓN]]-Tabla1[[#This Row],[FECHA_TRASPLANTE]])/30.4375</f>
        <v>69.683778234086247</v>
      </c>
      <c r="BX330" s="3">
        <f ca="1">IF(Tabla1[[#This Row],[FALLECIDO_COD]]=0,TODAY()-Tabla1[[#This Row],[FECHA_TRASPLANTE]],Tabla1[[#This Row],[FECHA DE DEFUNCIÓN]]-Tabla1[[#This Row],[FECHA_TRASPLANTE]])/365.25</f>
        <v>5.806981519507187</v>
      </c>
      <c r="BY330"/>
      <c r="BZ330"/>
    </row>
    <row r="331" spans="1:78" hidden="1" x14ac:dyDescent="0.35">
      <c r="A331" t="s">
        <v>377</v>
      </c>
      <c r="D331" t="s">
        <v>1129</v>
      </c>
      <c r="E331" t="s">
        <v>375</v>
      </c>
      <c r="I331">
        <v>120.14001372683596</v>
      </c>
      <c r="J331" t="s">
        <v>1660</v>
      </c>
      <c r="K331" t="s">
        <v>1661</v>
      </c>
      <c r="L331" t="s">
        <v>393</v>
      </c>
      <c r="M331" t="s">
        <v>592</v>
      </c>
      <c r="N331" s="11">
        <v>204480067</v>
      </c>
      <c r="O331" s="2">
        <v>43761</v>
      </c>
      <c r="P331" t="s">
        <v>81</v>
      </c>
      <c r="Q331" s="2">
        <v>25329</v>
      </c>
      <c r="R331" s="3">
        <f>(Tabla1[[#This Row],[FECHA_TRASPLANTE]]-Tabla1[[#This Row],[FECHA_NAC]])/365.25</f>
        <v>50.464065708418893</v>
      </c>
      <c r="T331"/>
      <c r="W331" t="s">
        <v>82</v>
      </c>
      <c r="X331" t="s">
        <v>83</v>
      </c>
      <c r="Y331" t="s">
        <v>783</v>
      </c>
      <c r="Z331" t="s">
        <v>784</v>
      </c>
      <c r="AM331" t="s">
        <v>106</v>
      </c>
      <c r="AO331"/>
      <c r="AV331" s="2"/>
      <c r="AZ331"/>
      <c r="BT331" s="2">
        <f>Tabla1[[#This Row],[FECHA_TRASPLANTE]]</f>
        <v>43761</v>
      </c>
      <c r="BU331">
        <f>IF(Tabla1[[#This Row],[FALLECIDO SI/NO]]="NO",0,1)</f>
        <v>0</v>
      </c>
      <c r="BV331" s="3">
        <f ca="1">IF(Tabla1[[#This Row],[FALLECIDO_COD]]=0,TODAY()-Tabla1[[#This Row],[FECHA_TRASPLANTE]],Tabla1[[#This Row],[FECHA DE DEFUNCIÓN]]-Tabla1[[#This Row],[FECHA_TRASPLANTE]])</f>
        <v>2114</v>
      </c>
      <c r="BW331" s="3">
        <f ca="1">IF(Tabla1[[#This Row],[FALLECIDO_COD]]=0,TODAY()-Tabla1[[#This Row],[FECHA_TRASPLANTE]],Tabla1[[#This Row],[FECHA DE DEFUNCIÓN]]-Tabla1[[#This Row],[FECHA_TRASPLANTE]])/30.4375</f>
        <v>69.453798767967143</v>
      </c>
      <c r="BX331" s="3">
        <f ca="1">IF(Tabla1[[#This Row],[FALLECIDO_COD]]=0,TODAY()-Tabla1[[#This Row],[FECHA_TRASPLANTE]],Tabla1[[#This Row],[FECHA DE DEFUNCIÓN]]-Tabla1[[#This Row],[FECHA_TRASPLANTE]])/365.25</f>
        <v>5.7878165639972625</v>
      </c>
      <c r="BY331"/>
      <c r="BZ331"/>
    </row>
    <row r="332" spans="1:78" hidden="1" x14ac:dyDescent="0.35">
      <c r="A332" t="s">
        <v>1125</v>
      </c>
      <c r="D332" t="s">
        <v>1129</v>
      </c>
      <c r="E332" t="s">
        <v>375</v>
      </c>
      <c r="I332">
        <v>119.81108829568788</v>
      </c>
      <c r="J332" t="s">
        <v>1346</v>
      </c>
      <c r="K332" t="s">
        <v>1662</v>
      </c>
      <c r="L332" t="s">
        <v>400</v>
      </c>
      <c r="M332" t="s">
        <v>453</v>
      </c>
      <c r="N332" s="11">
        <v>110800749</v>
      </c>
      <c r="O332" s="2">
        <v>43761</v>
      </c>
      <c r="R332" s="3">
        <f>(Tabla1[[#This Row],[FECHA_TRASPLANTE]]-Tabla1[[#This Row],[FECHA_NAC]])/365.25</f>
        <v>119.81108829568788</v>
      </c>
      <c r="T332"/>
      <c r="U332" t="s">
        <v>1348</v>
      </c>
      <c r="W332" t="s">
        <v>82</v>
      </c>
      <c r="X332" t="s">
        <v>91</v>
      </c>
      <c r="Y332" t="s">
        <v>84</v>
      </c>
      <c r="Z332" t="s">
        <v>598</v>
      </c>
      <c r="AM332" t="s">
        <v>106</v>
      </c>
      <c r="AO332"/>
      <c r="AV332" s="2"/>
      <c r="AZ332"/>
      <c r="BT332" s="2">
        <f>Tabla1[[#This Row],[FECHA_TRASPLANTE]]</f>
        <v>43761</v>
      </c>
      <c r="BU332">
        <f>IF(Tabla1[[#This Row],[FALLECIDO SI/NO]]="NO",0,1)</f>
        <v>0</v>
      </c>
      <c r="BV332" s="3">
        <f ca="1">IF(Tabla1[[#This Row],[FALLECIDO_COD]]=0,TODAY()-Tabla1[[#This Row],[FECHA_TRASPLANTE]],Tabla1[[#This Row],[FECHA DE DEFUNCIÓN]]-Tabla1[[#This Row],[FECHA_TRASPLANTE]])</f>
        <v>2114</v>
      </c>
      <c r="BW332" s="3">
        <f ca="1">IF(Tabla1[[#This Row],[FALLECIDO_COD]]=0,TODAY()-Tabla1[[#This Row],[FECHA_TRASPLANTE]],Tabla1[[#This Row],[FECHA DE DEFUNCIÓN]]-Tabla1[[#This Row],[FECHA_TRASPLANTE]])/30.4375</f>
        <v>69.453798767967143</v>
      </c>
      <c r="BX332" s="3">
        <f ca="1">IF(Tabla1[[#This Row],[FALLECIDO_COD]]=0,TODAY()-Tabla1[[#This Row],[FECHA_TRASPLANTE]],Tabla1[[#This Row],[FECHA DE DEFUNCIÓN]]-Tabla1[[#This Row],[FECHA_TRASPLANTE]])/365.25</f>
        <v>5.7878165639972625</v>
      </c>
      <c r="BY332"/>
      <c r="BZ332"/>
    </row>
    <row r="333" spans="1:78" hidden="1" x14ac:dyDescent="0.35">
      <c r="A333" t="s">
        <v>75</v>
      </c>
      <c r="D333" t="s">
        <v>1129</v>
      </c>
      <c r="E333" t="s">
        <v>77</v>
      </c>
      <c r="I333">
        <v>120.14275909402883</v>
      </c>
      <c r="K333" t="s">
        <v>1663</v>
      </c>
      <c r="L333" t="s">
        <v>1664</v>
      </c>
      <c r="M333" t="s">
        <v>89</v>
      </c>
      <c r="N333" s="11">
        <v>114990079</v>
      </c>
      <c r="O333" s="16">
        <v>43762</v>
      </c>
      <c r="P333" t="s">
        <v>90</v>
      </c>
      <c r="Q333" s="2">
        <v>33701</v>
      </c>
      <c r="R333" s="3">
        <f>(Tabla1[[#This Row],[FECHA_TRASPLANTE]]-Tabla1[[#This Row],[FECHA_NAC]])/365.25</f>
        <v>27.545516769336071</v>
      </c>
      <c r="T333"/>
      <c r="W333" t="s">
        <v>82</v>
      </c>
      <c r="X333" t="s">
        <v>91</v>
      </c>
      <c r="Y333" t="s">
        <v>157</v>
      </c>
      <c r="Z333" t="s">
        <v>158</v>
      </c>
      <c r="AM333" t="s">
        <v>106</v>
      </c>
      <c r="AO333"/>
      <c r="AV333" s="2"/>
      <c r="AZ333"/>
      <c r="BJ333" s="2"/>
      <c r="BT333" s="2">
        <f>Tabla1[[#This Row],[FECHA_TRASPLANTE]]</f>
        <v>43762</v>
      </c>
      <c r="BU333">
        <f>IF(Tabla1[[#This Row],[FALLECIDO SI/NO]]="NO",0,1)</f>
        <v>0</v>
      </c>
      <c r="BV333" s="3">
        <f ca="1">IF(Tabla1[[#This Row],[FALLECIDO_COD]]=0,TODAY()-Tabla1[[#This Row],[FECHA_TRASPLANTE]],Tabla1[[#This Row],[FECHA DE DEFUNCIÓN]]-Tabla1[[#This Row],[FECHA_TRASPLANTE]])</f>
        <v>2113</v>
      </c>
      <c r="BW333" s="3">
        <f ca="1">IF(Tabla1[[#This Row],[FALLECIDO_COD]]=0,TODAY()-Tabla1[[#This Row],[FECHA_TRASPLANTE]],Tabla1[[#This Row],[FECHA DE DEFUNCIÓN]]-Tabla1[[#This Row],[FECHA_TRASPLANTE]])/30.4375</f>
        <v>69.420944558521555</v>
      </c>
      <c r="BX333" s="3">
        <f ca="1">IF(Tabla1[[#This Row],[FALLECIDO_COD]]=0,TODAY()-Tabla1[[#This Row],[FECHA_TRASPLANTE]],Tabla1[[#This Row],[FECHA DE DEFUNCIÓN]]-Tabla1[[#This Row],[FECHA_TRASPLANTE]])/365.25</f>
        <v>5.7850787132101305</v>
      </c>
      <c r="BY333"/>
      <c r="BZ333"/>
    </row>
    <row r="334" spans="1:78" hidden="1" x14ac:dyDescent="0.35">
      <c r="A334" t="s">
        <v>376</v>
      </c>
      <c r="B334" t="s">
        <v>376</v>
      </c>
      <c r="D334" t="s">
        <v>1129</v>
      </c>
      <c r="E334" t="s">
        <v>77</v>
      </c>
      <c r="I334">
        <v>120.14550446122169</v>
      </c>
      <c r="K334" t="s">
        <v>1665</v>
      </c>
      <c r="L334" t="s">
        <v>1666</v>
      </c>
      <c r="M334" t="s">
        <v>280</v>
      </c>
      <c r="N334" s="11">
        <v>504610497</v>
      </c>
      <c r="O334" s="2">
        <v>43763</v>
      </c>
      <c r="P334" t="s">
        <v>90</v>
      </c>
      <c r="Q334" s="2">
        <v>38612</v>
      </c>
      <c r="R334" s="3">
        <f>(Tabla1[[#This Row],[FECHA_TRASPLANTE]]-Tabla1[[#This Row],[FECHA_NAC]])/365.25</f>
        <v>14.102669404517453</v>
      </c>
      <c r="T334"/>
      <c r="W334" t="s">
        <v>82</v>
      </c>
      <c r="AM334" t="s">
        <v>106</v>
      </c>
      <c r="AO334"/>
      <c r="AV334" s="2"/>
      <c r="AZ334"/>
      <c r="BT334" s="2">
        <f>Tabla1[[#This Row],[FECHA_TRASPLANTE]]</f>
        <v>43763</v>
      </c>
      <c r="BU334">
        <f>IF(Tabla1[[#This Row],[FALLECIDO SI/NO]]="NO",0,1)</f>
        <v>0</v>
      </c>
      <c r="BV334" s="3">
        <f ca="1">IF(Tabla1[[#This Row],[FALLECIDO_COD]]=0,TODAY()-Tabla1[[#This Row],[FECHA_TRASPLANTE]],Tabla1[[#This Row],[FECHA DE DEFUNCIÓN]]-Tabla1[[#This Row],[FECHA_TRASPLANTE]])</f>
        <v>2112</v>
      </c>
      <c r="BW334" s="3">
        <f ca="1">IF(Tabla1[[#This Row],[FALLECIDO_COD]]=0,TODAY()-Tabla1[[#This Row],[FECHA_TRASPLANTE]],Tabla1[[#This Row],[FECHA DE DEFUNCIÓN]]-Tabla1[[#This Row],[FECHA_TRASPLANTE]])/30.4375</f>
        <v>69.388090349075981</v>
      </c>
      <c r="BX334" s="3">
        <f ca="1">IF(Tabla1[[#This Row],[FALLECIDO_COD]]=0,TODAY()-Tabla1[[#This Row],[FECHA_TRASPLANTE]],Tabla1[[#This Row],[FECHA DE DEFUNCIÓN]]-Tabla1[[#This Row],[FECHA_TRASPLANTE]])/365.25</f>
        <v>5.7823408624229984</v>
      </c>
      <c r="BY334"/>
      <c r="BZ334"/>
    </row>
    <row r="335" spans="1:78" hidden="1" x14ac:dyDescent="0.35">
      <c r="A335" t="s">
        <v>75</v>
      </c>
      <c r="D335" t="s">
        <v>1129</v>
      </c>
      <c r="E335" t="s">
        <v>77</v>
      </c>
      <c r="I335">
        <v>120.16746739876459</v>
      </c>
      <c r="K335" t="s">
        <v>1667</v>
      </c>
      <c r="L335" t="s">
        <v>1668</v>
      </c>
      <c r="M335" t="s">
        <v>150</v>
      </c>
      <c r="N335" s="11">
        <v>104091386</v>
      </c>
      <c r="O335" s="16">
        <v>43771</v>
      </c>
      <c r="P335" t="s">
        <v>81</v>
      </c>
      <c r="Q335" s="2">
        <v>19206</v>
      </c>
      <c r="R335" s="3">
        <f>(Tabla1[[#This Row],[FECHA_TRASPLANTE]]-Tabla1[[#This Row],[FECHA_NAC]])/365.25</f>
        <v>67.255304585900063</v>
      </c>
      <c r="T335"/>
      <c r="W335" t="s">
        <v>82</v>
      </c>
      <c r="X335" t="s">
        <v>91</v>
      </c>
      <c r="Y335" t="s">
        <v>161</v>
      </c>
      <c r="Z335" t="s">
        <v>162</v>
      </c>
      <c r="AM335" t="s">
        <v>106</v>
      </c>
      <c r="AO335"/>
      <c r="AV335" s="2"/>
      <c r="AZ335"/>
      <c r="BJ335" s="2"/>
      <c r="BT335" s="2">
        <f>Tabla1[[#This Row],[FECHA_TRASPLANTE]]</f>
        <v>43771</v>
      </c>
      <c r="BU335">
        <f>IF(Tabla1[[#This Row],[FALLECIDO SI/NO]]="NO",0,1)</f>
        <v>0</v>
      </c>
      <c r="BV335" s="3">
        <f ca="1">IF(Tabla1[[#This Row],[FALLECIDO_COD]]=0,TODAY()-Tabla1[[#This Row],[FECHA_TRASPLANTE]],Tabla1[[#This Row],[FECHA DE DEFUNCIÓN]]-Tabla1[[#This Row],[FECHA_TRASPLANTE]])</f>
        <v>2104</v>
      </c>
      <c r="BW335" s="3">
        <f ca="1">IF(Tabla1[[#This Row],[FALLECIDO_COD]]=0,TODAY()-Tabla1[[#This Row],[FECHA_TRASPLANTE]],Tabla1[[#This Row],[FECHA DE DEFUNCIÓN]]-Tabla1[[#This Row],[FECHA_TRASPLANTE]])/30.4375</f>
        <v>69.125256673511288</v>
      </c>
      <c r="BX335" s="3">
        <f ca="1">IF(Tabla1[[#This Row],[FALLECIDO_COD]]=0,TODAY()-Tabla1[[#This Row],[FECHA_TRASPLANTE]],Tabla1[[#This Row],[FECHA DE DEFUNCIÓN]]-Tabla1[[#This Row],[FECHA_TRASPLANTE]])/365.25</f>
        <v>5.760438056125941</v>
      </c>
      <c r="BY335"/>
      <c r="BZ335"/>
    </row>
    <row r="336" spans="1:78" hidden="1" x14ac:dyDescent="0.35">
      <c r="A336" t="s">
        <v>1126</v>
      </c>
      <c r="D336" t="s">
        <v>1333</v>
      </c>
      <c r="E336" t="s">
        <v>77</v>
      </c>
      <c r="F336" t="s">
        <v>86</v>
      </c>
      <c r="I336">
        <v>119.8384668035592</v>
      </c>
      <c r="J336" t="s">
        <v>1548</v>
      </c>
      <c r="N336" s="11">
        <v>304230641</v>
      </c>
      <c r="O336" s="2">
        <v>43771</v>
      </c>
      <c r="P336" t="s">
        <v>1669</v>
      </c>
      <c r="Q336" s="2">
        <v>32086</v>
      </c>
      <c r="R336" s="3">
        <f>(Tabla1[[#This Row],[FECHA_TRASPLANTE]]-Tabla1[[#This Row],[FECHA_NAC]])/365.25</f>
        <v>31.991786447638603</v>
      </c>
      <c r="S336" t="s">
        <v>200</v>
      </c>
      <c r="U336" t="s">
        <v>1670</v>
      </c>
      <c r="V336" t="s">
        <v>1566</v>
      </c>
      <c r="W336" t="s">
        <v>82</v>
      </c>
      <c r="X336" t="s">
        <v>110</v>
      </c>
      <c r="Y336" t="s">
        <v>110</v>
      </c>
      <c r="Z336" t="s">
        <v>867</v>
      </c>
      <c r="AF336" t="s">
        <v>375</v>
      </c>
      <c r="AG336" t="s">
        <v>375</v>
      </c>
      <c r="AH336" t="s">
        <v>375</v>
      </c>
      <c r="AI336" t="s">
        <v>375</v>
      </c>
      <c r="AJ336" t="s">
        <v>375</v>
      </c>
      <c r="AK336" t="s">
        <v>375</v>
      </c>
      <c r="AM336" t="s">
        <v>106</v>
      </c>
      <c r="AQ336" t="s">
        <v>358</v>
      </c>
      <c r="AR336" s="2" t="s">
        <v>358</v>
      </c>
      <c r="AS336" s="2" t="s">
        <v>358</v>
      </c>
      <c r="AT336" t="s">
        <v>358</v>
      </c>
      <c r="AV336" s="2"/>
      <c r="AY336" t="s">
        <v>106</v>
      </c>
      <c r="AZ336"/>
      <c r="BA336" t="s">
        <v>1552</v>
      </c>
      <c r="BB336">
        <v>1.3</v>
      </c>
      <c r="BC336">
        <v>61</v>
      </c>
      <c r="BD336" t="s">
        <v>106</v>
      </c>
      <c r="BI336" t="s">
        <v>106</v>
      </c>
      <c r="BL336" t="s">
        <v>106</v>
      </c>
      <c r="BT336" s="2">
        <f>Tabla1[[#This Row],[FECHA_TRASPLANTE]]</f>
        <v>43771</v>
      </c>
      <c r="BU336">
        <f>IF(Tabla1[[#This Row],[FALLECIDO SI/NO]]="NO",0,1)</f>
        <v>0</v>
      </c>
      <c r="BV336" s="3">
        <f ca="1">IF(Tabla1[[#This Row],[FALLECIDO_COD]]=0,TODAY()-Tabla1[[#This Row],[FECHA_TRASPLANTE]],Tabla1[[#This Row],[FECHA DE DEFUNCIÓN]]-Tabla1[[#This Row],[FECHA_TRASPLANTE]])</f>
        <v>2104</v>
      </c>
      <c r="BW336" s="3">
        <f ca="1">IF(Tabla1[[#This Row],[FALLECIDO_COD]]=0,TODAY()-Tabla1[[#This Row],[FECHA_TRASPLANTE]],Tabla1[[#This Row],[FECHA DE DEFUNCIÓN]]-Tabla1[[#This Row],[FECHA_TRASPLANTE]])/30.4375</f>
        <v>69.125256673511288</v>
      </c>
      <c r="BX336" s="3">
        <f ca="1">IF(Tabla1[[#This Row],[FALLECIDO_COD]]=0,TODAY()-Tabla1[[#This Row],[FECHA_TRASPLANTE]],Tabla1[[#This Row],[FECHA DE DEFUNCIÓN]]-Tabla1[[#This Row],[FECHA_TRASPLANTE]])/365.25</f>
        <v>5.760438056125941</v>
      </c>
      <c r="BY336"/>
      <c r="BZ336"/>
    </row>
    <row r="337" spans="1:78" hidden="1" x14ac:dyDescent="0.35">
      <c r="A337" t="s">
        <v>377</v>
      </c>
      <c r="D337" t="s">
        <v>1129</v>
      </c>
      <c r="E337" t="s">
        <v>375</v>
      </c>
      <c r="I337">
        <v>120.17844886753603</v>
      </c>
      <c r="J337" t="s">
        <v>1671</v>
      </c>
      <c r="K337" t="s">
        <v>1672</v>
      </c>
      <c r="L337" t="s">
        <v>1673</v>
      </c>
      <c r="M337" t="s">
        <v>753</v>
      </c>
      <c r="N337" s="11">
        <v>503270424</v>
      </c>
      <c r="O337" s="2">
        <v>43775</v>
      </c>
      <c r="P337" t="s">
        <v>81</v>
      </c>
      <c r="Q337" s="2">
        <v>30008</v>
      </c>
      <c r="R337" s="3">
        <f>(Tabla1[[#This Row],[FECHA_TRASPLANTE]]-Tabla1[[#This Row],[FECHA_NAC]])/365.25</f>
        <v>37.691991786447637</v>
      </c>
      <c r="T337"/>
      <c r="W337" t="s">
        <v>82</v>
      </c>
      <c r="X337" t="s">
        <v>1674</v>
      </c>
      <c r="AM337" t="s">
        <v>106</v>
      </c>
      <c r="AO337"/>
      <c r="AV337" s="2"/>
      <c r="AZ337"/>
      <c r="BT337" s="2">
        <f>Tabla1[[#This Row],[FECHA_TRASPLANTE]]</f>
        <v>43775</v>
      </c>
      <c r="BU337">
        <f>IF(Tabla1[[#This Row],[FALLECIDO SI/NO]]="NO",0,1)</f>
        <v>0</v>
      </c>
      <c r="BV337" s="3">
        <f ca="1">IF(Tabla1[[#This Row],[FALLECIDO_COD]]=0,TODAY()-Tabla1[[#This Row],[FECHA_TRASPLANTE]],Tabla1[[#This Row],[FECHA DE DEFUNCIÓN]]-Tabla1[[#This Row],[FECHA_TRASPLANTE]])</f>
        <v>2100</v>
      </c>
      <c r="BW337" s="3">
        <f ca="1">IF(Tabla1[[#This Row],[FALLECIDO_COD]]=0,TODAY()-Tabla1[[#This Row],[FECHA_TRASPLANTE]],Tabla1[[#This Row],[FECHA DE DEFUNCIÓN]]-Tabla1[[#This Row],[FECHA_TRASPLANTE]])/30.4375</f>
        <v>68.993839835728949</v>
      </c>
      <c r="BX337" s="3">
        <f ca="1">IF(Tabla1[[#This Row],[FALLECIDO_COD]]=0,TODAY()-Tabla1[[#This Row],[FECHA_TRASPLANTE]],Tabla1[[#This Row],[FECHA DE DEFUNCIÓN]]-Tabla1[[#This Row],[FECHA_TRASPLANTE]])/365.25</f>
        <v>5.7494866529774127</v>
      </c>
      <c r="BY337"/>
      <c r="BZ337"/>
    </row>
    <row r="338" spans="1:78" hidden="1" x14ac:dyDescent="0.35">
      <c r="A338" t="s">
        <v>75</v>
      </c>
      <c r="D338" t="s">
        <v>1129</v>
      </c>
      <c r="E338" t="s">
        <v>77</v>
      </c>
      <c r="I338">
        <v>120.18668496911462</v>
      </c>
      <c r="K338" t="s">
        <v>1675</v>
      </c>
      <c r="L338" t="s">
        <v>605</v>
      </c>
      <c r="M338" t="s">
        <v>203</v>
      </c>
      <c r="N338" s="11">
        <v>202870110</v>
      </c>
      <c r="O338" s="16">
        <v>43778</v>
      </c>
      <c r="P338" t="s">
        <v>90</v>
      </c>
      <c r="Q338" s="2">
        <v>19411</v>
      </c>
      <c r="R338" s="3">
        <f>(Tabla1[[#This Row],[FECHA_TRASPLANTE]]-Tabla1[[#This Row],[FECHA_NAC]])/365.25</f>
        <v>66.713210130047912</v>
      </c>
      <c r="T338"/>
      <c r="W338" t="s">
        <v>82</v>
      </c>
      <c r="X338" t="s">
        <v>91</v>
      </c>
      <c r="Y338" t="s">
        <v>157</v>
      </c>
      <c r="Z338" t="s">
        <v>409</v>
      </c>
      <c r="AM338" t="s">
        <v>86</v>
      </c>
      <c r="AN338" s="2">
        <v>44138</v>
      </c>
      <c r="AO338"/>
      <c r="AV338" s="2"/>
      <c r="AZ338"/>
      <c r="BJ338" s="2"/>
      <c r="BT338" s="2">
        <f>Tabla1[[#This Row],[FECHA_TRASPLANTE]]</f>
        <v>43778</v>
      </c>
      <c r="BU338">
        <f>IF(Tabla1[[#This Row],[FALLECIDO SI/NO]]="NO",0,1)</f>
        <v>1</v>
      </c>
      <c r="BV338" s="3">
        <f ca="1">IF(Tabla1[[#This Row],[FALLECIDO_COD]]=0,TODAY()-Tabla1[[#This Row],[FECHA_TRASPLANTE]],Tabla1[[#This Row],[FECHA DE DEFUNCIÓN]]-Tabla1[[#This Row],[FECHA_TRASPLANTE]])</f>
        <v>360</v>
      </c>
      <c r="BW338" s="3">
        <f ca="1">IF(Tabla1[[#This Row],[FALLECIDO_COD]]=0,TODAY()-Tabla1[[#This Row],[FECHA_TRASPLANTE]],Tabla1[[#This Row],[FECHA DE DEFUNCIÓN]]-Tabla1[[#This Row],[FECHA_TRASPLANTE]])/30.4375</f>
        <v>11.827515400410677</v>
      </c>
      <c r="BX338" s="3">
        <f ca="1">IF(Tabla1[[#This Row],[FALLECIDO_COD]]=0,TODAY()-Tabla1[[#This Row],[FECHA_TRASPLANTE]],Tabla1[[#This Row],[FECHA DE DEFUNCIÓN]]-Tabla1[[#This Row],[FECHA_TRASPLANTE]])/365.25</f>
        <v>0.98562628336755642</v>
      </c>
      <c r="BY338"/>
      <c r="BZ338"/>
    </row>
    <row r="339" spans="1:78" hidden="1" x14ac:dyDescent="0.35">
      <c r="A339" t="s">
        <v>1126</v>
      </c>
      <c r="D339" t="s">
        <v>1333</v>
      </c>
      <c r="E339" t="s">
        <v>77</v>
      </c>
      <c r="F339" t="s">
        <v>86</v>
      </c>
      <c r="I339">
        <v>119.85763175906914</v>
      </c>
      <c r="J339" t="s">
        <v>1548</v>
      </c>
      <c r="N339" s="11">
        <v>302840777</v>
      </c>
      <c r="O339" s="2">
        <v>43778</v>
      </c>
      <c r="P339" t="s">
        <v>1549</v>
      </c>
      <c r="Q339" s="2">
        <v>24350</v>
      </c>
      <c r="R339" s="3">
        <f>(Tabla1[[#This Row],[FECHA_TRASPLANTE]]-Tabla1[[#This Row],[FECHA_NAC]])/365.25</f>
        <v>53.190965092402465</v>
      </c>
      <c r="S339" t="s">
        <v>210</v>
      </c>
      <c r="U339" t="s">
        <v>1585</v>
      </c>
      <c r="V339" t="s">
        <v>1551</v>
      </c>
      <c r="W339" t="s">
        <v>82</v>
      </c>
      <c r="X339" t="s">
        <v>110</v>
      </c>
      <c r="Y339" t="s">
        <v>110</v>
      </c>
      <c r="Z339" t="s">
        <v>797</v>
      </c>
      <c r="AF339" t="s">
        <v>375</v>
      </c>
      <c r="AG339" t="s">
        <v>375</v>
      </c>
      <c r="AH339" t="s">
        <v>1676</v>
      </c>
      <c r="AI339" t="s">
        <v>1676</v>
      </c>
      <c r="AJ339" t="s">
        <v>770</v>
      </c>
      <c r="AM339" t="s">
        <v>86</v>
      </c>
      <c r="AN339" s="2">
        <v>43924</v>
      </c>
      <c r="AO339" s="2" t="s">
        <v>1677</v>
      </c>
      <c r="AP339" t="s">
        <v>106</v>
      </c>
      <c r="AQ339" t="s">
        <v>358</v>
      </c>
      <c r="AR339" s="2"/>
      <c r="AS339" s="2"/>
      <c r="AV339" s="2"/>
      <c r="AY339" t="s">
        <v>106</v>
      </c>
      <c r="AZ339"/>
      <c r="BA339" t="s">
        <v>1552</v>
      </c>
      <c r="BB339" t="s">
        <v>762</v>
      </c>
      <c r="BC339" t="s">
        <v>762</v>
      </c>
      <c r="BD339" t="s">
        <v>106</v>
      </c>
      <c r="BI339" t="s">
        <v>106</v>
      </c>
      <c r="BL339" t="s">
        <v>106</v>
      </c>
      <c r="BT339" s="2">
        <f>Tabla1[[#This Row],[FECHA_TRASPLANTE]]</f>
        <v>43778</v>
      </c>
      <c r="BU339">
        <f>IF(Tabla1[[#This Row],[FALLECIDO SI/NO]]="NO",0,1)</f>
        <v>1</v>
      </c>
      <c r="BV339" s="3">
        <f ca="1">IF(Tabla1[[#This Row],[FALLECIDO_COD]]=0,TODAY()-Tabla1[[#This Row],[FECHA_TRASPLANTE]],Tabla1[[#This Row],[FECHA DE DEFUNCIÓN]]-Tabla1[[#This Row],[FECHA_TRASPLANTE]])</f>
        <v>146</v>
      </c>
      <c r="BW339" s="3">
        <f ca="1">IF(Tabla1[[#This Row],[FALLECIDO_COD]]=0,TODAY()-Tabla1[[#This Row],[FECHA_TRASPLANTE]],Tabla1[[#This Row],[FECHA DE DEFUNCIÓN]]-Tabla1[[#This Row],[FECHA_TRASPLANTE]])/30.4375</f>
        <v>4.7967145790554415</v>
      </c>
      <c r="BX339" s="3">
        <f ca="1">IF(Tabla1[[#This Row],[FALLECIDO_COD]]=0,TODAY()-Tabla1[[#This Row],[FECHA_TRASPLANTE]],Tabla1[[#This Row],[FECHA DE DEFUNCIÓN]]-Tabla1[[#This Row],[FECHA_TRASPLANTE]])/365.25</f>
        <v>0.39972621492128679</v>
      </c>
      <c r="BY339"/>
      <c r="BZ339"/>
    </row>
    <row r="340" spans="1:78" hidden="1" x14ac:dyDescent="0.35">
      <c r="A340" t="s">
        <v>75</v>
      </c>
      <c r="B340" t="s">
        <v>1678</v>
      </c>
      <c r="D340" t="s">
        <v>1129</v>
      </c>
      <c r="E340" t="s">
        <v>375</v>
      </c>
      <c r="I340">
        <v>120.19492107069321</v>
      </c>
      <c r="K340" t="s">
        <v>1679</v>
      </c>
      <c r="L340" t="s">
        <v>108</v>
      </c>
      <c r="M340" t="s">
        <v>132</v>
      </c>
      <c r="N340" s="11">
        <v>305400466</v>
      </c>
      <c r="O340" s="16">
        <v>43781</v>
      </c>
      <c r="P340" t="s">
        <v>81</v>
      </c>
      <c r="Q340" s="2">
        <v>37452</v>
      </c>
      <c r="R340" s="3">
        <f>(Tabla1[[#This Row],[FECHA_TRASPLANTE]]-Tabla1[[#This Row],[FECHA_NAC]])/365.25</f>
        <v>17.32785763175907</v>
      </c>
      <c r="T340"/>
      <c r="W340" t="s">
        <v>82</v>
      </c>
      <c r="AM340" t="s">
        <v>106</v>
      </c>
      <c r="AO340"/>
      <c r="AV340" s="2"/>
      <c r="AZ340"/>
      <c r="BJ340" s="2"/>
      <c r="BT340" s="2">
        <f>Tabla1[[#This Row],[FECHA_TRASPLANTE]]</f>
        <v>43781</v>
      </c>
      <c r="BU340">
        <f>IF(Tabla1[[#This Row],[FALLECIDO SI/NO]]="NO",0,1)</f>
        <v>0</v>
      </c>
      <c r="BV340" s="3">
        <f ca="1">IF(Tabla1[[#This Row],[FALLECIDO_COD]]=0,TODAY()-Tabla1[[#This Row],[FECHA_TRASPLANTE]],Tabla1[[#This Row],[FECHA DE DEFUNCIÓN]]-Tabla1[[#This Row],[FECHA_TRASPLANTE]])</f>
        <v>2094</v>
      </c>
      <c r="BW340" s="3">
        <f ca="1">IF(Tabla1[[#This Row],[FALLECIDO_COD]]=0,TODAY()-Tabla1[[#This Row],[FECHA_TRASPLANTE]],Tabla1[[#This Row],[FECHA DE DEFUNCIÓN]]-Tabla1[[#This Row],[FECHA_TRASPLANTE]])/30.4375</f>
        <v>68.796714579055447</v>
      </c>
      <c r="BX340" s="3">
        <f ca="1">IF(Tabla1[[#This Row],[FALLECIDO_COD]]=0,TODAY()-Tabla1[[#This Row],[FECHA_TRASPLANTE]],Tabla1[[#This Row],[FECHA DE DEFUNCIÓN]]-Tabla1[[#This Row],[FECHA_TRASPLANTE]])/365.25</f>
        <v>5.7330595482546203</v>
      </c>
      <c r="BY340"/>
      <c r="BZ340"/>
    </row>
    <row r="341" spans="1:78" hidden="1" x14ac:dyDescent="0.35">
      <c r="A341" t="s">
        <v>377</v>
      </c>
      <c r="D341" t="s">
        <v>1129</v>
      </c>
      <c r="E341" t="s">
        <v>375</v>
      </c>
      <c r="I341">
        <v>120.19766643788607</v>
      </c>
      <c r="J341" t="s">
        <v>1680</v>
      </c>
      <c r="K341" t="s">
        <v>1681</v>
      </c>
      <c r="L341" t="s">
        <v>171</v>
      </c>
      <c r="M341" t="s">
        <v>237</v>
      </c>
      <c r="N341" s="11">
        <v>204260987</v>
      </c>
      <c r="O341" s="2">
        <v>43782</v>
      </c>
      <c r="P341" t="s">
        <v>81</v>
      </c>
      <c r="Q341" s="2">
        <v>24572</v>
      </c>
      <c r="R341" s="3">
        <f>(Tabla1[[#This Row],[FECHA_TRASPLANTE]]-Tabla1[[#This Row],[FECHA_NAC]])/365.25</f>
        <v>52.594113620807668</v>
      </c>
      <c r="T341"/>
      <c r="W341" t="s">
        <v>82</v>
      </c>
      <c r="X341" t="s">
        <v>115</v>
      </c>
      <c r="Y341" t="s">
        <v>84</v>
      </c>
      <c r="Z341" t="s">
        <v>116</v>
      </c>
      <c r="AM341" t="s">
        <v>106</v>
      </c>
      <c r="AO341"/>
      <c r="AV341" s="2"/>
      <c r="AZ341"/>
      <c r="BT341" s="2">
        <f>Tabla1[[#This Row],[FECHA_TRASPLANTE]]</f>
        <v>43782</v>
      </c>
      <c r="BU341">
        <f>IF(Tabla1[[#This Row],[FALLECIDO SI/NO]]="NO",0,1)</f>
        <v>0</v>
      </c>
      <c r="BV341" s="3">
        <f ca="1">IF(Tabla1[[#This Row],[FALLECIDO_COD]]=0,TODAY()-Tabla1[[#This Row],[FECHA_TRASPLANTE]],Tabla1[[#This Row],[FECHA DE DEFUNCIÓN]]-Tabla1[[#This Row],[FECHA_TRASPLANTE]])</f>
        <v>2093</v>
      </c>
      <c r="BW341" s="3">
        <f ca="1">IF(Tabla1[[#This Row],[FALLECIDO_COD]]=0,TODAY()-Tabla1[[#This Row],[FECHA_TRASPLANTE]],Tabla1[[#This Row],[FECHA DE DEFUNCIÓN]]-Tabla1[[#This Row],[FECHA_TRASPLANTE]])/30.4375</f>
        <v>68.763860369609858</v>
      </c>
      <c r="BX341" s="3">
        <f ca="1">IF(Tabla1[[#This Row],[FALLECIDO_COD]]=0,TODAY()-Tabla1[[#This Row],[FECHA_TRASPLANTE]],Tabla1[[#This Row],[FECHA DE DEFUNCIÓN]]-Tabla1[[#This Row],[FECHA_TRASPLANTE]])/365.25</f>
        <v>5.7303216974674882</v>
      </c>
      <c r="BY341"/>
      <c r="BZ341"/>
    </row>
    <row r="342" spans="1:78" hidden="1" x14ac:dyDescent="0.35">
      <c r="A342" t="s">
        <v>377</v>
      </c>
      <c r="D342" t="s">
        <v>1129</v>
      </c>
      <c r="E342" t="s">
        <v>375</v>
      </c>
      <c r="I342">
        <v>120.21688400823611</v>
      </c>
      <c r="J342" t="s">
        <v>1682</v>
      </c>
      <c r="K342" t="s">
        <v>1683</v>
      </c>
      <c r="L342" t="s">
        <v>1684</v>
      </c>
      <c r="M342" t="s">
        <v>1685</v>
      </c>
      <c r="N342" s="11">
        <v>109400192</v>
      </c>
      <c r="O342" s="2">
        <v>43789</v>
      </c>
      <c r="P342" t="s">
        <v>90</v>
      </c>
      <c r="Q342" s="2">
        <v>27902</v>
      </c>
      <c r="R342" s="3">
        <f>(Tabla1[[#This Row],[FECHA_TRASPLANTE]]-Tabla1[[#This Row],[FECHA_NAC]])/365.25</f>
        <v>43.496235455167692</v>
      </c>
      <c r="T342"/>
      <c r="W342" t="s">
        <v>82</v>
      </c>
      <c r="X342" t="s">
        <v>91</v>
      </c>
      <c r="Y342" t="s">
        <v>84</v>
      </c>
      <c r="Z342" t="s">
        <v>598</v>
      </c>
      <c r="AM342" t="s">
        <v>106</v>
      </c>
      <c r="AO342"/>
      <c r="AV342" s="2"/>
      <c r="AZ342"/>
      <c r="BT342" s="2">
        <f>Tabla1[[#This Row],[FECHA_TRASPLANTE]]</f>
        <v>43789</v>
      </c>
      <c r="BU342">
        <f>IF(Tabla1[[#This Row],[FALLECIDO SI/NO]]="NO",0,1)</f>
        <v>0</v>
      </c>
      <c r="BV342" s="3">
        <f ca="1">IF(Tabla1[[#This Row],[FALLECIDO_COD]]=0,TODAY()-Tabla1[[#This Row],[FECHA_TRASPLANTE]],Tabla1[[#This Row],[FECHA DE DEFUNCIÓN]]-Tabla1[[#This Row],[FECHA_TRASPLANTE]])</f>
        <v>2086</v>
      </c>
      <c r="BW342" s="3">
        <f ca="1">IF(Tabla1[[#This Row],[FALLECIDO_COD]]=0,TODAY()-Tabla1[[#This Row],[FECHA_TRASPLANTE]],Tabla1[[#This Row],[FECHA DE DEFUNCIÓN]]-Tabla1[[#This Row],[FECHA_TRASPLANTE]])/30.4375</f>
        <v>68.533880903490754</v>
      </c>
      <c r="BX342" s="3">
        <f ca="1">IF(Tabla1[[#This Row],[FALLECIDO_COD]]=0,TODAY()-Tabla1[[#This Row],[FECHA_TRASPLANTE]],Tabla1[[#This Row],[FECHA DE DEFUNCIÓN]]-Tabla1[[#This Row],[FECHA_TRASPLANTE]])/365.25</f>
        <v>5.7111567419575637</v>
      </c>
      <c r="BY342"/>
      <c r="BZ342"/>
    </row>
    <row r="343" spans="1:78" hidden="1" x14ac:dyDescent="0.35">
      <c r="A343" t="s">
        <v>377</v>
      </c>
      <c r="D343" t="s">
        <v>1129</v>
      </c>
      <c r="E343" t="s">
        <v>375</v>
      </c>
      <c r="I343">
        <v>120.23610157858613</v>
      </c>
      <c r="J343" t="s">
        <v>1686</v>
      </c>
      <c r="K343" t="s">
        <v>1687</v>
      </c>
      <c r="L343" t="s">
        <v>870</v>
      </c>
      <c r="M343" t="s">
        <v>1688</v>
      </c>
      <c r="N343" s="11">
        <v>116590444</v>
      </c>
      <c r="O343" s="2">
        <v>43796</v>
      </c>
      <c r="P343" t="s">
        <v>81</v>
      </c>
      <c r="Q343" s="2">
        <v>35383</v>
      </c>
      <c r="R343" s="3">
        <f>(Tabla1[[#This Row],[FECHA_TRASPLANTE]]-Tabla1[[#This Row],[FECHA_NAC]])/365.25</f>
        <v>23.033538672142367</v>
      </c>
      <c r="T343"/>
      <c r="W343" t="s">
        <v>82</v>
      </c>
      <c r="X343" t="s">
        <v>1136</v>
      </c>
      <c r="AM343" t="s">
        <v>106</v>
      </c>
      <c r="AO343"/>
      <c r="AV343" s="2"/>
      <c r="AZ343"/>
      <c r="BT343" s="2">
        <f>Tabla1[[#This Row],[FECHA_TRASPLANTE]]</f>
        <v>43796</v>
      </c>
      <c r="BU343">
        <f>IF(Tabla1[[#This Row],[FALLECIDO SI/NO]]="NO",0,1)</f>
        <v>0</v>
      </c>
      <c r="BV343" s="3">
        <f ca="1">IF(Tabla1[[#This Row],[FALLECIDO_COD]]=0,TODAY()-Tabla1[[#This Row],[FECHA_TRASPLANTE]],Tabla1[[#This Row],[FECHA DE DEFUNCIÓN]]-Tabla1[[#This Row],[FECHA_TRASPLANTE]])</f>
        <v>2079</v>
      </c>
      <c r="BW343" s="3">
        <f ca="1">IF(Tabla1[[#This Row],[FALLECIDO_COD]]=0,TODAY()-Tabla1[[#This Row],[FECHA_TRASPLANTE]],Tabla1[[#This Row],[FECHA DE DEFUNCIÓN]]-Tabla1[[#This Row],[FECHA_TRASPLANTE]])/30.4375</f>
        <v>68.303901437371664</v>
      </c>
      <c r="BX343" s="3">
        <f ca="1">IF(Tabla1[[#This Row],[FALLECIDO_COD]]=0,TODAY()-Tabla1[[#This Row],[FECHA_TRASPLANTE]],Tabla1[[#This Row],[FECHA DE DEFUNCIÓN]]-Tabla1[[#This Row],[FECHA_TRASPLANTE]])/365.25</f>
        <v>5.6919917864476384</v>
      </c>
      <c r="BY343"/>
      <c r="BZ343"/>
    </row>
    <row r="344" spans="1:78" hidden="1" x14ac:dyDescent="0.35">
      <c r="A344" t="s">
        <v>75</v>
      </c>
      <c r="D344" t="s">
        <v>1129</v>
      </c>
      <c r="E344" t="s">
        <v>375</v>
      </c>
      <c r="I344">
        <v>120.25257378174331</v>
      </c>
      <c r="K344" t="s">
        <v>1689</v>
      </c>
      <c r="L344" t="s">
        <v>449</v>
      </c>
      <c r="M344" t="s">
        <v>1006</v>
      </c>
      <c r="N344" s="11">
        <v>305070466</v>
      </c>
      <c r="O344" s="16">
        <v>43802</v>
      </c>
      <c r="P344" t="s">
        <v>90</v>
      </c>
      <c r="Q344" s="2">
        <v>35772</v>
      </c>
      <c r="R344" s="3">
        <f>(Tabla1[[#This Row],[FECHA_TRASPLANTE]]-Tabla1[[#This Row],[FECHA_NAC]])/365.25</f>
        <v>21.984941820670773</v>
      </c>
      <c r="T344"/>
      <c r="W344" t="s">
        <v>82</v>
      </c>
      <c r="X344" t="s">
        <v>110</v>
      </c>
      <c r="Y344" t="s">
        <v>84</v>
      </c>
      <c r="Z344" t="s">
        <v>1690</v>
      </c>
      <c r="AM344" t="s">
        <v>106</v>
      </c>
      <c r="AO344"/>
      <c r="AV344" s="2"/>
      <c r="AZ344"/>
      <c r="BJ344" s="2"/>
      <c r="BT344" s="2">
        <f>Tabla1[[#This Row],[FECHA_TRASPLANTE]]</f>
        <v>43802</v>
      </c>
      <c r="BU344">
        <f>IF(Tabla1[[#This Row],[FALLECIDO SI/NO]]="NO",0,1)</f>
        <v>0</v>
      </c>
      <c r="BV344" s="3">
        <f ca="1">IF(Tabla1[[#This Row],[FALLECIDO_COD]]=0,TODAY()-Tabla1[[#This Row],[FECHA_TRASPLANTE]],Tabla1[[#This Row],[FECHA DE DEFUNCIÓN]]-Tabla1[[#This Row],[FECHA_TRASPLANTE]])</f>
        <v>2073</v>
      </c>
      <c r="BW344" s="3">
        <f ca="1">IF(Tabla1[[#This Row],[FALLECIDO_COD]]=0,TODAY()-Tabla1[[#This Row],[FECHA_TRASPLANTE]],Tabla1[[#This Row],[FECHA DE DEFUNCIÓN]]-Tabla1[[#This Row],[FECHA_TRASPLANTE]])/30.4375</f>
        <v>68.106776180698148</v>
      </c>
      <c r="BX344" s="3">
        <f ca="1">IF(Tabla1[[#This Row],[FALLECIDO_COD]]=0,TODAY()-Tabla1[[#This Row],[FECHA_TRASPLANTE]],Tabla1[[#This Row],[FECHA DE DEFUNCIÓN]]-Tabla1[[#This Row],[FECHA_TRASPLANTE]])/365.25</f>
        <v>5.675564681724846</v>
      </c>
      <c r="BY344"/>
      <c r="BZ344"/>
    </row>
    <row r="345" spans="1:78" hidden="1" x14ac:dyDescent="0.35">
      <c r="A345" t="s">
        <v>377</v>
      </c>
      <c r="D345" t="s">
        <v>1129</v>
      </c>
      <c r="E345" t="s">
        <v>375</v>
      </c>
      <c r="I345">
        <v>48</v>
      </c>
      <c r="J345" t="s">
        <v>1686</v>
      </c>
      <c r="K345" t="s">
        <v>1691</v>
      </c>
      <c r="L345" t="s">
        <v>913</v>
      </c>
      <c r="M345" t="s">
        <v>149</v>
      </c>
      <c r="N345" s="11">
        <v>208360413</v>
      </c>
      <c r="O345" s="2">
        <v>43810</v>
      </c>
      <c r="P345" t="s">
        <v>90</v>
      </c>
      <c r="Q345" s="2">
        <v>37576</v>
      </c>
      <c r="R345" s="3">
        <f>(Tabla1[[#This Row],[FECHA_TRASPLANTE]]-Tabla1[[#This Row],[FECHA_NAC]])/365.25</f>
        <v>17.067761806981519</v>
      </c>
      <c r="T345"/>
      <c r="W345" t="s">
        <v>82</v>
      </c>
      <c r="X345" t="s">
        <v>822</v>
      </c>
      <c r="AM345" t="s">
        <v>106</v>
      </c>
      <c r="AO345"/>
      <c r="AV345" s="2"/>
      <c r="AZ345"/>
      <c r="BO345">
        <v>502640399</v>
      </c>
      <c r="BT345" s="2">
        <f>Tabla1[[#This Row],[FECHA_TRASPLANTE]]</f>
        <v>43810</v>
      </c>
      <c r="BU345">
        <f>IF(Tabla1[[#This Row],[FALLECIDO SI/NO]]="NO",0,1)</f>
        <v>0</v>
      </c>
      <c r="BV345" s="3">
        <f ca="1">IF(Tabla1[[#This Row],[FALLECIDO_COD]]=0,TODAY()-Tabla1[[#This Row],[FECHA_TRASPLANTE]],Tabla1[[#This Row],[FECHA DE DEFUNCIÓN]]-Tabla1[[#This Row],[FECHA_TRASPLANTE]])</f>
        <v>2065</v>
      </c>
      <c r="BW345" s="3">
        <f ca="1">IF(Tabla1[[#This Row],[FALLECIDO_COD]]=0,TODAY()-Tabla1[[#This Row],[FECHA_TRASPLANTE]],Tabla1[[#This Row],[FECHA DE DEFUNCIÓN]]-Tabla1[[#This Row],[FECHA_TRASPLANTE]])/30.4375</f>
        <v>67.843942505133469</v>
      </c>
      <c r="BX345" s="3">
        <f ca="1">IF(Tabla1[[#This Row],[FALLECIDO_COD]]=0,TODAY()-Tabla1[[#This Row],[FECHA_TRASPLANTE]],Tabla1[[#This Row],[FECHA DE DEFUNCIÓN]]-Tabla1[[#This Row],[FECHA_TRASPLANTE]])/365.25</f>
        <v>5.6536618754277894</v>
      </c>
      <c r="BY345"/>
      <c r="BZ345"/>
    </row>
    <row r="346" spans="1:78" hidden="1" x14ac:dyDescent="0.35">
      <c r="A346" t="s">
        <v>377</v>
      </c>
      <c r="D346" t="s">
        <v>1129</v>
      </c>
      <c r="E346" t="s">
        <v>77</v>
      </c>
      <c r="K346" t="s">
        <v>1692</v>
      </c>
      <c r="L346" t="s">
        <v>386</v>
      </c>
      <c r="M346" t="s">
        <v>209</v>
      </c>
      <c r="N346" s="11">
        <v>504090028</v>
      </c>
      <c r="O346" s="2">
        <v>43813</v>
      </c>
      <c r="P346" t="s">
        <v>81</v>
      </c>
      <c r="Q346" s="2">
        <v>35101</v>
      </c>
      <c r="R346" s="3">
        <f>(Tabla1[[#This Row],[FECHA_TRASPLANTE]]-Tabla1[[#This Row],[FECHA_NAC]])/365.25</f>
        <v>23.852156057494867</v>
      </c>
      <c r="T346"/>
      <c r="W346" t="s">
        <v>82</v>
      </c>
      <c r="X346" t="s">
        <v>1145</v>
      </c>
      <c r="AM346" t="s">
        <v>106</v>
      </c>
      <c r="AO346"/>
      <c r="AV346" s="2"/>
      <c r="AZ346"/>
      <c r="BT346" s="2">
        <f>Tabla1[[#This Row],[FECHA_TRASPLANTE]]</f>
        <v>43813</v>
      </c>
      <c r="BU346">
        <f>IF(Tabla1[[#This Row],[FALLECIDO SI/NO]]="NO",0,1)</f>
        <v>0</v>
      </c>
      <c r="BV346" s="3">
        <f ca="1">IF(Tabla1[[#This Row],[FALLECIDO_COD]]=0,TODAY()-Tabla1[[#This Row],[FECHA_TRASPLANTE]],Tabla1[[#This Row],[FECHA DE DEFUNCIÓN]]-Tabla1[[#This Row],[FECHA_TRASPLANTE]])</f>
        <v>2062</v>
      </c>
      <c r="BW346" s="3">
        <f ca="1">IF(Tabla1[[#This Row],[FALLECIDO_COD]]=0,TODAY()-Tabla1[[#This Row],[FECHA_TRASPLANTE]],Tabla1[[#This Row],[FECHA DE DEFUNCIÓN]]-Tabla1[[#This Row],[FECHA_TRASPLANTE]])/30.4375</f>
        <v>67.745379876796719</v>
      </c>
      <c r="BX346" s="3">
        <f ca="1">IF(Tabla1[[#This Row],[FALLECIDO_COD]]=0,TODAY()-Tabla1[[#This Row],[FECHA_TRASPLANTE]],Tabla1[[#This Row],[FECHA DE DEFUNCIÓN]]-Tabla1[[#This Row],[FECHA_TRASPLANTE]])/365.25</f>
        <v>5.6454483230663932</v>
      </c>
      <c r="BY346"/>
      <c r="BZ346"/>
    </row>
    <row r="347" spans="1:78" hidden="1" x14ac:dyDescent="0.35">
      <c r="A347" t="s">
        <v>1125</v>
      </c>
      <c r="D347" t="s">
        <v>1129</v>
      </c>
      <c r="E347" t="s">
        <v>77</v>
      </c>
      <c r="I347">
        <v>119.95619438740589</v>
      </c>
      <c r="J347" t="s">
        <v>1334</v>
      </c>
      <c r="K347" t="s">
        <v>387</v>
      </c>
      <c r="L347" t="s">
        <v>114</v>
      </c>
      <c r="M347" t="s">
        <v>1693</v>
      </c>
      <c r="N347" s="11">
        <v>800770814</v>
      </c>
      <c r="O347" s="2">
        <v>43814</v>
      </c>
      <c r="R347" s="3">
        <f>(Tabla1[[#This Row],[FECHA_TRASPLANTE]]-Tabla1[[#This Row],[FECHA_NAC]])/365.25</f>
        <v>119.95619438740589</v>
      </c>
      <c r="T347"/>
      <c r="U347" t="s">
        <v>1348</v>
      </c>
      <c r="W347" t="s">
        <v>82</v>
      </c>
      <c r="X347" t="s">
        <v>91</v>
      </c>
      <c r="Y347" t="s">
        <v>84</v>
      </c>
      <c r="Z347" t="s">
        <v>307</v>
      </c>
      <c r="AM347" t="s">
        <v>106</v>
      </c>
      <c r="AO347"/>
      <c r="AV347" s="2"/>
      <c r="AZ347"/>
      <c r="BT347" s="2">
        <f>Tabla1[[#This Row],[FECHA_TRASPLANTE]]</f>
        <v>43814</v>
      </c>
      <c r="BU347">
        <f>IF(Tabla1[[#This Row],[FALLECIDO SI/NO]]="NO",0,1)</f>
        <v>0</v>
      </c>
      <c r="BV347" s="3">
        <f ca="1">IF(Tabla1[[#This Row],[FALLECIDO_COD]]=0,TODAY()-Tabla1[[#This Row],[FECHA_TRASPLANTE]],Tabla1[[#This Row],[FECHA DE DEFUNCIÓN]]-Tabla1[[#This Row],[FECHA_TRASPLANTE]])</f>
        <v>2061</v>
      </c>
      <c r="BW347" s="3">
        <f ca="1">IF(Tabla1[[#This Row],[FALLECIDO_COD]]=0,TODAY()-Tabla1[[#This Row],[FECHA_TRASPLANTE]],Tabla1[[#This Row],[FECHA DE DEFUNCIÓN]]-Tabla1[[#This Row],[FECHA_TRASPLANTE]])/30.4375</f>
        <v>67.71252566735113</v>
      </c>
      <c r="BX347" s="3">
        <f ca="1">IF(Tabla1[[#This Row],[FALLECIDO_COD]]=0,TODAY()-Tabla1[[#This Row],[FECHA_TRASPLANTE]],Tabla1[[#This Row],[FECHA DE DEFUNCIÓN]]-Tabla1[[#This Row],[FECHA_TRASPLANTE]])/365.25</f>
        <v>5.6427104722792611</v>
      </c>
      <c r="BY347"/>
      <c r="BZ347"/>
    </row>
    <row r="348" spans="1:78" hidden="1" x14ac:dyDescent="0.35">
      <c r="A348" t="s">
        <v>377</v>
      </c>
      <c r="D348" t="s">
        <v>1129</v>
      </c>
      <c r="E348" t="s">
        <v>77</v>
      </c>
      <c r="K348" t="s">
        <v>1694</v>
      </c>
      <c r="L348" t="s">
        <v>1695</v>
      </c>
      <c r="M348" t="s">
        <v>1696</v>
      </c>
      <c r="N348" s="11">
        <v>503300264</v>
      </c>
      <c r="O348" s="2">
        <v>43816</v>
      </c>
      <c r="P348" t="s">
        <v>81</v>
      </c>
      <c r="Q348" s="2">
        <v>30227</v>
      </c>
      <c r="R348" s="3">
        <f>(Tabla1[[#This Row],[FECHA_TRASPLANTE]]-Tabla1[[#This Row],[FECHA_NAC]])/365.25</f>
        <v>37.204654346338124</v>
      </c>
      <c r="T348"/>
      <c r="W348" t="s">
        <v>82</v>
      </c>
      <c r="X348" t="s">
        <v>125</v>
      </c>
      <c r="Y348" t="s">
        <v>667</v>
      </c>
      <c r="Z348" t="s">
        <v>667</v>
      </c>
      <c r="AM348" t="s">
        <v>86</v>
      </c>
      <c r="AN348" s="2">
        <v>44786</v>
      </c>
      <c r="AO348"/>
      <c r="AV348" s="2"/>
      <c r="AZ348"/>
      <c r="BT348" s="2">
        <f>Tabla1[[#This Row],[FECHA_TRASPLANTE]]</f>
        <v>43816</v>
      </c>
      <c r="BU348">
        <f>IF(Tabla1[[#This Row],[FALLECIDO SI/NO]]="NO",0,1)</f>
        <v>1</v>
      </c>
      <c r="BV348" s="3">
        <f ca="1">IF(Tabla1[[#This Row],[FALLECIDO_COD]]=0,TODAY()-Tabla1[[#This Row],[FECHA_TRASPLANTE]],Tabla1[[#This Row],[FECHA DE DEFUNCIÓN]]-Tabla1[[#This Row],[FECHA_TRASPLANTE]])</f>
        <v>970</v>
      </c>
      <c r="BW348" s="3">
        <f ca="1">IF(Tabla1[[#This Row],[FALLECIDO_COD]]=0,TODAY()-Tabla1[[#This Row],[FECHA_TRASPLANTE]],Tabla1[[#This Row],[FECHA DE DEFUNCIÓN]]-Tabla1[[#This Row],[FECHA_TRASPLANTE]])/30.4375</f>
        <v>31.868583162217661</v>
      </c>
      <c r="BX348" s="3">
        <f ca="1">IF(Tabla1[[#This Row],[FALLECIDO_COD]]=0,TODAY()-Tabla1[[#This Row],[FECHA_TRASPLANTE]],Tabla1[[#This Row],[FECHA DE DEFUNCIÓN]]-Tabla1[[#This Row],[FECHA_TRASPLANTE]])/365.25</f>
        <v>2.6557152635181382</v>
      </c>
      <c r="BY348"/>
      <c r="BZ348"/>
    </row>
    <row r="349" spans="1:78" hidden="1" x14ac:dyDescent="0.35">
      <c r="A349" t="s">
        <v>1125</v>
      </c>
      <c r="D349" t="s">
        <v>1129</v>
      </c>
      <c r="E349" t="s">
        <v>77</v>
      </c>
      <c r="I349">
        <v>119.96167008898016</v>
      </c>
      <c r="J349" t="s">
        <v>1334</v>
      </c>
      <c r="K349" t="s">
        <v>1697</v>
      </c>
      <c r="L349" t="s">
        <v>1698</v>
      </c>
      <c r="M349" t="s">
        <v>188</v>
      </c>
      <c r="N349" s="11">
        <v>109650975</v>
      </c>
      <c r="O349" s="2">
        <v>43816</v>
      </c>
      <c r="R349" s="3">
        <f>(Tabla1[[#This Row],[FECHA_TRASPLANTE]]-Tabla1[[#This Row],[FECHA_NAC]])/365.25</f>
        <v>119.96167008898016</v>
      </c>
      <c r="T349"/>
      <c r="U349" t="s">
        <v>1348</v>
      </c>
      <c r="W349" t="s">
        <v>82</v>
      </c>
      <c r="X349" t="s">
        <v>91</v>
      </c>
      <c r="Y349" t="s">
        <v>211</v>
      </c>
      <c r="Z349" t="s">
        <v>454</v>
      </c>
      <c r="AM349" t="s">
        <v>106</v>
      </c>
      <c r="AO349"/>
      <c r="AV349" s="2"/>
      <c r="AZ349"/>
      <c r="BT349" s="2">
        <f>Tabla1[[#This Row],[FECHA_TRASPLANTE]]</f>
        <v>43816</v>
      </c>
      <c r="BU349">
        <f>IF(Tabla1[[#This Row],[FALLECIDO SI/NO]]="NO",0,1)</f>
        <v>0</v>
      </c>
      <c r="BV349" s="3">
        <f ca="1">IF(Tabla1[[#This Row],[FALLECIDO_COD]]=0,TODAY()-Tabla1[[#This Row],[FECHA_TRASPLANTE]],Tabla1[[#This Row],[FECHA DE DEFUNCIÓN]]-Tabla1[[#This Row],[FECHA_TRASPLANTE]])</f>
        <v>2059</v>
      </c>
      <c r="BW349" s="3">
        <f ca="1">IF(Tabla1[[#This Row],[FALLECIDO_COD]]=0,TODAY()-Tabla1[[#This Row],[FECHA_TRASPLANTE]],Tabla1[[#This Row],[FECHA DE DEFUNCIÓN]]-Tabla1[[#This Row],[FECHA_TRASPLANTE]])/30.4375</f>
        <v>67.646817248459953</v>
      </c>
      <c r="BX349" s="3">
        <f ca="1">IF(Tabla1[[#This Row],[FALLECIDO_COD]]=0,TODAY()-Tabla1[[#This Row],[FECHA_TRASPLANTE]],Tabla1[[#This Row],[FECHA DE DEFUNCIÓN]]-Tabla1[[#This Row],[FECHA_TRASPLANTE]])/365.25</f>
        <v>5.637234770704997</v>
      </c>
      <c r="BY349"/>
      <c r="BZ349"/>
    </row>
    <row r="350" spans="1:78" hidden="1" x14ac:dyDescent="0.35">
      <c r="A350" t="s">
        <v>1125</v>
      </c>
      <c r="D350" t="s">
        <v>1129</v>
      </c>
      <c r="E350" t="s">
        <v>375</v>
      </c>
      <c r="I350">
        <v>119.96440793976728</v>
      </c>
      <c r="J350" t="s">
        <v>1346</v>
      </c>
      <c r="K350" t="s">
        <v>1204</v>
      </c>
      <c r="L350" t="s">
        <v>913</v>
      </c>
      <c r="M350" t="s">
        <v>94</v>
      </c>
      <c r="N350" s="11">
        <v>109580129</v>
      </c>
      <c r="O350" s="2">
        <v>43817</v>
      </c>
      <c r="R350" s="3">
        <f>(Tabla1[[#This Row],[FECHA_TRASPLANTE]]-Tabla1[[#This Row],[FECHA_NAC]])/365.25</f>
        <v>119.96440793976728</v>
      </c>
      <c r="T350"/>
      <c r="U350" t="s">
        <v>1348</v>
      </c>
      <c r="W350" t="s">
        <v>82</v>
      </c>
      <c r="X350" t="s">
        <v>91</v>
      </c>
      <c r="Y350" t="s">
        <v>215</v>
      </c>
      <c r="Z350" t="s">
        <v>417</v>
      </c>
      <c r="AM350" t="s">
        <v>106</v>
      </c>
      <c r="AO350"/>
      <c r="AV350" s="2"/>
      <c r="AZ350"/>
      <c r="BT350" s="2">
        <f>Tabla1[[#This Row],[FECHA_TRASPLANTE]]</f>
        <v>43817</v>
      </c>
      <c r="BU350">
        <f>IF(Tabla1[[#This Row],[FALLECIDO SI/NO]]="NO",0,1)</f>
        <v>0</v>
      </c>
      <c r="BV350" s="3">
        <f ca="1">IF(Tabla1[[#This Row],[FALLECIDO_COD]]=0,TODAY()-Tabla1[[#This Row],[FECHA_TRASPLANTE]],Tabla1[[#This Row],[FECHA DE DEFUNCIÓN]]-Tabla1[[#This Row],[FECHA_TRASPLANTE]])</f>
        <v>2058</v>
      </c>
      <c r="BW350" s="3">
        <f ca="1">IF(Tabla1[[#This Row],[FALLECIDO_COD]]=0,TODAY()-Tabla1[[#This Row],[FECHA_TRASPLANTE]],Tabla1[[#This Row],[FECHA DE DEFUNCIÓN]]-Tabla1[[#This Row],[FECHA_TRASPLANTE]])/30.4375</f>
        <v>67.613963039014379</v>
      </c>
      <c r="BX350" s="3">
        <f ca="1">IF(Tabla1[[#This Row],[FALLECIDO_COD]]=0,TODAY()-Tabla1[[#This Row],[FECHA_TRASPLANTE]],Tabla1[[#This Row],[FECHA DE DEFUNCIÓN]]-Tabla1[[#This Row],[FECHA_TRASPLANTE]])/365.25</f>
        <v>5.6344969199178641</v>
      </c>
      <c r="BY350"/>
      <c r="BZ350"/>
    </row>
    <row r="351" spans="1:78" hidden="1" x14ac:dyDescent="0.35">
      <c r="A351" t="s">
        <v>1125</v>
      </c>
      <c r="D351" t="s">
        <v>1129</v>
      </c>
      <c r="E351" t="s">
        <v>77</v>
      </c>
      <c r="I351">
        <v>120.01095140314852</v>
      </c>
      <c r="J351" t="s">
        <v>1334</v>
      </c>
      <c r="K351" t="s">
        <v>1414</v>
      </c>
      <c r="L351" t="s">
        <v>140</v>
      </c>
      <c r="M351" t="s">
        <v>1699</v>
      </c>
      <c r="N351" s="11">
        <v>110570853</v>
      </c>
      <c r="O351" s="2">
        <v>43834</v>
      </c>
      <c r="R351" s="3">
        <f>(Tabla1[[#This Row],[FECHA_TRASPLANTE]]-Tabla1[[#This Row],[FECHA_NAC]])/365.25</f>
        <v>120.01095140314852</v>
      </c>
      <c r="T351"/>
      <c r="U351" t="s">
        <v>1348</v>
      </c>
      <c r="W351" t="s">
        <v>82</v>
      </c>
      <c r="X351" t="s">
        <v>91</v>
      </c>
      <c r="Y351" t="s">
        <v>498</v>
      </c>
      <c r="Z351" t="s">
        <v>1700</v>
      </c>
      <c r="AM351" t="s">
        <v>106</v>
      </c>
      <c r="AO351"/>
      <c r="AV351" s="2"/>
      <c r="AZ351"/>
      <c r="BT351" s="2">
        <f>Tabla1[[#This Row],[FECHA_TRASPLANTE]]</f>
        <v>43834</v>
      </c>
      <c r="BU351">
        <f>IF(Tabla1[[#This Row],[FALLECIDO SI/NO]]="NO",0,1)</f>
        <v>0</v>
      </c>
      <c r="BV351" s="3">
        <f ca="1">IF(Tabla1[[#This Row],[FALLECIDO_COD]]=0,TODAY()-Tabla1[[#This Row],[FECHA_TRASPLANTE]],Tabla1[[#This Row],[FECHA DE DEFUNCIÓN]]-Tabla1[[#This Row],[FECHA_TRASPLANTE]])</f>
        <v>2041</v>
      </c>
      <c r="BW351" s="3">
        <f ca="1">IF(Tabla1[[#This Row],[FALLECIDO_COD]]=0,TODAY()-Tabla1[[#This Row],[FECHA_TRASPLANTE]],Tabla1[[#This Row],[FECHA DE DEFUNCIÓN]]-Tabla1[[#This Row],[FECHA_TRASPLANTE]])/30.4375</f>
        <v>67.05544147843942</v>
      </c>
      <c r="BX351" s="3">
        <f ca="1">IF(Tabla1[[#This Row],[FALLECIDO_COD]]=0,TODAY()-Tabla1[[#This Row],[FECHA_TRASPLANTE]],Tabla1[[#This Row],[FECHA DE DEFUNCIÓN]]-Tabla1[[#This Row],[FECHA_TRASPLANTE]])/365.25</f>
        <v>5.5879534565366189</v>
      </c>
      <c r="BY351"/>
      <c r="BZ351"/>
    </row>
    <row r="352" spans="1:78" hidden="1" x14ac:dyDescent="0.35">
      <c r="A352" t="s">
        <v>1125</v>
      </c>
      <c r="D352" t="s">
        <v>1129</v>
      </c>
      <c r="E352" t="s">
        <v>77</v>
      </c>
      <c r="I352">
        <v>120.01095140314852</v>
      </c>
      <c r="J352" t="s">
        <v>1334</v>
      </c>
      <c r="K352" t="s">
        <v>1701</v>
      </c>
      <c r="L352" t="s">
        <v>99</v>
      </c>
      <c r="M352" t="s">
        <v>403</v>
      </c>
      <c r="N352" s="12">
        <v>107620531</v>
      </c>
      <c r="O352" s="2">
        <v>43834</v>
      </c>
      <c r="P352" t="s">
        <v>81</v>
      </c>
      <c r="Q352" s="2">
        <v>25554</v>
      </c>
      <c r="R352" s="3">
        <f>(Tabla1[[#This Row],[FECHA_TRASPLANTE]]-Tabla1[[#This Row],[FECHA_NAC]])/365.25</f>
        <v>50.047912388774812</v>
      </c>
      <c r="T352"/>
      <c r="U352" t="s">
        <v>1348</v>
      </c>
      <c r="W352" t="s">
        <v>82</v>
      </c>
      <c r="X352" t="s">
        <v>91</v>
      </c>
      <c r="Y352" t="s">
        <v>84</v>
      </c>
      <c r="Z352" t="s">
        <v>598</v>
      </c>
      <c r="AM352" t="s">
        <v>86</v>
      </c>
      <c r="AN352" s="2">
        <v>45359</v>
      </c>
      <c r="AO352" t="s">
        <v>1702</v>
      </c>
      <c r="AP352" t="s">
        <v>86</v>
      </c>
      <c r="AV352" s="2"/>
      <c r="AY352" t="s">
        <v>86</v>
      </c>
      <c r="BT352" s="2">
        <f>Tabla1[[#This Row],[FECHA_TRASPLANTE]]</f>
        <v>43834</v>
      </c>
      <c r="BU352">
        <f>IF(Tabla1[[#This Row],[FALLECIDO SI/NO]]="NO",0,1)</f>
        <v>1</v>
      </c>
      <c r="BV352" s="3">
        <f ca="1">IF(Tabla1[[#This Row],[FALLECIDO_COD]]=0,TODAY()-Tabla1[[#This Row],[FECHA_TRASPLANTE]],Tabla1[[#This Row],[FECHA DE DEFUNCIÓN]]-Tabla1[[#This Row],[FECHA_TRASPLANTE]])</f>
        <v>1525</v>
      </c>
      <c r="BW352" s="3">
        <f ca="1">IF(Tabla1[[#This Row],[FALLECIDO_COD]]=0,TODAY()-Tabla1[[#This Row],[FECHA_TRASPLANTE]],Tabla1[[#This Row],[FECHA DE DEFUNCIÓN]]-Tabla1[[#This Row],[FECHA_TRASPLANTE]])/30.4375</f>
        <v>50.102669404517457</v>
      </c>
      <c r="BX352" s="3">
        <f ca="1">IF(Tabla1[[#This Row],[FALLECIDO_COD]]=0,TODAY()-Tabla1[[#This Row],[FECHA_TRASPLANTE]],Tabla1[[#This Row],[FECHA DE DEFUNCIÓN]]-Tabla1[[#This Row],[FECHA_TRASPLANTE]])/365.25</f>
        <v>4.1752224503764541</v>
      </c>
      <c r="BY352"/>
      <c r="BZ352"/>
    </row>
    <row r="353" spans="1:78" hidden="1" x14ac:dyDescent="0.35">
      <c r="A353" t="s">
        <v>377</v>
      </c>
      <c r="D353" t="s">
        <v>1129</v>
      </c>
      <c r="E353" t="s">
        <v>77</v>
      </c>
      <c r="K353" t="s">
        <v>1703</v>
      </c>
      <c r="L353" t="s">
        <v>149</v>
      </c>
      <c r="M353" t="s">
        <v>99</v>
      </c>
      <c r="N353" s="11">
        <v>16621319</v>
      </c>
      <c r="O353" s="2">
        <v>43843</v>
      </c>
      <c r="P353" t="s">
        <v>81</v>
      </c>
      <c r="Q353" s="2">
        <v>24117</v>
      </c>
      <c r="R353" s="3">
        <f>(Tabla1[[#This Row],[FECHA_TRASPLANTE]]-Tabla1[[#This Row],[FECHA_NAC]])/365.25</f>
        <v>54.006844626967833</v>
      </c>
      <c r="T353"/>
      <c r="W353" t="s">
        <v>146</v>
      </c>
      <c r="X353" t="s">
        <v>125</v>
      </c>
      <c r="Y353" t="s">
        <v>709</v>
      </c>
      <c r="Z353" t="s">
        <v>710</v>
      </c>
      <c r="AM353" t="s">
        <v>106</v>
      </c>
      <c r="AO353"/>
      <c r="AV353" s="2"/>
      <c r="AZ353"/>
      <c r="BT353" s="2">
        <f>Tabla1[[#This Row],[FECHA_TRASPLANTE]]</f>
        <v>43843</v>
      </c>
      <c r="BU353">
        <f>IF(Tabla1[[#This Row],[FALLECIDO SI/NO]]="NO",0,1)</f>
        <v>0</v>
      </c>
      <c r="BV353" s="3">
        <f ca="1">IF(Tabla1[[#This Row],[FALLECIDO_COD]]=0,TODAY()-Tabla1[[#This Row],[FECHA_TRASPLANTE]],Tabla1[[#This Row],[FECHA DE DEFUNCIÓN]]-Tabla1[[#This Row],[FECHA_TRASPLANTE]])</f>
        <v>2032</v>
      </c>
      <c r="BW353" s="3">
        <f ca="1">IF(Tabla1[[#This Row],[FALLECIDO_COD]]=0,TODAY()-Tabla1[[#This Row],[FECHA_TRASPLANTE]],Tabla1[[#This Row],[FECHA DE DEFUNCIÓN]]-Tabla1[[#This Row],[FECHA_TRASPLANTE]])/30.4375</f>
        <v>66.759753593429153</v>
      </c>
      <c r="BX353" s="3">
        <f ca="1">IF(Tabla1[[#This Row],[FALLECIDO_COD]]=0,TODAY()-Tabla1[[#This Row],[FECHA_TRASPLANTE]],Tabla1[[#This Row],[FECHA DE DEFUNCIÓN]]-Tabla1[[#This Row],[FECHA_TRASPLANTE]])/365.25</f>
        <v>5.5633127994524294</v>
      </c>
      <c r="BY353"/>
      <c r="BZ353"/>
    </row>
    <row r="354" spans="1:78" hidden="1" x14ac:dyDescent="0.35">
      <c r="A354" t="s">
        <v>377</v>
      </c>
      <c r="D354" t="s">
        <v>1129</v>
      </c>
      <c r="E354" t="s">
        <v>77</v>
      </c>
      <c r="K354" t="s">
        <v>1704</v>
      </c>
      <c r="L354" t="s">
        <v>280</v>
      </c>
      <c r="M354" t="s">
        <v>132</v>
      </c>
      <c r="N354" s="11">
        <v>604060240</v>
      </c>
      <c r="O354" s="2">
        <v>43843</v>
      </c>
      <c r="P354" t="s">
        <v>81</v>
      </c>
      <c r="Q354" s="2">
        <v>33962</v>
      </c>
      <c r="R354" s="3">
        <f>(Tabla1[[#This Row],[FECHA_TRASPLANTE]]-Tabla1[[#This Row],[FECHA_NAC]])/365.25</f>
        <v>27.052703627652292</v>
      </c>
      <c r="T354"/>
      <c r="W354" t="s">
        <v>82</v>
      </c>
      <c r="X354" t="s">
        <v>1705</v>
      </c>
      <c r="AM354" t="s">
        <v>106</v>
      </c>
      <c r="AO354"/>
      <c r="AV354" s="2"/>
      <c r="AZ354"/>
      <c r="BT354" s="2">
        <f>Tabla1[[#This Row],[FECHA_TRASPLANTE]]</f>
        <v>43843</v>
      </c>
      <c r="BU354">
        <f>IF(Tabla1[[#This Row],[FALLECIDO SI/NO]]="NO",0,1)</f>
        <v>0</v>
      </c>
      <c r="BV354" s="3">
        <f ca="1">IF(Tabla1[[#This Row],[FALLECIDO_COD]]=0,TODAY()-Tabla1[[#This Row],[FECHA_TRASPLANTE]],Tabla1[[#This Row],[FECHA DE DEFUNCIÓN]]-Tabla1[[#This Row],[FECHA_TRASPLANTE]])</f>
        <v>2032</v>
      </c>
      <c r="BW354" s="3">
        <f ca="1">IF(Tabla1[[#This Row],[FALLECIDO_COD]]=0,TODAY()-Tabla1[[#This Row],[FECHA_TRASPLANTE]],Tabla1[[#This Row],[FECHA DE DEFUNCIÓN]]-Tabla1[[#This Row],[FECHA_TRASPLANTE]])/30.4375</f>
        <v>66.759753593429153</v>
      </c>
      <c r="BX354" s="3">
        <f ca="1">IF(Tabla1[[#This Row],[FALLECIDO_COD]]=0,TODAY()-Tabla1[[#This Row],[FECHA_TRASPLANTE]],Tabla1[[#This Row],[FECHA DE DEFUNCIÓN]]-Tabla1[[#This Row],[FECHA_TRASPLANTE]])/365.25</f>
        <v>5.5633127994524294</v>
      </c>
      <c r="BY354"/>
      <c r="BZ354"/>
    </row>
    <row r="355" spans="1:78" hidden="1" x14ac:dyDescent="0.35">
      <c r="A355" t="s">
        <v>75</v>
      </c>
      <c r="D355" t="s">
        <v>1129</v>
      </c>
      <c r="E355" t="s">
        <v>375</v>
      </c>
      <c r="K355" t="s">
        <v>1706</v>
      </c>
      <c r="L355" t="s">
        <v>277</v>
      </c>
      <c r="M355" t="s">
        <v>267</v>
      </c>
      <c r="N355" s="12">
        <v>302920565</v>
      </c>
      <c r="O355" s="16">
        <v>43844</v>
      </c>
      <c r="P355" t="s">
        <v>81</v>
      </c>
      <c r="Q355" s="2">
        <v>24771</v>
      </c>
      <c r="R355" s="3">
        <f>(Tabla1[[#This Row],[FECHA_TRASPLANTE]]-Tabla1[[#This Row],[FECHA_NAC]])/365.25</f>
        <v>52.219028062970565</v>
      </c>
      <c r="T355"/>
      <c r="W355" t="s">
        <v>82</v>
      </c>
      <c r="AM355" t="s">
        <v>86</v>
      </c>
      <c r="AN355" s="2">
        <v>45444</v>
      </c>
      <c r="AO355" t="s">
        <v>1677</v>
      </c>
      <c r="AP355" t="s">
        <v>106</v>
      </c>
      <c r="AV355" s="2"/>
      <c r="BJ355" s="2"/>
      <c r="BT355" s="2">
        <f>Tabla1[[#This Row],[FECHA_TRASPLANTE]]</f>
        <v>43844</v>
      </c>
      <c r="BU355">
        <f>IF(Tabla1[[#This Row],[FALLECIDO SI/NO]]="NO",0,1)</f>
        <v>1</v>
      </c>
      <c r="BV355" s="3">
        <f ca="1">IF(Tabla1[[#This Row],[FALLECIDO_COD]]=0,TODAY()-Tabla1[[#This Row],[FECHA_TRASPLANTE]],Tabla1[[#This Row],[FECHA DE DEFUNCIÓN]]-Tabla1[[#This Row],[FECHA_TRASPLANTE]])</f>
        <v>1600</v>
      </c>
      <c r="BW355" s="3">
        <f ca="1">IF(Tabla1[[#This Row],[FALLECIDO_COD]]=0,TODAY()-Tabla1[[#This Row],[FECHA_TRASPLANTE]],Tabla1[[#This Row],[FECHA DE DEFUNCIÓN]]-Tabla1[[#This Row],[FECHA_TRASPLANTE]])/30.4375</f>
        <v>52.566735112936342</v>
      </c>
      <c r="BX355" s="3">
        <f ca="1">IF(Tabla1[[#This Row],[FALLECIDO_COD]]=0,TODAY()-Tabla1[[#This Row],[FECHA_TRASPLANTE]],Tabla1[[#This Row],[FECHA DE DEFUNCIÓN]]-Tabla1[[#This Row],[FECHA_TRASPLANTE]])/365.25</f>
        <v>4.3805612594113619</v>
      </c>
      <c r="BY355"/>
      <c r="BZ355"/>
    </row>
    <row r="356" spans="1:78" hidden="1" x14ac:dyDescent="0.35">
      <c r="A356" t="s">
        <v>75</v>
      </c>
      <c r="D356" t="s">
        <v>1129</v>
      </c>
      <c r="E356" t="s">
        <v>77</v>
      </c>
      <c r="K356" t="s">
        <v>1707</v>
      </c>
      <c r="L356" t="s">
        <v>1708</v>
      </c>
      <c r="M356" t="s">
        <v>1709</v>
      </c>
      <c r="N356" s="11">
        <v>107470933</v>
      </c>
      <c r="O356" s="16">
        <v>43848</v>
      </c>
      <c r="P356" t="s">
        <v>90</v>
      </c>
      <c r="Q356" s="2">
        <v>25381</v>
      </c>
      <c r="R356" s="3">
        <f>(Tabla1[[#This Row],[FECHA_TRASPLANTE]]-Tabla1[[#This Row],[FECHA_NAC]])/365.25</f>
        <v>50.559890485968516</v>
      </c>
      <c r="T356"/>
      <c r="W356" t="s">
        <v>82</v>
      </c>
      <c r="AM356" t="s">
        <v>106</v>
      </c>
      <c r="AO356"/>
      <c r="AV356" s="2"/>
      <c r="AZ356"/>
      <c r="BJ356" s="2"/>
      <c r="BT356" s="2">
        <f>Tabla1[[#This Row],[FECHA_TRASPLANTE]]</f>
        <v>43848</v>
      </c>
      <c r="BU356">
        <f>IF(Tabla1[[#This Row],[FALLECIDO SI/NO]]="NO",0,1)</f>
        <v>0</v>
      </c>
      <c r="BV356" s="3">
        <f ca="1">IF(Tabla1[[#This Row],[FALLECIDO_COD]]=0,TODAY()-Tabla1[[#This Row],[FECHA_TRASPLANTE]],Tabla1[[#This Row],[FECHA DE DEFUNCIÓN]]-Tabla1[[#This Row],[FECHA_TRASPLANTE]])</f>
        <v>2027</v>
      </c>
      <c r="BW356" s="3">
        <f ca="1">IF(Tabla1[[#This Row],[FALLECIDO_COD]]=0,TODAY()-Tabla1[[#This Row],[FECHA_TRASPLANTE]],Tabla1[[#This Row],[FECHA DE DEFUNCIÓN]]-Tabla1[[#This Row],[FECHA_TRASPLANTE]])/30.4375</f>
        <v>66.595482546201225</v>
      </c>
      <c r="BX356" s="3">
        <f ca="1">IF(Tabla1[[#This Row],[FALLECIDO_COD]]=0,TODAY()-Tabla1[[#This Row],[FECHA_TRASPLANTE]],Tabla1[[#This Row],[FECHA DE DEFUNCIÓN]]-Tabla1[[#This Row],[FECHA_TRASPLANTE]])/365.25</f>
        <v>5.5496235455167691</v>
      </c>
      <c r="BY356"/>
      <c r="BZ356"/>
    </row>
    <row r="357" spans="1:78" hidden="1" x14ac:dyDescent="0.35">
      <c r="A357" t="s">
        <v>377</v>
      </c>
      <c r="D357" t="s">
        <v>1129</v>
      </c>
      <c r="E357" t="s">
        <v>77</v>
      </c>
      <c r="K357" t="s">
        <v>1710</v>
      </c>
      <c r="L357" t="s">
        <v>188</v>
      </c>
      <c r="M357" t="s">
        <v>132</v>
      </c>
      <c r="N357" s="11">
        <v>107860913</v>
      </c>
      <c r="O357" s="2">
        <v>43849</v>
      </c>
      <c r="P357" t="s">
        <v>81</v>
      </c>
      <c r="Q357" s="2">
        <v>25898</v>
      </c>
      <c r="R357" s="3">
        <f>(Tabla1[[#This Row],[FECHA_TRASPLANTE]]-Tabla1[[#This Row],[FECHA_NAC]])/365.25</f>
        <v>49.147159479808352</v>
      </c>
      <c r="T357"/>
      <c r="W357" t="s">
        <v>82</v>
      </c>
      <c r="X357" t="s">
        <v>261</v>
      </c>
      <c r="Y357" t="s">
        <v>84</v>
      </c>
      <c r="Z357" t="s">
        <v>261</v>
      </c>
      <c r="AM357" t="s">
        <v>106</v>
      </c>
      <c r="AO357"/>
      <c r="AV357" s="2"/>
      <c r="AZ357"/>
      <c r="BT357" s="2">
        <f>Tabla1[[#This Row],[FECHA_TRASPLANTE]]</f>
        <v>43849</v>
      </c>
      <c r="BU357">
        <f>IF(Tabla1[[#This Row],[FALLECIDO SI/NO]]="NO",0,1)</f>
        <v>0</v>
      </c>
      <c r="BV357" s="3">
        <f ca="1">IF(Tabla1[[#This Row],[FALLECIDO_COD]]=0,TODAY()-Tabla1[[#This Row],[FECHA_TRASPLANTE]],Tabla1[[#This Row],[FECHA DE DEFUNCIÓN]]-Tabla1[[#This Row],[FECHA_TRASPLANTE]])</f>
        <v>2026</v>
      </c>
      <c r="BW357" s="3">
        <f ca="1">IF(Tabla1[[#This Row],[FALLECIDO_COD]]=0,TODAY()-Tabla1[[#This Row],[FECHA_TRASPLANTE]],Tabla1[[#This Row],[FECHA DE DEFUNCIÓN]]-Tabla1[[#This Row],[FECHA_TRASPLANTE]])/30.4375</f>
        <v>66.562628336755651</v>
      </c>
      <c r="BX357" s="3">
        <f ca="1">IF(Tabla1[[#This Row],[FALLECIDO_COD]]=0,TODAY()-Tabla1[[#This Row],[FECHA_TRASPLANTE]],Tabla1[[#This Row],[FECHA DE DEFUNCIÓN]]-Tabla1[[#This Row],[FECHA_TRASPLANTE]])/365.25</f>
        <v>5.546885694729637</v>
      </c>
      <c r="BY357"/>
      <c r="BZ357"/>
    </row>
    <row r="358" spans="1:78" hidden="1" x14ac:dyDescent="0.35">
      <c r="A358" t="s">
        <v>377</v>
      </c>
      <c r="D358" t="s">
        <v>1129</v>
      </c>
      <c r="E358" t="s">
        <v>375</v>
      </c>
      <c r="J358" t="s">
        <v>1711</v>
      </c>
      <c r="K358" t="s">
        <v>1712</v>
      </c>
      <c r="L358" t="s">
        <v>981</v>
      </c>
      <c r="M358" t="s">
        <v>386</v>
      </c>
      <c r="N358" s="11">
        <v>203880183</v>
      </c>
      <c r="O358" s="2">
        <v>43850</v>
      </c>
      <c r="P358" t="s">
        <v>90</v>
      </c>
      <c r="Q358" s="2">
        <v>23342</v>
      </c>
      <c r="R358" s="3">
        <f>(Tabla1[[#This Row],[FECHA_TRASPLANTE]]-Tabla1[[#This Row],[FECHA_NAC]])/365.25</f>
        <v>56.147843942505133</v>
      </c>
      <c r="T358"/>
      <c r="W358" t="s">
        <v>82</v>
      </c>
      <c r="X358" t="s">
        <v>115</v>
      </c>
      <c r="Y358" t="s">
        <v>84</v>
      </c>
      <c r="Z358" t="s">
        <v>116</v>
      </c>
      <c r="AM358" t="s">
        <v>106</v>
      </c>
      <c r="AO358"/>
      <c r="AV358" s="2"/>
      <c r="AZ358"/>
      <c r="BT358" s="2">
        <f>Tabla1[[#This Row],[FECHA_TRASPLANTE]]</f>
        <v>43850</v>
      </c>
      <c r="BU358">
        <f>IF(Tabla1[[#This Row],[FALLECIDO SI/NO]]="NO",0,1)</f>
        <v>0</v>
      </c>
      <c r="BV358" s="3">
        <f ca="1">IF(Tabla1[[#This Row],[FALLECIDO_COD]]=0,TODAY()-Tabla1[[#This Row],[FECHA_TRASPLANTE]],Tabla1[[#This Row],[FECHA DE DEFUNCIÓN]]-Tabla1[[#This Row],[FECHA_TRASPLANTE]])</f>
        <v>2025</v>
      </c>
      <c r="BW358" s="3">
        <f ca="1">IF(Tabla1[[#This Row],[FALLECIDO_COD]]=0,TODAY()-Tabla1[[#This Row],[FECHA_TRASPLANTE]],Tabla1[[#This Row],[FECHA DE DEFUNCIÓN]]-Tabla1[[#This Row],[FECHA_TRASPLANTE]])/30.4375</f>
        <v>66.529774127310063</v>
      </c>
      <c r="BX358" s="3">
        <f ca="1">IF(Tabla1[[#This Row],[FALLECIDO_COD]]=0,TODAY()-Tabla1[[#This Row],[FECHA_TRASPLANTE]],Tabla1[[#This Row],[FECHA DE DEFUNCIÓN]]-Tabla1[[#This Row],[FECHA_TRASPLANTE]])/365.25</f>
        <v>5.5441478439425049</v>
      </c>
      <c r="BY358"/>
      <c r="BZ358"/>
    </row>
    <row r="359" spans="1:78" hidden="1" x14ac:dyDescent="0.35">
      <c r="A359" t="s">
        <v>75</v>
      </c>
      <c r="D359" t="s">
        <v>1129</v>
      </c>
      <c r="E359" t="s">
        <v>375</v>
      </c>
      <c r="K359" t="s">
        <v>1713</v>
      </c>
      <c r="L359" t="s">
        <v>155</v>
      </c>
      <c r="M359" t="s">
        <v>229</v>
      </c>
      <c r="N359" s="11">
        <v>302910872</v>
      </c>
      <c r="O359" s="16">
        <v>43851</v>
      </c>
      <c r="P359" t="s">
        <v>90</v>
      </c>
      <c r="Q359" s="2">
        <v>24735</v>
      </c>
      <c r="R359" s="3">
        <f>(Tabla1[[#This Row],[FECHA_TRASPLANTE]]-Tabla1[[#This Row],[FECHA_NAC]])/365.25</f>
        <v>52.336755646817245</v>
      </c>
      <c r="T359"/>
      <c r="W359" t="s">
        <v>82</v>
      </c>
      <c r="AM359" t="s">
        <v>106</v>
      </c>
      <c r="AO359"/>
      <c r="AV359" s="2"/>
      <c r="AZ359"/>
      <c r="BJ359" s="2"/>
      <c r="BT359" s="2">
        <f>Tabla1[[#This Row],[FECHA_TRASPLANTE]]</f>
        <v>43851</v>
      </c>
      <c r="BU359">
        <f>IF(Tabla1[[#This Row],[FALLECIDO SI/NO]]="NO",0,1)</f>
        <v>0</v>
      </c>
      <c r="BV359" s="3">
        <f ca="1">IF(Tabla1[[#This Row],[FALLECIDO_COD]]=0,TODAY()-Tabla1[[#This Row],[FECHA_TRASPLANTE]],Tabla1[[#This Row],[FECHA DE DEFUNCIÓN]]-Tabla1[[#This Row],[FECHA_TRASPLANTE]])</f>
        <v>2024</v>
      </c>
      <c r="BW359" s="3">
        <f ca="1">IF(Tabla1[[#This Row],[FALLECIDO_COD]]=0,TODAY()-Tabla1[[#This Row],[FECHA_TRASPLANTE]],Tabla1[[#This Row],[FECHA DE DEFUNCIÓN]]-Tabla1[[#This Row],[FECHA_TRASPLANTE]])/30.4375</f>
        <v>66.496919917864474</v>
      </c>
      <c r="BX359" s="3">
        <f ca="1">IF(Tabla1[[#This Row],[FALLECIDO_COD]]=0,TODAY()-Tabla1[[#This Row],[FECHA_TRASPLANTE]],Tabla1[[#This Row],[FECHA DE DEFUNCIÓN]]-Tabla1[[#This Row],[FECHA_TRASPLANTE]])/365.25</f>
        <v>5.5414099931553729</v>
      </c>
      <c r="BY359"/>
      <c r="BZ359"/>
    </row>
    <row r="360" spans="1:78" hidden="1" x14ac:dyDescent="0.35">
      <c r="A360" t="s">
        <v>377</v>
      </c>
      <c r="D360" t="s">
        <v>1129</v>
      </c>
      <c r="E360" t="s">
        <v>375</v>
      </c>
      <c r="H360" s="2">
        <v>29509</v>
      </c>
      <c r="I360">
        <v>39</v>
      </c>
      <c r="J360" t="s">
        <v>1714</v>
      </c>
      <c r="K360" t="s">
        <v>1715</v>
      </c>
      <c r="L360" t="s">
        <v>258</v>
      </c>
      <c r="M360" t="s">
        <v>208</v>
      </c>
      <c r="N360" s="11">
        <v>302670695</v>
      </c>
      <c r="O360" s="2">
        <v>43852</v>
      </c>
      <c r="P360" t="s">
        <v>90</v>
      </c>
      <c r="Q360" s="2">
        <v>23424</v>
      </c>
      <c r="R360" s="3">
        <f>(Tabla1[[#This Row],[FECHA_TRASPLANTE]]-Tabla1[[#This Row],[FECHA_NAC]])/365.25</f>
        <v>55.928815879534568</v>
      </c>
      <c r="T360"/>
      <c r="W360" t="s">
        <v>82</v>
      </c>
      <c r="X360" t="s">
        <v>1716</v>
      </c>
      <c r="AM360" t="s">
        <v>106</v>
      </c>
      <c r="AO360"/>
      <c r="AV360" s="2"/>
      <c r="AZ360"/>
      <c r="BO360">
        <v>110850008</v>
      </c>
      <c r="BP360" t="s">
        <v>1717</v>
      </c>
      <c r="BT360" s="2">
        <f>Tabla1[[#This Row],[FECHA_TRASPLANTE]]</f>
        <v>43852</v>
      </c>
      <c r="BU360">
        <f>IF(Tabla1[[#This Row],[FALLECIDO SI/NO]]="NO",0,1)</f>
        <v>0</v>
      </c>
      <c r="BV360" s="3">
        <f ca="1">IF(Tabla1[[#This Row],[FALLECIDO_COD]]=0,TODAY()-Tabla1[[#This Row],[FECHA_TRASPLANTE]],Tabla1[[#This Row],[FECHA DE DEFUNCIÓN]]-Tabla1[[#This Row],[FECHA_TRASPLANTE]])</f>
        <v>2023</v>
      </c>
      <c r="BW360" s="3">
        <f ca="1">IF(Tabla1[[#This Row],[FALLECIDO_COD]]=0,TODAY()-Tabla1[[#This Row],[FECHA_TRASPLANTE]],Tabla1[[#This Row],[FECHA DE DEFUNCIÓN]]-Tabla1[[#This Row],[FECHA_TRASPLANTE]])/30.4375</f>
        <v>66.464065708418886</v>
      </c>
      <c r="BX360" s="3">
        <f ca="1">IF(Tabla1[[#This Row],[FALLECIDO_COD]]=0,TODAY()-Tabla1[[#This Row],[FECHA_TRASPLANTE]],Tabla1[[#This Row],[FECHA DE DEFUNCIÓN]]-Tabla1[[#This Row],[FECHA_TRASPLANTE]])/365.25</f>
        <v>5.5386721423682408</v>
      </c>
      <c r="BY360"/>
      <c r="BZ360"/>
    </row>
    <row r="361" spans="1:78" hidden="1" x14ac:dyDescent="0.35">
      <c r="A361" t="s">
        <v>1125</v>
      </c>
      <c r="D361" t="s">
        <v>1129</v>
      </c>
      <c r="E361" t="s">
        <v>77</v>
      </c>
      <c r="I361">
        <v>120.07118412046543</v>
      </c>
      <c r="J361" t="s">
        <v>1334</v>
      </c>
      <c r="K361" t="s">
        <v>1718</v>
      </c>
      <c r="L361" t="s">
        <v>171</v>
      </c>
      <c r="M361" t="s">
        <v>283</v>
      </c>
      <c r="N361" s="11">
        <v>105550037</v>
      </c>
      <c r="O361" s="2">
        <v>43856</v>
      </c>
      <c r="R361" s="3">
        <f>(Tabla1[[#This Row],[FECHA_TRASPLANTE]]-Tabla1[[#This Row],[FECHA_NAC]])/365.25</f>
        <v>120.07118412046543</v>
      </c>
      <c r="T361"/>
      <c r="U361" t="s">
        <v>1348</v>
      </c>
      <c r="W361" t="s">
        <v>82</v>
      </c>
      <c r="X361" t="s">
        <v>91</v>
      </c>
      <c r="Y361" t="s">
        <v>116</v>
      </c>
      <c r="Z361" t="s">
        <v>510</v>
      </c>
      <c r="AM361" t="s">
        <v>106</v>
      </c>
      <c r="AO361"/>
      <c r="AV361" s="2"/>
      <c r="AZ361"/>
      <c r="BT361" s="2">
        <f>Tabla1[[#This Row],[FECHA_TRASPLANTE]]</f>
        <v>43856</v>
      </c>
      <c r="BU361">
        <f>IF(Tabla1[[#This Row],[FALLECIDO SI/NO]]="NO",0,1)</f>
        <v>0</v>
      </c>
      <c r="BV361" s="3">
        <f ca="1">IF(Tabla1[[#This Row],[FALLECIDO_COD]]=0,TODAY()-Tabla1[[#This Row],[FECHA_TRASPLANTE]],Tabla1[[#This Row],[FECHA DE DEFUNCIÓN]]-Tabla1[[#This Row],[FECHA_TRASPLANTE]])</f>
        <v>2019</v>
      </c>
      <c r="BW361" s="3">
        <f ca="1">IF(Tabla1[[#This Row],[FALLECIDO_COD]]=0,TODAY()-Tabla1[[#This Row],[FECHA_TRASPLANTE]],Tabla1[[#This Row],[FECHA DE DEFUNCIÓN]]-Tabla1[[#This Row],[FECHA_TRASPLANTE]])/30.4375</f>
        <v>66.332648870636547</v>
      </c>
      <c r="BX361" s="3">
        <f ca="1">IF(Tabla1[[#This Row],[FALLECIDO_COD]]=0,TODAY()-Tabla1[[#This Row],[FECHA_TRASPLANTE]],Tabla1[[#This Row],[FECHA DE DEFUNCIÓN]]-Tabla1[[#This Row],[FECHA_TRASPLANTE]])/365.25</f>
        <v>5.5277207392197125</v>
      </c>
      <c r="BY361"/>
      <c r="BZ361"/>
    </row>
    <row r="362" spans="1:78" hidden="1" x14ac:dyDescent="0.35">
      <c r="A362" t="s">
        <v>75</v>
      </c>
      <c r="D362" t="s">
        <v>1129</v>
      </c>
      <c r="E362" t="s">
        <v>77</v>
      </c>
      <c r="K362" t="s">
        <v>1719</v>
      </c>
      <c r="L362" t="s">
        <v>1720</v>
      </c>
      <c r="M362" t="s">
        <v>913</v>
      </c>
      <c r="N362" s="11">
        <v>108070216</v>
      </c>
      <c r="O362" s="16">
        <v>43865</v>
      </c>
      <c r="P362" t="s">
        <v>81</v>
      </c>
      <c r="Q362" s="2">
        <v>26173</v>
      </c>
      <c r="R362" s="3">
        <f>(Tabla1[[#This Row],[FECHA_TRASPLANTE]]-Tabla1[[#This Row],[FECHA_NAC]])/365.25</f>
        <v>48.438056125941138</v>
      </c>
      <c r="T362"/>
      <c r="W362" t="s">
        <v>82</v>
      </c>
      <c r="X362" t="s">
        <v>91</v>
      </c>
      <c r="Y362" t="s">
        <v>161</v>
      </c>
      <c r="Z362" t="s">
        <v>244</v>
      </c>
      <c r="AM362" t="s">
        <v>106</v>
      </c>
      <c r="AO362"/>
      <c r="AV362" s="2"/>
      <c r="AZ362"/>
      <c r="BJ362" s="2"/>
      <c r="BT362" s="2">
        <f>Tabla1[[#This Row],[FECHA_TRASPLANTE]]</f>
        <v>43865</v>
      </c>
      <c r="BU362">
        <f>IF(Tabla1[[#This Row],[FALLECIDO SI/NO]]="NO",0,1)</f>
        <v>0</v>
      </c>
      <c r="BV362" s="3">
        <f ca="1">IF(Tabla1[[#This Row],[FALLECIDO_COD]]=0,TODAY()-Tabla1[[#This Row],[FECHA_TRASPLANTE]],Tabla1[[#This Row],[FECHA DE DEFUNCIÓN]]-Tabla1[[#This Row],[FECHA_TRASPLANTE]])</f>
        <v>2010</v>
      </c>
      <c r="BW362" s="3">
        <f ca="1">IF(Tabla1[[#This Row],[FALLECIDO_COD]]=0,TODAY()-Tabla1[[#This Row],[FECHA_TRASPLANTE]],Tabla1[[#This Row],[FECHA DE DEFUNCIÓN]]-Tabla1[[#This Row],[FECHA_TRASPLANTE]])/30.4375</f>
        <v>66.03696098562628</v>
      </c>
      <c r="BX362" s="3">
        <f ca="1">IF(Tabla1[[#This Row],[FALLECIDO_COD]]=0,TODAY()-Tabla1[[#This Row],[FECHA_TRASPLANTE]],Tabla1[[#This Row],[FECHA DE DEFUNCIÓN]]-Tabla1[[#This Row],[FECHA_TRASPLANTE]])/365.25</f>
        <v>5.5030800821355239</v>
      </c>
      <c r="BY362"/>
      <c r="BZ362"/>
    </row>
    <row r="363" spans="1:78" hidden="1" x14ac:dyDescent="0.35">
      <c r="A363" t="s">
        <v>377</v>
      </c>
      <c r="D363" t="s">
        <v>1129</v>
      </c>
      <c r="E363" t="s">
        <v>77</v>
      </c>
      <c r="K363" t="s">
        <v>1203</v>
      </c>
      <c r="L363" t="s">
        <v>124</v>
      </c>
      <c r="M363" t="s">
        <v>124</v>
      </c>
      <c r="N363" s="11">
        <v>502690466</v>
      </c>
      <c r="O363" s="2">
        <v>43865</v>
      </c>
      <c r="P363" t="s">
        <v>81</v>
      </c>
      <c r="Q363" s="2">
        <v>26243</v>
      </c>
      <c r="R363" s="3">
        <f>(Tabla1[[#This Row],[FECHA_TRASPLANTE]]-Tabla1[[#This Row],[FECHA_NAC]])/365.25</f>
        <v>48.246406570841891</v>
      </c>
      <c r="T363"/>
      <c r="W363" t="s">
        <v>82</v>
      </c>
      <c r="X363" t="s">
        <v>1721</v>
      </c>
      <c r="AM363" t="s">
        <v>106</v>
      </c>
      <c r="AO363"/>
      <c r="AV363" s="2"/>
      <c r="AZ363"/>
      <c r="BT363" s="2">
        <f>Tabla1[[#This Row],[FECHA_TRASPLANTE]]</f>
        <v>43865</v>
      </c>
      <c r="BU363">
        <f>IF(Tabla1[[#This Row],[FALLECIDO SI/NO]]="NO",0,1)</f>
        <v>0</v>
      </c>
      <c r="BV363" s="3">
        <f ca="1">IF(Tabla1[[#This Row],[FALLECIDO_COD]]=0,TODAY()-Tabla1[[#This Row],[FECHA_TRASPLANTE]],Tabla1[[#This Row],[FECHA DE DEFUNCIÓN]]-Tabla1[[#This Row],[FECHA_TRASPLANTE]])</f>
        <v>2010</v>
      </c>
      <c r="BW363" s="3">
        <f ca="1">IF(Tabla1[[#This Row],[FALLECIDO_COD]]=0,TODAY()-Tabla1[[#This Row],[FECHA_TRASPLANTE]],Tabla1[[#This Row],[FECHA DE DEFUNCIÓN]]-Tabla1[[#This Row],[FECHA_TRASPLANTE]])/30.4375</f>
        <v>66.03696098562628</v>
      </c>
      <c r="BX363" s="3">
        <f ca="1">IF(Tabla1[[#This Row],[FALLECIDO_COD]]=0,TODAY()-Tabla1[[#This Row],[FECHA_TRASPLANTE]],Tabla1[[#This Row],[FECHA DE DEFUNCIÓN]]-Tabla1[[#This Row],[FECHA_TRASPLANTE]])/365.25</f>
        <v>5.5030800821355239</v>
      </c>
      <c r="BY363"/>
      <c r="BZ363"/>
    </row>
    <row r="364" spans="1:78" hidden="1" x14ac:dyDescent="0.35">
      <c r="A364" t="s">
        <v>377</v>
      </c>
      <c r="D364" t="s">
        <v>1129</v>
      </c>
      <c r="E364" t="s">
        <v>77</v>
      </c>
      <c r="N364" s="11">
        <v>168645520</v>
      </c>
      <c r="O364" s="2">
        <v>43869</v>
      </c>
      <c r="P364" t="s">
        <v>81</v>
      </c>
      <c r="R364" s="3">
        <f>(Tabla1[[#This Row],[FECHA_TRASPLANTE]]-Tabla1[[#This Row],[FECHA_NAC]])/365.25</f>
        <v>120.10677618069815</v>
      </c>
      <c r="T364"/>
      <c r="X364" t="s">
        <v>1722</v>
      </c>
      <c r="AM364" t="s">
        <v>106</v>
      </c>
      <c r="AO364"/>
      <c r="AV364" s="2"/>
      <c r="AZ364"/>
      <c r="BT364" s="2">
        <f>Tabla1[[#This Row],[FECHA_TRASPLANTE]]</f>
        <v>43869</v>
      </c>
      <c r="BU364">
        <f>IF(Tabla1[[#This Row],[FALLECIDO SI/NO]]="NO",0,1)</f>
        <v>0</v>
      </c>
      <c r="BV364" s="3">
        <f ca="1">IF(Tabla1[[#This Row],[FALLECIDO_COD]]=0,TODAY()-Tabla1[[#This Row],[FECHA_TRASPLANTE]],Tabla1[[#This Row],[FECHA DE DEFUNCIÓN]]-Tabla1[[#This Row],[FECHA_TRASPLANTE]])</f>
        <v>2006</v>
      </c>
      <c r="BW364" s="3">
        <f ca="1">IF(Tabla1[[#This Row],[FALLECIDO_COD]]=0,TODAY()-Tabla1[[#This Row],[FECHA_TRASPLANTE]],Tabla1[[#This Row],[FECHA DE DEFUNCIÓN]]-Tabla1[[#This Row],[FECHA_TRASPLANTE]])/30.4375</f>
        <v>65.905544147843941</v>
      </c>
      <c r="BX364" s="3">
        <f ca="1">IF(Tabla1[[#This Row],[FALLECIDO_COD]]=0,TODAY()-Tabla1[[#This Row],[FECHA_TRASPLANTE]],Tabla1[[#This Row],[FECHA DE DEFUNCIÓN]]-Tabla1[[#This Row],[FECHA_TRASPLANTE]])/365.25</f>
        <v>5.4921286789869956</v>
      </c>
      <c r="BY364"/>
      <c r="BZ364"/>
    </row>
    <row r="365" spans="1:78" hidden="1" x14ac:dyDescent="0.35">
      <c r="A365" t="s">
        <v>1125</v>
      </c>
      <c r="D365" t="s">
        <v>1129</v>
      </c>
      <c r="E365" t="s">
        <v>77</v>
      </c>
      <c r="I365">
        <v>120.10677618069815</v>
      </c>
      <c r="J365" t="s">
        <v>1334</v>
      </c>
      <c r="K365" t="s">
        <v>1723</v>
      </c>
      <c r="L365" t="s">
        <v>175</v>
      </c>
      <c r="M365" t="s">
        <v>1321</v>
      </c>
      <c r="N365" s="11">
        <v>108660788</v>
      </c>
      <c r="O365" s="2">
        <v>43869</v>
      </c>
      <c r="R365" s="3">
        <f>(Tabla1[[#This Row],[FECHA_TRASPLANTE]]-Tabla1[[#This Row],[FECHA_NAC]])/365.25</f>
        <v>120.10677618069815</v>
      </c>
      <c r="T365"/>
      <c r="U365" t="s">
        <v>1348</v>
      </c>
      <c r="W365" t="s">
        <v>82</v>
      </c>
      <c r="X365" t="s">
        <v>83</v>
      </c>
      <c r="Y365" t="s">
        <v>1486</v>
      </c>
      <c r="Z365" t="s">
        <v>1486</v>
      </c>
      <c r="AM365" t="s">
        <v>106</v>
      </c>
      <c r="AO365"/>
      <c r="AV365" s="2"/>
      <c r="AZ365"/>
      <c r="BT365" s="2">
        <f>Tabla1[[#This Row],[FECHA_TRASPLANTE]]</f>
        <v>43869</v>
      </c>
      <c r="BU365">
        <f>IF(Tabla1[[#This Row],[FALLECIDO SI/NO]]="NO",0,1)</f>
        <v>0</v>
      </c>
      <c r="BV365" s="3">
        <f ca="1">IF(Tabla1[[#This Row],[FALLECIDO_COD]]=0,TODAY()-Tabla1[[#This Row],[FECHA_TRASPLANTE]],Tabla1[[#This Row],[FECHA DE DEFUNCIÓN]]-Tabla1[[#This Row],[FECHA_TRASPLANTE]])</f>
        <v>2006</v>
      </c>
      <c r="BW365" s="3">
        <f ca="1">IF(Tabla1[[#This Row],[FALLECIDO_COD]]=0,TODAY()-Tabla1[[#This Row],[FECHA_TRASPLANTE]],Tabla1[[#This Row],[FECHA DE DEFUNCIÓN]]-Tabla1[[#This Row],[FECHA_TRASPLANTE]])/30.4375</f>
        <v>65.905544147843941</v>
      </c>
      <c r="BX365" s="3">
        <f ca="1">IF(Tabla1[[#This Row],[FALLECIDO_COD]]=0,TODAY()-Tabla1[[#This Row],[FECHA_TRASPLANTE]],Tabla1[[#This Row],[FECHA DE DEFUNCIÓN]]-Tabla1[[#This Row],[FECHA_TRASPLANTE]])/365.25</f>
        <v>5.4921286789869956</v>
      </c>
      <c r="BY365"/>
      <c r="BZ365"/>
    </row>
    <row r="366" spans="1:78" hidden="1" x14ac:dyDescent="0.35">
      <c r="A366" t="s">
        <v>75</v>
      </c>
      <c r="D366" t="s">
        <v>1129</v>
      </c>
      <c r="E366" t="s">
        <v>375</v>
      </c>
      <c r="K366" t="s">
        <v>1724</v>
      </c>
      <c r="L366" t="s">
        <v>870</v>
      </c>
      <c r="M366" t="s">
        <v>199</v>
      </c>
      <c r="N366" s="11">
        <v>112430382</v>
      </c>
      <c r="O366" s="16">
        <v>43872</v>
      </c>
      <c r="P366" t="s">
        <v>90</v>
      </c>
      <c r="Q366" s="2">
        <v>31179</v>
      </c>
      <c r="R366" s="3">
        <f>(Tabla1[[#This Row],[FECHA_TRASPLANTE]]-Tabla1[[#This Row],[FECHA_NAC]])/365.25</f>
        <v>34.751540041067763</v>
      </c>
      <c r="T366"/>
      <c r="W366" t="s">
        <v>82</v>
      </c>
      <c r="X366" t="s">
        <v>91</v>
      </c>
      <c r="Y366" t="s">
        <v>211</v>
      </c>
      <c r="Z366" t="s">
        <v>607</v>
      </c>
      <c r="AM366" t="s">
        <v>106</v>
      </c>
      <c r="AO366"/>
      <c r="AV366" s="2"/>
      <c r="AZ366"/>
      <c r="BJ366" s="2"/>
      <c r="BT366" s="2">
        <f>Tabla1[[#This Row],[FECHA_TRASPLANTE]]</f>
        <v>43872</v>
      </c>
      <c r="BU366">
        <f>IF(Tabla1[[#This Row],[FALLECIDO SI/NO]]="NO",0,1)</f>
        <v>0</v>
      </c>
      <c r="BV366" s="3">
        <f ca="1">IF(Tabla1[[#This Row],[FALLECIDO_COD]]=0,TODAY()-Tabla1[[#This Row],[FECHA_TRASPLANTE]],Tabla1[[#This Row],[FECHA DE DEFUNCIÓN]]-Tabla1[[#This Row],[FECHA_TRASPLANTE]])</f>
        <v>2003</v>
      </c>
      <c r="BW366" s="3">
        <f ca="1">IF(Tabla1[[#This Row],[FALLECIDO_COD]]=0,TODAY()-Tabla1[[#This Row],[FECHA_TRASPLANTE]],Tabla1[[#This Row],[FECHA DE DEFUNCIÓN]]-Tabla1[[#This Row],[FECHA_TRASPLANTE]])/30.4375</f>
        <v>65.80698151950719</v>
      </c>
      <c r="BX366" s="3">
        <f ca="1">IF(Tabla1[[#This Row],[FALLECIDO_COD]]=0,TODAY()-Tabla1[[#This Row],[FECHA_TRASPLANTE]],Tabla1[[#This Row],[FECHA DE DEFUNCIÓN]]-Tabla1[[#This Row],[FECHA_TRASPLANTE]])/365.25</f>
        <v>5.4839151266255985</v>
      </c>
      <c r="BY366"/>
      <c r="BZ366"/>
    </row>
    <row r="367" spans="1:78" hidden="1" x14ac:dyDescent="0.35">
      <c r="A367" t="s">
        <v>1125</v>
      </c>
      <c r="D367" t="s">
        <v>1129</v>
      </c>
      <c r="E367" t="s">
        <v>77</v>
      </c>
      <c r="I367">
        <v>120.11498973305955</v>
      </c>
      <c r="J367" t="s">
        <v>1334</v>
      </c>
      <c r="K367" t="s">
        <v>1725</v>
      </c>
      <c r="L367" t="s">
        <v>229</v>
      </c>
      <c r="M367" t="s">
        <v>605</v>
      </c>
      <c r="N367" s="11">
        <v>106780126</v>
      </c>
      <c r="O367" s="2">
        <v>43872</v>
      </c>
      <c r="R367" s="3">
        <f>(Tabla1[[#This Row],[FECHA_TRASPLANTE]]-Tabla1[[#This Row],[FECHA_NAC]])/365.25</f>
        <v>120.11498973305955</v>
      </c>
      <c r="T367"/>
      <c r="U367" t="s">
        <v>1348</v>
      </c>
      <c r="W367" t="s">
        <v>82</v>
      </c>
      <c r="AM367" t="s">
        <v>106</v>
      </c>
      <c r="AO367"/>
      <c r="AV367" s="2"/>
      <c r="AZ367"/>
      <c r="BT367" s="2">
        <f>Tabla1[[#This Row],[FECHA_TRASPLANTE]]</f>
        <v>43872</v>
      </c>
      <c r="BU367">
        <f>IF(Tabla1[[#This Row],[FALLECIDO SI/NO]]="NO",0,1)</f>
        <v>0</v>
      </c>
      <c r="BV367" s="3">
        <f ca="1">IF(Tabla1[[#This Row],[FALLECIDO_COD]]=0,TODAY()-Tabla1[[#This Row],[FECHA_TRASPLANTE]],Tabla1[[#This Row],[FECHA DE DEFUNCIÓN]]-Tabla1[[#This Row],[FECHA_TRASPLANTE]])</f>
        <v>2003</v>
      </c>
      <c r="BW367" s="3">
        <f ca="1">IF(Tabla1[[#This Row],[FALLECIDO_COD]]=0,TODAY()-Tabla1[[#This Row],[FECHA_TRASPLANTE]],Tabla1[[#This Row],[FECHA DE DEFUNCIÓN]]-Tabla1[[#This Row],[FECHA_TRASPLANTE]])/30.4375</f>
        <v>65.80698151950719</v>
      </c>
      <c r="BX367" s="3">
        <f ca="1">IF(Tabla1[[#This Row],[FALLECIDO_COD]]=0,TODAY()-Tabla1[[#This Row],[FECHA_TRASPLANTE]],Tabla1[[#This Row],[FECHA DE DEFUNCIÓN]]-Tabla1[[#This Row],[FECHA_TRASPLANTE]])/365.25</f>
        <v>5.4839151266255985</v>
      </c>
      <c r="BY367"/>
      <c r="BZ367"/>
    </row>
    <row r="368" spans="1:78" hidden="1" x14ac:dyDescent="0.35">
      <c r="A368" t="s">
        <v>377</v>
      </c>
      <c r="D368" t="s">
        <v>1129</v>
      </c>
      <c r="E368" t="s">
        <v>375</v>
      </c>
      <c r="J368" t="s">
        <v>1726</v>
      </c>
      <c r="K368" t="s">
        <v>1727</v>
      </c>
      <c r="L368" t="s">
        <v>94</v>
      </c>
      <c r="M368" t="s">
        <v>141</v>
      </c>
      <c r="N368" s="11">
        <v>108260917</v>
      </c>
      <c r="O368" s="2">
        <v>43873</v>
      </c>
      <c r="P368" t="s">
        <v>81</v>
      </c>
      <c r="Q368" s="2">
        <v>26470</v>
      </c>
      <c r="R368" s="3">
        <f>(Tabla1[[#This Row],[FECHA_TRASPLANTE]]-Tabla1[[#This Row],[FECHA_NAC]])/365.25</f>
        <v>47.646817248459961</v>
      </c>
      <c r="T368"/>
      <c r="W368" t="s">
        <v>82</v>
      </c>
      <c r="X368" t="s">
        <v>261</v>
      </c>
      <c r="Y368" t="s">
        <v>454</v>
      </c>
      <c r="Z368" t="s">
        <v>454</v>
      </c>
      <c r="AM368" t="s">
        <v>106</v>
      </c>
      <c r="AO368"/>
      <c r="AV368" s="2"/>
      <c r="AZ368"/>
      <c r="BT368" s="2">
        <f>Tabla1[[#This Row],[FECHA_TRASPLANTE]]</f>
        <v>43873</v>
      </c>
      <c r="BU368">
        <f>IF(Tabla1[[#This Row],[FALLECIDO SI/NO]]="NO",0,1)</f>
        <v>0</v>
      </c>
      <c r="BV368" s="3">
        <f ca="1">IF(Tabla1[[#This Row],[FALLECIDO_COD]]=0,TODAY()-Tabla1[[#This Row],[FECHA_TRASPLANTE]],Tabla1[[#This Row],[FECHA DE DEFUNCIÓN]]-Tabla1[[#This Row],[FECHA_TRASPLANTE]])</f>
        <v>2002</v>
      </c>
      <c r="BW368" s="3">
        <f ca="1">IF(Tabla1[[#This Row],[FALLECIDO_COD]]=0,TODAY()-Tabla1[[#This Row],[FECHA_TRASPLANTE]],Tabla1[[#This Row],[FECHA DE DEFUNCIÓN]]-Tabla1[[#This Row],[FECHA_TRASPLANTE]])/30.4375</f>
        <v>65.774127310061601</v>
      </c>
      <c r="BX368" s="3">
        <f ca="1">IF(Tabla1[[#This Row],[FALLECIDO_COD]]=0,TODAY()-Tabla1[[#This Row],[FECHA_TRASPLANTE]],Tabla1[[#This Row],[FECHA DE DEFUNCIÓN]]-Tabla1[[#This Row],[FECHA_TRASPLANTE]])/365.25</f>
        <v>5.4811772758384665</v>
      </c>
      <c r="BY368"/>
      <c r="BZ368"/>
    </row>
    <row r="369" spans="1:78" hidden="1" x14ac:dyDescent="0.35">
      <c r="A369" t="s">
        <v>377</v>
      </c>
      <c r="D369" t="s">
        <v>1129</v>
      </c>
      <c r="E369" t="s">
        <v>375</v>
      </c>
      <c r="J369" t="s">
        <v>1728</v>
      </c>
      <c r="K369" t="s">
        <v>460</v>
      </c>
      <c r="L369" t="s">
        <v>1729</v>
      </c>
      <c r="M369" t="s">
        <v>1730</v>
      </c>
      <c r="N369" s="11">
        <v>203680175</v>
      </c>
      <c r="O369" s="2">
        <v>43880</v>
      </c>
      <c r="P369" t="s">
        <v>90</v>
      </c>
      <c r="Q369" s="2">
        <v>22632</v>
      </c>
      <c r="R369" s="3">
        <f>(Tabla1[[#This Row],[FECHA_TRASPLANTE]]-Tabla1[[#This Row],[FECHA_NAC]])/365.25</f>
        <v>58.173853524982889</v>
      </c>
      <c r="T369"/>
      <c r="W369" t="s">
        <v>82</v>
      </c>
      <c r="X369" t="s">
        <v>115</v>
      </c>
      <c r="Y369" t="s">
        <v>84</v>
      </c>
      <c r="Z369" t="s">
        <v>510</v>
      </c>
      <c r="AM369" t="s">
        <v>106</v>
      </c>
      <c r="AO369"/>
      <c r="AV369" s="2"/>
      <c r="AZ369"/>
      <c r="BT369" s="2">
        <f>Tabla1[[#This Row],[FECHA_TRASPLANTE]]</f>
        <v>43880</v>
      </c>
      <c r="BU369">
        <f>IF(Tabla1[[#This Row],[FALLECIDO SI/NO]]="NO",0,1)</f>
        <v>0</v>
      </c>
      <c r="BV369" s="3">
        <f ca="1">IF(Tabla1[[#This Row],[FALLECIDO_COD]]=0,TODAY()-Tabla1[[#This Row],[FECHA_TRASPLANTE]],Tabla1[[#This Row],[FECHA DE DEFUNCIÓN]]-Tabla1[[#This Row],[FECHA_TRASPLANTE]])</f>
        <v>1995</v>
      </c>
      <c r="BW369" s="3">
        <f ca="1">IF(Tabla1[[#This Row],[FALLECIDO_COD]]=0,TODAY()-Tabla1[[#This Row],[FECHA_TRASPLANTE]],Tabla1[[#This Row],[FECHA DE DEFUNCIÓN]]-Tabla1[[#This Row],[FECHA_TRASPLANTE]])/30.4375</f>
        <v>65.544147843942511</v>
      </c>
      <c r="BX369" s="3">
        <f ca="1">IF(Tabla1[[#This Row],[FALLECIDO_COD]]=0,TODAY()-Tabla1[[#This Row],[FECHA_TRASPLANTE]],Tabla1[[#This Row],[FECHA DE DEFUNCIÓN]]-Tabla1[[#This Row],[FECHA_TRASPLANTE]])/365.25</f>
        <v>5.462012320328542</v>
      </c>
      <c r="BY369"/>
      <c r="BZ369"/>
    </row>
    <row r="370" spans="1:78" hidden="1" x14ac:dyDescent="0.35">
      <c r="A370" t="s">
        <v>75</v>
      </c>
      <c r="D370" t="s">
        <v>1129</v>
      </c>
      <c r="E370" t="s">
        <v>77</v>
      </c>
      <c r="K370" t="s">
        <v>1731</v>
      </c>
      <c r="L370" t="s">
        <v>386</v>
      </c>
      <c r="M370" t="s">
        <v>521</v>
      </c>
      <c r="N370" s="12">
        <v>104021107</v>
      </c>
      <c r="O370" s="16">
        <v>43880</v>
      </c>
      <c r="P370" t="s">
        <v>81</v>
      </c>
      <c r="Q370" s="2">
        <v>19152</v>
      </c>
      <c r="R370" s="3">
        <f>(Tabla1[[#This Row],[FECHA_TRASPLANTE]]-Tabla1[[#This Row],[FECHA_NAC]])/365.25</f>
        <v>67.701574264202605</v>
      </c>
      <c r="T370"/>
      <c r="W370" t="s">
        <v>82</v>
      </c>
      <c r="AM370" t="s">
        <v>86</v>
      </c>
      <c r="AN370" s="2">
        <v>43913</v>
      </c>
      <c r="AO370" t="s">
        <v>1677</v>
      </c>
      <c r="AP370" t="s">
        <v>106</v>
      </c>
      <c r="AV370" s="2"/>
      <c r="BI370" t="s">
        <v>86</v>
      </c>
      <c r="BJ370" s="2"/>
      <c r="BK370" t="s">
        <v>1732</v>
      </c>
      <c r="BT370" s="2">
        <f>Tabla1[[#This Row],[FECHA_TRASPLANTE]]</f>
        <v>43880</v>
      </c>
      <c r="BU370">
        <f>IF(Tabla1[[#This Row],[FALLECIDO SI/NO]]="NO",0,1)</f>
        <v>1</v>
      </c>
      <c r="BV370" s="3">
        <f ca="1">IF(Tabla1[[#This Row],[FALLECIDO_COD]]=0,TODAY()-Tabla1[[#This Row],[FECHA_TRASPLANTE]],Tabla1[[#This Row],[FECHA DE DEFUNCIÓN]]-Tabla1[[#This Row],[FECHA_TRASPLANTE]])</f>
        <v>33</v>
      </c>
      <c r="BW370" s="3">
        <f ca="1">IF(Tabla1[[#This Row],[FALLECIDO_COD]]=0,TODAY()-Tabla1[[#This Row],[FECHA_TRASPLANTE]],Tabla1[[#This Row],[FECHA DE DEFUNCIÓN]]-Tabla1[[#This Row],[FECHA_TRASPLANTE]])/30.4375</f>
        <v>1.0841889117043122</v>
      </c>
      <c r="BX370" s="3">
        <f ca="1">IF(Tabla1[[#This Row],[FALLECIDO_COD]]=0,TODAY()-Tabla1[[#This Row],[FECHA_TRASPLANTE]],Tabla1[[#This Row],[FECHA DE DEFUNCIÓN]]-Tabla1[[#This Row],[FECHA_TRASPLANTE]])/365.25</f>
        <v>9.034907597535935E-2</v>
      </c>
      <c r="BY370"/>
      <c r="BZ370"/>
    </row>
    <row r="371" spans="1:78" hidden="1" x14ac:dyDescent="0.35">
      <c r="A371" t="s">
        <v>75</v>
      </c>
      <c r="D371" t="s">
        <v>1129</v>
      </c>
      <c r="E371" t="s">
        <v>77</v>
      </c>
      <c r="K371" t="s">
        <v>1733</v>
      </c>
      <c r="L371" t="s">
        <v>243</v>
      </c>
      <c r="M371" t="s">
        <v>243</v>
      </c>
      <c r="N371" s="11">
        <v>207410317</v>
      </c>
      <c r="O371" s="16">
        <v>43883</v>
      </c>
      <c r="P371" t="s">
        <v>90</v>
      </c>
      <c r="Q371" s="2">
        <v>33571</v>
      </c>
      <c r="R371" s="3">
        <f>(Tabla1[[#This Row],[FECHA_TRASPLANTE]]-Tabla1[[#This Row],[FECHA_NAC]])/365.25</f>
        <v>28.232717316906228</v>
      </c>
      <c r="T371"/>
      <c r="W371" t="s">
        <v>82</v>
      </c>
      <c r="AM371" t="s">
        <v>106</v>
      </c>
      <c r="AO371"/>
      <c r="AV371" s="2"/>
      <c r="AZ371"/>
      <c r="BJ371" s="2"/>
      <c r="BT371" s="2">
        <f>Tabla1[[#This Row],[FECHA_TRASPLANTE]]</f>
        <v>43883</v>
      </c>
      <c r="BU371">
        <f>IF(Tabla1[[#This Row],[FALLECIDO SI/NO]]="NO",0,1)</f>
        <v>0</v>
      </c>
      <c r="BV371" s="3">
        <f ca="1">IF(Tabla1[[#This Row],[FALLECIDO_COD]]=0,TODAY()-Tabla1[[#This Row],[FECHA_TRASPLANTE]],Tabla1[[#This Row],[FECHA DE DEFUNCIÓN]]-Tabla1[[#This Row],[FECHA_TRASPLANTE]])</f>
        <v>1992</v>
      </c>
      <c r="BW371" s="3">
        <f ca="1">IF(Tabla1[[#This Row],[FALLECIDO_COD]]=0,TODAY()-Tabla1[[#This Row],[FECHA_TRASPLANTE]],Tabla1[[#This Row],[FECHA DE DEFUNCIÓN]]-Tabla1[[#This Row],[FECHA_TRASPLANTE]])/30.4375</f>
        <v>65.445585215605746</v>
      </c>
      <c r="BX371" s="3">
        <f ca="1">IF(Tabla1[[#This Row],[FALLECIDO_COD]]=0,TODAY()-Tabla1[[#This Row],[FECHA_TRASPLANTE]],Tabla1[[#This Row],[FECHA DE DEFUNCIÓN]]-Tabla1[[#This Row],[FECHA_TRASPLANTE]])/365.25</f>
        <v>5.4537987679671458</v>
      </c>
      <c r="BY371"/>
      <c r="BZ371"/>
    </row>
    <row r="372" spans="1:78" hidden="1" x14ac:dyDescent="0.35">
      <c r="A372" t="s">
        <v>1125</v>
      </c>
      <c r="D372" t="s">
        <v>1129</v>
      </c>
      <c r="E372" t="s">
        <v>77</v>
      </c>
      <c r="I372">
        <v>120.14510609171801</v>
      </c>
      <c r="J372" t="s">
        <v>1334</v>
      </c>
      <c r="K372" t="s">
        <v>1734</v>
      </c>
      <c r="L372" t="s">
        <v>741</v>
      </c>
      <c r="M372" t="s">
        <v>406</v>
      </c>
      <c r="N372" s="12">
        <v>115580493</v>
      </c>
      <c r="O372" s="2">
        <v>43883</v>
      </c>
      <c r="P372" t="s">
        <v>81</v>
      </c>
      <c r="Q372" s="2">
        <v>34338</v>
      </c>
      <c r="R372" s="3">
        <f>(Tabla1[[#This Row],[FECHA_TRASPLANTE]]-Tabla1[[#This Row],[FECHA_NAC]])/365.25</f>
        <v>26.132785763175907</v>
      </c>
      <c r="T372"/>
      <c r="U372" t="s">
        <v>1348</v>
      </c>
      <c r="W372" t="s">
        <v>82</v>
      </c>
      <c r="AM372" t="s">
        <v>86</v>
      </c>
      <c r="AN372" s="2">
        <v>44742</v>
      </c>
      <c r="AO372" t="s">
        <v>1702</v>
      </c>
      <c r="AP372" t="s">
        <v>106</v>
      </c>
      <c r="AQ372" t="s">
        <v>772</v>
      </c>
      <c r="AV372" s="2"/>
      <c r="AY372" t="s">
        <v>86</v>
      </c>
      <c r="BT372" s="2">
        <f>Tabla1[[#This Row],[FECHA_TRASPLANTE]]</f>
        <v>43883</v>
      </c>
      <c r="BU372">
        <f>IF(Tabla1[[#This Row],[FALLECIDO SI/NO]]="NO",0,1)</f>
        <v>1</v>
      </c>
      <c r="BV372" s="3">
        <f ca="1">IF(Tabla1[[#This Row],[FALLECIDO_COD]]=0,TODAY()-Tabla1[[#This Row],[FECHA_TRASPLANTE]],Tabla1[[#This Row],[FECHA DE DEFUNCIÓN]]-Tabla1[[#This Row],[FECHA_TRASPLANTE]])</f>
        <v>859</v>
      </c>
      <c r="BW372" s="3">
        <f ca="1">IF(Tabla1[[#This Row],[FALLECIDO_COD]]=0,TODAY()-Tabla1[[#This Row],[FECHA_TRASPLANTE]],Tabla1[[#This Row],[FECHA DE DEFUNCIÓN]]-Tabla1[[#This Row],[FECHA_TRASPLANTE]])/30.4375</f>
        <v>28.2217659137577</v>
      </c>
      <c r="BX372" s="3">
        <f ca="1">IF(Tabla1[[#This Row],[FALLECIDO_COD]]=0,TODAY()-Tabla1[[#This Row],[FECHA_TRASPLANTE]],Tabla1[[#This Row],[FECHA DE DEFUNCIÓN]]-Tabla1[[#This Row],[FECHA_TRASPLANTE]])/365.25</f>
        <v>2.3518138261464752</v>
      </c>
      <c r="BY372"/>
      <c r="BZ372"/>
    </row>
    <row r="373" spans="1:78" hidden="1" x14ac:dyDescent="0.35">
      <c r="A373" t="s">
        <v>75</v>
      </c>
      <c r="D373" t="s">
        <v>1129</v>
      </c>
      <c r="E373" t="s">
        <v>77</v>
      </c>
      <c r="K373" t="s">
        <v>1735</v>
      </c>
      <c r="L373" t="s">
        <v>94</v>
      </c>
      <c r="M373" t="s">
        <v>1464</v>
      </c>
      <c r="N373" s="11">
        <v>302350340</v>
      </c>
      <c r="O373" s="16">
        <v>43886</v>
      </c>
      <c r="P373" t="s">
        <v>90</v>
      </c>
      <c r="Q373" s="2">
        <v>21655</v>
      </c>
      <c r="R373" s="3">
        <f>(Tabla1[[#This Row],[FECHA_TRASPLANTE]]-Tabla1[[#This Row],[FECHA_NAC]])/365.25</f>
        <v>60.865160848733744</v>
      </c>
      <c r="T373"/>
      <c r="W373" t="s">
        <v>82</v>
      </c>
      <c r="AM373" t="s">
        <v>106</v>
      </c>
      <c r="AO373"/>
      <c r="AV373" s="2"/>
      <c r="AZ373"/>
      <c r="BJ373" s="2"/>
      <c r="BT373" s="2">
        <f>Tabla1[[#This Row],[FECHA_TRASPLANTE]]</f>
        <v>43886</v>
      </c>
      <c r="BU373">
        <f>IF(Tabla1[[#This Row],[FALLECIDO SI/NO]]="NO",0,1)</f>
        <v>0</v>
      </c>
      <c r="BV373" s="3">
        <f ca="1">IF(Tabla1[[#This Row],[FALLECIDO_COD]]=0,TODAY()-Tabla1[[#This Row],[FECHA_TRASPLANTE]],Tabla1[[#This Row],[FECHA DE DEFUNCIÓN]]-Tabla1[[#This Row],[FECHA_TRASPLANTE]])</f>
        <v>1989</v>
      </c>
      <c r="BW373" s="3">
        <f ca="1">IF(Tabla1[[#This Row],[FALLECIDO_COD]]=0,TODAY()-Tabla1[[#This Row],[FECHA_TRASPLANTE]],Tabla1[[#This Row],[FECHA DE DEFUNCIÓN]]-Tabla1[[#This Row],[FECHA_TRASPLANTE]])/30.4375</f>
        <v>65.347022587268995</v>
      </c>
      <c r="BX373" s="3">
        <f ca="1">IF(Tabla1[[#This Row],[FALLECIDO_COD]]=0,TODAY()-Tabla1[[#This Row],[FECHA_TRASPLANTE]],Tabla1[[#This Row],[FECHA DE DEFUNCIÓN]]-Tabla1[[#This Row],[FECHA_TRASPLANTE]])/365.25</f>
        <v>5.4455852156057496</v>
      </c>
      <c r="BY373"/>
      <c r="BZ373"/>
    </row>
    <row r="374" spans="1:78" hidden="1" x14ac:dyDescent="0.35">
      <c r="A374" t="s">
        <v>1125</v>
      </c>
      <c r="D374" t="s">
        <v>1129</v>
      </c>
      <c r="E374" t="s">
        <v>77</v>
      </c>
      <c r="I374">
        <v>120.1533196440794</v>
      </c>
      <c r="J374" t="s">
        <v>1334</v>
      </c>
      <c r="K374" t="s">
        <v>178</v>
      </c>
      <c r="L374" t="s">
        <v>613</v>
      </c>
      <c r="M374" t="s">
        <v>1736</v>
      </c>
      <c r="N374" s="12">
        <v>600890629</v>
      </c>
      <c r="O374" s="2">
        <v>43886</v>
      </c>
      <c r="R374" s="3">
        <f>(Tabla1[[#This Row],[FECHA_TRASPLANTE]]-Tabla1[[#This Row],[FECHA_NAC]])/365.25</f>
        <v>120.1533196440794</v>
      </c>
      <c r="T374"/>
      <c r="U374" t="s">
        <v>1348</v>
      </c>
      <c r="W374" t="s">
        <v>82</v>
      </c>
      <c r="AM374" t="s">
        <v>86</v>
      </c>
      <c r="AN374" s="2">
        <v>44050</v>
      </c>
      <c r="AO374"/>
      <c r="AV374" s="2"/>
      <c r="BT374" s="2">
        <f>Tabla1[[#This Row],[FECHA_TRASPLANTE]]</f>
        <v>43886</v>
      </c>
      <c r="BU374">
        <f>IF(Tabla1[[#This Row],[FALLECIDO SI/NO]]="NO",0,1)</f>
        <v>1</v>
      </c>
      <c r="BV374" s="3">
        <f ca="1">IF(Tabla1[[#This Row],[FALLECIDO_COD]]=0,TODAY()-Tabla1[[#This Row],[FECHA_TRASPLANTE]],Tabla1[[#This Row],[FECHA DE DEFUNCIÓN]]-Tabla1[[#This Row],[FECHA_TRASPLANTE]])</f>
        <v>164</v>
      </c>
      <c r="BW374" s="3">
        <f ca="1">IF(Tabla1[[#This Row],[FALLECIDO_COD]]=0,TODAY()-Tabla1[[#This Row],[FECHA_TRASPLANTE]],Tabla1[[#This Row],[FECHA DE DEFUNCIÓN]]-Tabla1[[#This Row],[FECHA_TRASPLANTE]])/30.4375</f>
        <v>5.3880903490759753</v>
      </c>
      <c r="BX374" s="3">
        <f ca="1">IF(Tabla1[[#This Row],[FALLECIDO_COD]]=0,TODAY()-Tabla1[[#This Row],[FECHA_TRASPLANTE]],Tabla1[[#This Row],[FECHA DE DEFUNCIÓN]]-Tabla1[[#This Row],[FECHA_TRASPLANTE]])/365.25</f>
        <v>0.44900752908966463</v>
      </c>
      <c r="BY374"/>
      <c r="BZ374"/>
    </row>
    <row r="375" spans="1:78" hidden="1" x14ac:dyDescent="0.35">
      <c r="A375" t="s">
        <v>1125</v>
      </c>
      <c r="D375" t="s">
        <v>1129</v>
      </c>
      <c r="E375" t="s">
        <v>77</v>
      </c>
      <c r="I375">
        <v>120.15879534565366</v>
      </c>
      <c r="J375" t="s">
        <v>1334</v>
      </c>
      <c r="K375" t="s">
        <v>1737</v>
      </c>
      <c r="L375" t="s">
        <v>145</v>
      </c>
      <c r="M375" t="s">
        <v>189</v>
      </c>
      <c r="N375" s="11">
        <v>1680100086</v>
      </c>
      <c r="O375" s="2">
        <v>43888</v>
      </c>
      <c r="R375" s="3">
        <f>(Tabla1[[#This Row],[FECHA_TRASPLANTE]]-Tabla1[[#This Row],[FECHA_NAC]])/365.25</f>
        <v>120.15879534565366</v>
      </c>
      <c r="T375"/>
      <c r="U375" t="s">
        <v>1348</v>
      </c>
      <c r="W375" t="s">
        <v>146</v>
      </c>
      <c r="AM375" t="s">
        <v>106</v>
      </c>
      <c r="AO375"/>
      <c r="AV375" s="2"/>
      <c r="AZ375"/>
      <c r="BT375" s="2">
        <f>Tabla1[[#This Row],[FECHA_TRASPLANTE]]</f>
        <v>43888</v>
      </c>
      <c r="BU375">
        <f>IF(Tabla1[[#This Row],[FALLECIDO SI/NO]]="NO",0,1)</f>
        <v>0</v>
      </c>
      <c r="BV375" s="3">
        <f ca="1">IF(Tabla1[[#This Row],[FALLECIDO_COD]]=0,TODAY()-Tabla1[[#This Row],[FECHA_TRASPLANTE]],Tabla1[[#This Row],[FECHA DE DEFUNCIÓN]]-Tabla1[[#This Row],[FECHA_TRASPLANTE]])</f>
        <v>1987</v>
      </c>
      <c r="BW375" s="3">
        <f ca="1">IF(Tabla1[[#This Row],[FALLECIDO_COD]]=0,TODAY()-Tabla1[[#This Row],[FECHA_TRASPLANTE]],Tabla1[[#This Row],[FECHA DE DEFUNCIÓN]]-Tabla1[[#This Row],[FECHA_TRASPLANTE]])/30.4375</f>
        <v>65.281314168377818</v>
      </c>
      <c r="BX375" s="3">
        <f ca="1">IF(Tabla1[[#This Row],[FALLECIDO_COD]]=0,TODAY()-Tabla1[[#This Row],[FECHA_TRASPLANTE]],Tabla1[[#This Row],[FECHA DE DEFUNCIÓN]]-Tabla1[[#This Row],[FECHA_TRASPLANTE]])/365.25</f>
        <v>5.4401095140314855</v>
      </c>
      <c r="BY375"/>
      <c r="BZ375"/>
    </row>
    <row r="376" spans="1:78" hidden="1" x14ac:dyDescent="0.35">
      <c r="A376" t="s">
        <v>1126</v>
      </c>
      <c r="D376" t="s">
        <v>1333</v>
      </c>
      <c r="E376" t="s">
        <v>77</v>
      </c>
      <c r="F376" t="s">
        <v>86</v>
      </c>
      <c r="I376">
        <v>120.15879534565366</v>
      </c>
      <c r="J376" t="s">
        <v>1548</v>
      </c>
      <c r="N376" s="11">
        <v>205620380</v>
      </c>
      <c r="O376" s="2">
        <v>43888</v>
      </c>
      <c r="P376" t="s">
        <v>1669</v>
      </c>
      <c r="Q376" s="2">
        <v>29662</v>
      </c>
      <c r="R376" s="3">
        <f>(Tabla1[[#This Row],[FECHA_TRASPLANTE]]-Tabla1[[#This Row],[FECHA_NAC]])/365.25</f>
        <v>38.948665297741272</v>
      </c>
      <c r="S376" t="s">
        <v>210</v>
      </c>
      <c r="U376" t="s">
        <v>1585</v>
      </c>
      <c r="V376" t="s">
        <v>1566</v>
      </c>
      <c r="W376" t="s">
        <v>82</v>
      </c>
      <c r="X376" t="s">
        <v>110</v>
      </c>
      <c r="Y376" t="s">
        <v>111</v>
      </c>
      <c r="Z376" t="s">
        <v>1738</v>
      </c>
      <c r="AF376" t="s">
        <v>375</v>
      </c>
      <c r="AG376" t="s">
        <v>375</v>
      </c>
      <c r="AH376" t="s">
        <v>375</v>
      </c>
      <c r="AI376" t="s">
        <v>375</v>
      </c>
      <c r="AJ376" t="s">
        <v>375</v>
      </c>
      <c r="AK376" t="s">
        <v>375</v>
      </c>
      <c r="AM376" t="s">
        <v>106</v>
      </c>
      <c r="AQ376" t="s">
        <v>358</v>
      </c>
      <c r="AR376" s="2" t="s">
        <v>358</v>
      </c>
      <c r="AS376" s="2" t="s">
        <v>358</v>
      </c>
      <c r="AT376" t="s">
        <v>358</v>
      </c>
      <c r="AV376" s="2"/>
      <c r="AY376" t="s">
        <v>106</v>
      </c>
      <c r="AZ376"/>
      <c r="BA376" t="s">
        <v>1552</v>
      </c>
      <c r="BB376">
        <v>0.8</v>
      </c>
      <c r="BC376">
        <v>96</v>
      </c>
      <c r="BD376" t="s">
        <v>106</v>
      </c>
      <c r="BI376" t="s">
        <v>106</v>
      </c>
      <c r="BL376" t="s">
        <v>106</v>
      </c>
      <c r="BT376" s="2">
        <f>Tabla1[[#This Row],[FECHA_TRASPLANTE]]</f>
        <v>43888</v>
      </c>
      <c r="BU376">
        <f>IF(Tabla1[[#This Row],[FALLECIDO SI/NO]]="NO",0,1)</f>
        <v>0</v>
      </c>
      <c r="BV376" s="3">
        <f ca="1">IF(Tabla1[[#This Row],[FALLECIDO_COD]]=0,TODAY()-Tabla1[[#This Row],[FECHA_TRASPLANTE]],Tabla1[[#This Row],[FECHA DE DEFUNCIÓN]]-Tabla1[[#This Row],[FECHA_TRASPLANTE]])</f>
        <v>1987</v>
      </c>
      <c r="BW376" s="3">
        <f ca="1">IF(Tabla1[[#This Row],[FALLECIDO_COD]]=0,TODAY()-Tabla1[[#This Row],[FECHA_TRASPLANTE]],Tabla1[[#This Row],[FECHA DE DEFUNCIÓN]]-Tabla1[[#This Row],[FECHA_TRASPLANTE]])/30.4375</f>
        <v>65.281314168377818</v>
      </c>
      <c r="BX376" s="3">
        <f ca="1">IF(Tabla1[[#This Row],[FALLECIDO_COD]]=0,TODAY()-Tabla1[[#This Row],[FECHA_TRASPLANTE]],Tabla1[[#This Row],[FECHA DE DEFUNCIÓN]]-Tabla1[[#This Row],[FECHA_TRASPLANTE]])/365.25</f>
        <v>5.4401095140314855</v>
      </c>
      <c r="BY376"/>
      <c r="BZ376"/>
    </row>
    <row r="377" spans="1:78" hidden="1" x14ac:dyDescent="0.35">
      <c r="A377" t="s">
        <v>377</v>
      </c>
      <c r="D377" t="s">
        <v>1129</v>
      </c>
      <c r="E377" t="s">
        <v>375</v>
      </c>
      <c r="K377" t="s">
        <v>1739</v>
      </c>
      <c r="L377" t="s">
        <v>109</v>
      </c>
      <c r="M377" t="s">
        <v>109</v>
      </c>
      <c r="N377" s="11">
        <v>401390539</v>
      </c>
      <c r="O377" s="2">
        <v>43894</v>
      </c>
      <c r="P377" t="s">
        <v>90</v>
      </c>
      <c r="Q377" s="2">
        <v>23847</v>
      </c>
      <c r="R377" s="3">
        <f>(Tabla1[[#This Row],[FECHA_TRASPLANTE]]-Tabla1[[#This Row],[FECHA_NAC]])/365.25</f>
        <v>54.885694729637237</v>
      </c>
      <c r="T377"/>
      <c r="W377" t="s">
        <v>82</v>
      </c>
      <c r="X377" t="s">
        <v>261</v>
      </c>
      <c r="Y377" t="s">
        <v>84</v>
      </c>
      <c r="Z377" t="s">
        <v>261</v>
      </c>
      <c r="AM377" t="s">
        <v>106</v>
      </c>
      <c r="AO377"/>
      <c r="AV377" s="2"/>
      <c r="AZ377"/>
      <c r="BT377" s="2">
        <f>Tabla1[[#This Row],[FECHA_TRASPLANTE]]</f>
        <v>43894</v>
      </c>
      <c r="BU377">
        <f>IF(Tabla1[[#This Row],[FALLECIDO SI/NO]]="NO",0,1)</f>
        <v>0</v>
      </c>
      <c r="BV377" s="3">
        <f ca="1">IF(Tabla1[[#This Row],[FALLECIDO_COD]]=0,TODAY()-Tabla1[[#This Row],[FECHA_TRASPLANTE]],Tabla1[[#This Row],[FECHA DE DEFUNCIÓN]]-Tabla1[[#This Row],[FECHA_TRASPLANTE]])</f>
        <v>1981</v>
      </c>
      <c r="BW377" s="3">
        <f ca="1">IF(Tabla1[[#This Row],[FALLECIDO_COD]]=0,TODAY()-Tabla1[[#This Row],[FECHA_TRASPLANTE]],Tabla1[[#This Row],[FECHA DE DEFUNCIÓN]]-Tabla1[[#This Row],[FECHA_TRASPLANTE]])/30.4375</f>
        <v>65.084188911704317</v>
      </c>
      <c r="BX377" s="3">
        <f ca="1">IF(Tabla1[[#This Row],[FALLECIDO_COD]]=0,TODAY()-Tabla1[[#This Row],[FECHA_TRASPLANTE]],Tabla1[[#This Row],[FECHA DE DEFUNCIÓN]]-Tabla1[[#This Row],[FECHA_TRASPLANTE]])/365.25</f>
        <v>5.4236824093086931</v>
      </c>
      <c r="BY377"/>
      <c r="BZ377"/>
    </row>
    <row r="378" spans="1:78" hidden="1" x14ac:dyDescent="0.35">
      <c r="A378" t="s">
        <v>376</v>
      </c>
      <c r="B378" t="s">
        <v>376</v>
      </c>
      <c r="D378" t="s">
        <v>1129</v>
      </c>
      <c r="E378" t="s">
        <v>77</v>
      </c>
      <c r="K378" t="s">
        <v>1740</v>
      </c>
      <c r="L378" t="s">
        <v>1574</v>
      </c>
      <c r="M378" t="s">
        <v>870</v>
      </c>
      <c r="N378" s="11">
        <v>208490234</v>
      </c>
      <c r="O378" s="2">
        <v>43960</v>
      </c>
      <c r="P378" t="s">
        <v>90</v>
      </c>
      <c r="Q378" s="2">
        <v>37989</v>
      </c>
      <c r="R378" s="3">
        <f>(Tabla1[[#This Row],[FECHA_TRASPLANTE]]-Tabla1[[#This Row],[FECHA_NAC]])/365.25</f>
        <v>16.347707049965777</v>
      </c>
      <c r="T378"/>
      <c r="W378" t="s">
        <v>82</v>
      </c>
      <c r="AM378" t="s">
        <v>106</v>
      </c>
      <c r="AO378"/>
      <c r="AV378" s="2"/>
      <c r="AZ378"/>
      <c r="BT378" s="2">
        <f>Tabla1[[#This Row],[FECHA_TRASPLANTE]]</f>
        <v>43960</v>
      </c>
      <c r="BU378">
        <f>IF(Tabla1[[#This Row],[FALLECIDO SI/NO]]="NO",0,1)</f>
        <v>0</v>
      </c>
      <c r="BV378" s="3">
        <f ca="1">IF(Tabla1[[#This Row],[FALLECIDO_COD]]=0,TODAY()-Tabla1[[#This Row],[FECHA_TRASPLANTE]],Tabla1[[#This Row],[FECHA DE DEFUNCIÓN]]-Tabla1[[#This Row],[FECHA_TRASPLANTE]])</f>
        <v>1915</v>
      </c>
      <c r="BW378" s="3">
        <f ca="1">IF(Tabla1[[#This Row],[FALLECIDO_COD]]=0,TODAY()-Tabla1[[#This Row],[FECHA_TRASPLANTE]],Tabla1[[#This Row],[FECHA DE DEFUNCIÓN]]-Tabla1[[#This Row],[FECHA_TRASPLANTE]])/30.4375</f>
        <v>62.91581108829569</v>
      </c>
      <c r="BX378" s="3">
        <f ca="1">IF(Tabla1[[#This Row],[FALLECIDO_COD]]=0,TODAY()-Tabla1[[#This Row],[FECHA_TRASPLANTE]],Tabla1[[#This Row],[FECHA DE DEFUNCIÓN]]-Tabla1[[#This Row],[FECHA_TRASPLANTE]])/365.25</f>
        <v>5.2429842573579739</v>
      </c>
      <c r="BY378"/>
      <c r="BZ378"/>
    </row>
    <row r="379" spans="1:78" hidden="1" x14ac:dyDescent="0.35">
      <c r="A379" t="s">
        <v>377</v>
      </c>
      <c r="D379" t="s">
        <v>1129</v>
      </c>
      <c r="E379" t="s">
        <v>77</v>
      </c>
      <c r="K379" t="s">
        <v>1741</v>
      </c>
      <c r="L379" t="s">
        <v>1230</v>
      </c>
      <c r="M379" t="s">
        <v>440</v>
      </c>
      <c r="N379" s="12">
        <v>501620844</v>
      </c>
      <c r="O379" s="2">
        <v>44003</v>
      </c>
      <c r="P379" t="s">
        <v>81</v>
      </c>
      <c r="Q379" s="2">
        <v>20693</v>
      </c>
      <c r="R379" s="3">
        <f>(Tabla1[[#This Row],[FECHA_TRASPLANTE]]-Tabla1[[#This Row],[FECHA_NAC]])/365.25</f>
        <v>63.819301848049278</v>
      </c>
      <c r="T379"/>
      <c r="W379" t="s">
        <v>82</v>
      </c>
      <c r="X379" t="s">
        <v>1722</v>
      </c>
      <c r="AM379" t="s">
        <v>86</v>
      </c>
      <c r="AN379" s="2">
        <v>44074</v>
      </c>
      <c r="AO379"/>
      <c r="AV379" s="2"/>
      <c r="BT379" s="2">
        <f>Tabla1[[#This Row],[FECHA_TRASPLANTE]]</f>
        <v>44003</v>
      </c>
      <c r="BU379">
        <f>IF(Tabla1[[#This Row],[FALLECIDO SI/NO]]="NO",0,1)</f>
        <v>1</v>
      </c>
      <c r="BV379" s="3">
        <f ca="1">IF(Tabla1[[#This Row],[FALLECIDO_COD]]=0,TODAY()-Tabla1[[#This Row],[FECHA_TRASPLANTE]],Tabla1[[#This Row],[FECHA DE DEFUNCIÓN]]-Tabla1[[#This Row],[FECHA_TRASPLANTE]])</f>
        <v>71</v>
      </c>
      <c r="BW379" s="3">
        <f ca="1">IF(Tabla1[[#This Row],[FALLECIDO_COD]]=0,TODAY()-Tabla1[[#This Row],[FECHA_TRASPLANTE]],Tabla1[[#This Row],[FECHA DE DEFUNCIÓN]]-Tabla1[[#This Row],[FECHA_TRASPLANTE]])/30.4375</f>
        <v>2.3326488706365502</v>
      </c>
      <c r="BX379" s="3">
        <f ca="1">IF(Tabla1[[#This Row],[FALLECIDO_COD]]=0,TODAY()-Tabla1[[#This Row],[FECHA_TRASPLANTE]],Tabla1[[#This Row],[FECHA DE DEFUNCIÓN]]-Tabla1[[#This Row],[FECHA_TRASPLANTE]])/365.25</f>
        <v>0.19438740588637921</v>
      </c>
      <c r="BY379"/>
      <c r="BZ379"/>
    </row>
    <row r="380" spans="1:78" hidden="1" x14ac:dyDescent="0.35">
      <c r="A380" t="s">
        <v>1126</v>
      </c>
      <c r="D380" t="s">
        <v>1333</v>
      </c>
      <c r="E380" t="s">
        <v>77</v>
      </c>
      <c r="F380" t="s">
        <v>106</v>
      </c>
      <c r="I380">
        <v>120.47638603696099</v>
      </c>
      <c r="J380" t="s">
        <v>1548</v>
      </c>
      <c r="N380" s="11">
        <v>302170100</v>
      </c>
      <c r="O380" s="2">
        <v>44004</v>
      </c>
      <c r="P380" t="s">
        <v>1549</v>
      </c>
      <c r="Q380" s="2">
        <v>20643</v>
      </c>
      <c r="R380" s="3">
        <f>(Tabla1[[#This Row],[FECHA_TRASPLANTE]]-Tabla1[[#This Row],[FECHA_NAC]])/365.25</f>
        <v>63.958932238193022</v>
      </c>
      <c r="S380" t="s">
        <v>200</v>
      </c>
      <c r="U380" t="s">
        <v>1742</v>
      </c>
      <c r="V380" t="s">
        <v>1551</v>
      </c>
      <c r="W380" t="s">
        <v>82</v>
      </c>
      <c r="X380" t="s">
        <v>110</v>
      </c>
      <c r="Y380" t="s">
        <v>110</v>
      </c>
      <c r="Z380" t="s">
        <v>307</v>
      </c>
      <c r="AF380" t="s">
        <v>375</v>
      </c>
      <c r="AG380" t="s">
        <v>375</v>
      </c>
      <c r="AH380" t="s">
        <v>375</v>
      </c>
      <c r="AI380" t="s">
        <v>375</v>
      </c>
      <c r="AJ380" t="s">
        <v>375</v>
      </c>
      <c r="AM380" t="s">
        <v>106</v>
      </c>
      <c r="AQ380" t="s">
        <v>358</v>
      </c>
      <c r="AR380" s="2" t="s">
        <v>358</v>
      </c>
      <c r="AS380" s="2" t="s">
        <v>358</v>
      </c>
      <c r="AV380" s="2"/>
      <c r="AY380" t="s">
        <v>106</v>
      </c>
      <c r="AZ380"/>
      <c r="BA380" t="s">
        <v>1552</v>
      </c>
      <c r="BB380">
        <v>1.23</v>
      </c>
      <c r="BC380">
        <v>66</v>
      </c>
      <c r="BD380" t="s">
        <v>106</v>
      </c>
      <c r="BI380" t="s">
        <v>106</v>
      </c>
      <c r="BL380" t="s">
        <v>106</v>
      </c>
      <c r="BT380" s="2">
        <f>Tabla1[[#This Row],[FECHA_TRASPLANTE]]</f>
        <v>44004</v>
      </c>
      <c r="BU380">
        <f>IF(Tabla1[[#This Row],[FALLECIDO SI/NO]]="NO",0,1)</f>
        <v>0</v>
      </c>
      <c r="BV380" s="3">
        <f ca="1">IF(Tabla1[[#This Row],[FALLECIDO_COD]]=0,TODAY()-Tabla1[[#This Row],[FECHA_TRASPLANTE]],Tabla1[[#This Row],[FECHA DE DEFUNCIÓN]]-Tabla1[[#This Row],[FECHA_TRASPLANTE]])</f>
        <v>1871</v>
      </c>
      <c r="BW380" s="3">
        <f ca="1">IF(Tabla1[[#This Row],[FALLECIDO_COD]]=0,TODAY()-Tabla1[[#This Row],[FECHA_TRASPLANTE]],Tabla1[[#This Row],[FECHA DE DEFUNCIÓN]]-Tabla1[[#This Row],[FECHA_TRASPLANTE]])/30.4375</f>
        <v>61.470225872689937</v>
      </c>
      <c r="BX380" s="3">
        <f ca="1">IF(Tabla1[[#This Row],[FALLECIDO_COD]]=0,TODAY()-Tabla1[[#This Row],[FECHA_TRASPLANTE]],Tabla1[[#This Row],[FECHA DE DEFUNCIÓN]]-Tabla1[[#This Row],[FECHA_TRASPLANTE]])/365.25</f>
        <v>5.1225188227241611</v>
      </c>
      <c r="BY380"/>
      <c r="BZ380"/>
    </row>
    <row r="381" spans="1:78" hidden="1" x14ac:dyDescent="0.35">
      <c r="A381" t="s">
        <v>377</v>
      </c>
      <c r="D381" t="s">
        <v>1129</v>
      </c>
      <c r="E381" t="s">
        <v>77</v>
      </c>
      <c r="K381" t="s">
        <v>1743</v>
      </c>
      <c r="L381" t="s">
        <v>1744</v>
      </c>
      <c r="M381" t="s">
        <v>1745</v>
      </c>
      <c r="N381" s="12">
        <v>15756036</v>
      </c>
      <c r="O381" s="2">
        <v>44014</v>
      </c>
      <c r="P381" t="s">
        <v>81</v>
      </c>
      <c r="Q381" s="2">
        <v>20993</v>
      </c>
      <c r="R381" s="3">
        <f>(Tabla1[[#This Row],[FECHA_TRASPLANTE]]-Tabla1[[#This Row],[FECHA_NAC]])/365.25</f>
        <v>63.028062970568101</v>
      </c>
      <c r="T381"/>
      <c r="W381" t="s">
        <v>597</v>
      </c>
      <c r="AM381" t="s">
        <v>86</v>
      </c>
      <c r="AN381" s="2">
        <v>44017</v>
      </c>
      <c r="AO381" t="s">
        <v>1677</v>
      </c>
      <c r="AP381" t="s">
        <v>106</v>
      </c>
      <c r="AV381" s="2"/>
      <c r="BT381" s="2">
        <f>Tabla1[[#This Row],[FECHA_TRASPLANTE]]</f>
        <v>44014</v>
      </c>
      <c r="BU381">
        <f>IF(Tabla1[[#This Row],[FALLECIDO SI/NO]]="NO",0,1)</f>
        <v>1</v>
      </c>
      <c r="BV381" s="3">
        <f ca="1">IF(Tabla1[[#This Row],[FALLECIDO_COD]]=0,TODAY()-Tabla1[[#This Row],[FECHA_TRASPLANTE]],Tabla1[[#This Row],[FECHA DE DEFUNCIÓN]]-Tabla1[[#This Row],[FECHA_TRASPLANTE]])</f>
        <v>3</v>
      </c>
      <c r="BW381" s="3">
        <f ca="1">IF(Tabla1[[#This Row],[FALLECIDO_COD]]=0,TODAY()-Tabla1[[#This Row],[FECHA_TRASPLANTE]],Tabla1[[#This Row],[FECHA DE DEFUNCIÓN]]-Tabla1[[#This Row],[FECHA_TRASPLANTE]])/30.4375</f>
        <v>9.856262833675565E-2</v>
      </c>
      <c r="BX381" s="3">
        <f ca="1">IF(Tabla1[[#This Row],[FALLECIDO_COD]]=0,TODAY()-Tabla1[[#This Row],[FECHA_TRASPLANTE]],Tabla1[[#This Row],[FECHA DE DEFUNCIÓN]]-Tabla1[[#This Row],[FECHA_TRASPLANTE]])/365.25</f>
        <v>8.2135523613963042E-3</v>
      </c>
      <c r="BY381"/>
      <c r="BZ381"/>
    </row>
    <row r="382" spans="1:78" hidden="1" x14ac:dyDescent="0.35">
      <c r="A382" t="s">
        <v>376</v>
      </c>
      <c r="B382" t="s">
        <v>376</v>
      </c>
      <c r="D382" t="s">
        <v>1129</v>
      </c>
      <c r="E382" t="s">
        <v>77</v>
      </c>
      <c r="K382" t="s">
        <v>1746</v>
      </c>
      <c r="L382" t="s">
        <v>820</v>
      </c>
      <c r="M382" t="s">
        <v>1747</v>
      </c>
      <c r="N382" s="11">
        <v>118970530</v>
      </c>
      <c r="O382" s="2">
        <v>44144</v>
      </c>
      <c r="P382" t="s">
        <v>90</v>
      </c>
      <c r="Q382" s="2">
        <v>37918</v>
      </c>
      <c r="R382" s="3">
        <f>(Tabla1[[#This Row],[FECHA_TRASPLANTE]]-Tabla1[[#This Row],[FECHA_NAC]])/365.25</f>
        <v>17.045859000684462</v>
      </c>
      <c r="T382"/>
      <c r="W382" t="s">
        <v>82</v>
      </c>
      <c r="AM382" t="s">
        <v>106</v>
      </c>
      <c r="AO382"/>
      <c r="AV382" s="2"/>
      <c r="AZ382"/>
      <c r="BT382" s="2">
        <f>Tabla1[[#This Row],[FECHA_TRASPLANTE]]</f>
        <v>44144</v>
      </c>
      <c r="BU382">
        <f>IF(Tabla1[[#This Row],[FALLECIDO SI/NO]]="NO",0,1)</f>
        <v>0</v>
      </c>
      <c r="BV382" s="3">
        <f ca="1">IF(Tabla1[[#This Row],[FALLECIDO_COD]]=0,TODAY()-Tabla1[[#This Row],[FECHA_TRASPLANTE]],Tabla1[[#This Row],[FECHA DE DEFUNCIÓN]]-Tabla1[[#This Row],[FECHA_TRASPLANTE]])</f>
        <v>1731</v>
      </c>
      <c r="BW382" s="3">
        <f ca="1">IF(Tabla1[[#This Row],[FALLECIDO_COD]]=0,TODAY()-Tabla1[[#This Row],[FECHA_TRASPLANTE]],Tabla1[[#This Row],[FECHA DE DEFUNCIÓN]]-Tabla1[[#This Row],[FECHA_TRASPLANTE]])/30.4375</f>
        <v>56.870636550308006</v>
      </c>
      <c r="BX382" s="3">
        <f ca="1">IF(Tabla1[[#This Row],[FALLECIDO_COD]]=0,TODAY()-Tabla1[[#This Row],[FECHA_TRASPLANTE]],Tabla1[[#This Row],[FECHA DE DEFUNCIÓN]]-Tabla1[[#This Row],[FECHA_TRASPLANTE]])/365.25</f>
        <v>4.7392197125256672</v>
      </c>
      <c r="BY382"/>
      <c r="BZ382"/>
    </row>
    <row r="383" spans="1:78" hidden="1" x14ac:dyDescent="0.35">
      <c r="A383" t="s">
        <v>1126</v>
      </c>
      <c r="D383" t="s">
        <v>1333</v>
      </c>
      <c r="E383" t="s">
        <v>77</v>
      </c>
      <c r="F383" t="s">
        <v>106</v>
      </c>
      <c r="I383">
        <v>120.85968514715948</v>
      </c>
      <c r="J383" t="s">
        <v>1548</v>
      </c>
      <c r="K383" t="s">
        <v>879</v>
      </c>
      <c r="L383" t="s">
        <v>199</v>
      </c>
      <c r="M383" t="s">
        <v>1535</v>
      </c>
      <c r="N383" s="12">
        <v>116340582</v>
      </c>
      <c r="O383" s="2">
        <v>44144</v>
      </c>
      <c r="P383" t="s">
        <v>1549</v>
      </c>
      <c r="Q383" s="2">
        <v>35123</v>
      </c>
      <c r="R383" s="3">
        <f>(Tabla1[[#This Row],[FECHA_TRASPLANTE]]-Tabla1[[#This Row],[FECHA_NAC]])/365.25</f>
        <v>24.698151950718685</v>
      </c>
      <c r="S383" t="s">
        <v>200</v>
      </c>
      <c r="U383" t="s">
        <v>1748</v>
      </c>
      <c r="V383" t="s">
        <v>1566</v>
      </c>
      <c r="W383" t="s">
        <v>82</v>
      </c>
      <c r="X383" t="s">
        <v>110</v>
      </c>
      <c r="Y383" t="s">
        <v>110</v>
      </c>
      <c r="Z383" t="s">
        <v>867</v>
      </c>
      <c r="AF383" t="s">
        <v>375</v>
      </c>
      <c r="AG383" t="s">
        <v>375</v>
      </c>
      <c r="AH383" t="s">
        <v>375</v>
      </c>
      <c r="AI383" t="s">
        <v>375</v>
      </c>
      <c r="AJ383" t="s">
        <v>375</v>
      </c>
      <c r="AK383" t="s">
        <v>770</v>
      </c>
      <c r="AM383" t="s">
        <v>86</v>
      </c>
      <c r="AN383" s="2">
        <v>45554</v>
      </c>
      <c r="AO383" s="2" t="s">
        <v>1749</v>
      </c>
      <c r="AP383" t="s">
        <v>106</v>
      </c>
      <c r="AQ383" t="s">
        <v>358</v>
      </c>
      <c r="AR383" s="2" t="s">
        <v>358</v>
      </c>
      <c r="AS383" s="2" t="s">
        <v>772</v>
      </c>
      <c r="AV383" s="2" t="s">
        <v>1750</v>
      </c>
      <c r="AW383" t="s">
        <v>1568</v>
      </c>
      <c r="AX383" t="s">
        <v>1569</v>
      </c>
      <c r="AY383" t="s">
        <v>106</v>
      </c>
      <c r="BA383" t="s">
        <v>1552</v>
      </c>
      <c r="BB383">
        <v>1.4</v>
      </c>
      <c r="BC383">
        <v>72</v>
      </c>
      <c r="BD383" t="s">
        <v>106</v>
      </c>
      <c r="BI383" t="s">
        <v>106</v>
      </c>
      <c r="BL383" t="s">
        <v>106</v>
      </c>
      <c r="BT383" s="2">
        <f>Tabla1[[#This Row],[FECHA_TRASPLANTE]]</f>
        <v>44144</v>
      </c>
      <c r="BU383">
        <f>IF(Tabla1[[#This Row],[FALLECIDO SI/NO]]="NO",0,1)</f>
        <v>1</v>
      </c>
      <c r="BV383" s="3">
        <f ca="1">IF(Tabla1[[#This Row],[FALLECIDO_COD]]=0,TODAY()-Tabla1[[#This Row],[FECHA_TRASPLANTE]],Tabla1[[#This Row],[FECHA DE DEFUNCIÓN]]-Tabla1[[#This Row],[FECHA_TRASPLANTE]])</f>
        <v>1410</v>
      </c>
      <c r="BW383" s="3">
        <f ca="1">IF(Tabla1[[#This Row],[FALLECIDO_COD]]=0,TODAY()-Tabla1[[#This Row],[FECHA_TRASPLANTE]],Tabla1[[#This Row],[FECHA DE DEFUNCIÓN]]-Tabla1[[#This Row],[FECHA_TRASPLANTE]])/30.4375</f>
        <v>46.324435318275157</v>
      </c>
      <c r="BX383" s="3">
        <f ca="1">IF(Tabla1[[#This Row],[FALLECIDO_COD]]=0,TODAY()-Tabla1[[#This Row],[FECHA_TRASPLANTE]],Tabla1[[#This Row],[FECHA DE DEFUNCIÓN]]-Tabla1[[#This Row],[FECHA_TRASPLANTE]])/365.25</f>
        <v>3.8603696098562628</v>
      </c>
      <c r="BY383"/>
      <c r="BZ383"/>
    </row>
    <row r="384" spans="1:78" hidden="1" x14ac:dyDescent="0.35">
      <c r="A384" t="s">
        <v>1126</v>
      </c>
      <c r="D384" t="s">
        <v>1333</v>
      </c>
      <c r="E384" t="s">
        <v>77</v>
      </c>
      <c r="F384" t="s">
        <v>86</v>
      </c>
      <c r="I384">
        <v>120.8870636550308</v>
      </c>
      <c r="J384" t="s">
        <v>1548</v>
      </c>
      <c r="K384" t="s">
        <v>1412</v>
      </c>
      <c r="L384" t="s">
        <v>228</v>
      </c>
      <c r="M384" t="s">
        <v>482</v>
      </c>
      <c r="N384" s="11">
        <v>108510498</v>
      </c>
      <c r="O384" s="2">
        <v>44154</v>
      </c>
      <c r="P384" t="s">
        <v>1549</v>
      </c>
      <c r="Q384" s="2">
        <v>26688</v>
      </c>
      <c r="R384" s="3">
        <f>(Tabla1[[#This Row],[FECHA_TRASPLANTE]]-Tabla1[[#This Row],[FECHA_NAC]])/365.25</f>
        <v>47.819301848049278</v>
      </c>
      <c r="S384" t="s">
        <v>200</v>
      </c>
      <c r="U384" t="s">
        <v>1550</v>
      </c>
      <c r="V384" t="s">
        <v>1551</v>
      </c>
      <c r="W384" t="s">
        <v>82</v>
      </c>
      <c r="X384" t="s">
        <v>91</v>
      </c>
      <c r="Y384" t="s">
        <v>1751</v>
      </c>
      <c r="Z384" t="s">
        <v>423</v>
      </c>
      <c r="AF384" t="s">
        <v>375</v>
      </c>
      <c r="AG384" t="s">
        <v>375</v>
      </c>
      <c r="AH384" t="s">
        <v>375</v>
      </c>
      <c r="AI384" t="s">
        <v>375</v>
      </c>
      <c r="AJ384" t="s">
        <v>770</v>
      </c>
      <c r="AM384" t="s">
        <v>86</v>
      </c>
      <c r="AN384" s="2">
        <v>45115</v>
      </c>
      <c r="AO384" s="2" t="s">
        <v>1752</v>
      </c>
      <c r="AP384" t="s">
        <v>86</v>
      </c>
      <c r="AQ384" t="s">
        <v>358</v>
      </c>
      <c r="AR384" s="2" t="s">
        <v>772</v>
      </c>
      <c r="AS384" s="2" t="s">
        <v>772</v>
      </c>
      <c r="AV384" s="2">
        <v>44166</v>
      </c>
      <c r="AW384" t="s">
        <v>1753</v>
      </c>
      <c r="AX384" t="s">
        <v>1569</v>
      </c>
      <c r="AY384" t="s">
        <v>106</v>
      </c>
      <c r="BA384" t="s">
        <v>1552</v>
      </c>
      <c r="BB384" t="s">
        <v>762</v>
      </c>
      <c r="BD384" t="s">
        <v>106</v>
      </c>
      <c r="BI384" t="s">
        <v>106</v>
      </c>
      <c r="BL384" t="s">
        <v>106</v>
      </c>
      <c r="BT384" s="2">
        <f>Tabla1[[#This Row],[FECHA_TRASPLANTE]]</f>
        <v>44154</v>
      </c>
      <c r="BU384">
        <f>IF(Tabla1[[#This Row],[FALLECIDO SI/NO]]="NO",0,1)</f>
        <v>1</v>
      </c>
      <c r="BV384" s="3">
        <f ca="1">IF(Tabla1[[#This Row],[FALLECIDO_COD]]=0,TODAY()-Tabla1[[#This Row],[FECHA_TRASPLANTE]],Tabla1[[#This Row],[FECHA DE DEFUNCIÓN]]-Tabla1[[#This Row],[FECHA_TRASPLANTE]])</f>
        <v>961</v>
      </c>
      <c r="BW384" s="3">
        <f ca="1">IF(Tabla1[[#This Row],[FALLECIDO_COD]]=0,TODAY()-Tabla1[[#This Row],[FECHA_TRASPLANTE]],Tabla1[[#This Row],[FECHA DE DEFUNCIÓN]]-Tabla1[[#This Row],[FECHA_TRASPLANTE]])/30.4375</f>
        <v>31.572895277207394</v>
      </c>
      <c r="BX384" s="3">
        <f ca="1">IF(Tabla1[[#This Row],[FALLECIDO_COD]]=0,TODAY()-Tabla1[[#This Row],[FECHA_TRASPLANTE]],Tabla1[[#This Row],[FECHA DE DEFUNCIÓN]]-Tabla1[[#This Row],[FECHA_TRASPLANTE]])/365.25</f>
        <v>2.6310746064339492</v>
      </c>
      <c r="BY384"/>
      <c r="BZ384"/>
    </row>
    <row r="385" spans="1:78" hidden="1" x14ac:dyDescent="0.35">
      <c r="A385" t="s">
        <v>1126</v>
      </c>
      <c r="D385" t="s">
        <v>1333</v>
      </c>
      <c r="E385" t="s">
        <v>77</v>
      </c>
      <c r="F385" t="s">
        <v>86</v>
      </c>
      <c r="I385">
        <v>120.89253935660507</v>
      </c>
      <c r="J385" t="s">
        <v>1548</v>
      </c>
      <c r="N385" s="11">
        <v>401790115</v>
      </c>
      <c r="O385" s="2">
        <v>44156</v>
      </c>
      <c r="P385" t="s">
        <v>1549</v>
      </c>
      <c r="Q385" s="2">
        <v>30214</v>
      </c>
      <c r="R385" s="3">
        <f>(Tabla1[[#This Row],[FECHA_TRASPLANTE]]-Tabla1[[#This Row],[FECHA_NAC]])/365.25</f>
        <v>38.171115674195754</v>
      </c>
      <c r="S385" t="s">
        <v>205</v>
      </c>
      <c r="U385" t="s">
        <v>1754</v>
      </c>
      <c r="V385" t="s">
        <v>1551</v>
      </c>
      <c r="W385" t="s">
        <v>82</v>
      </c>
      <c r="X385" t="s">
        <v>110</v>
      </c>
      <c r="Y385" t="s">
        <v>110</v>
      </c>
      <c r="Z385" t="s">
        <v>797</v>
      </c>
      <c r="AF385" t="s">
        <v>375</v>
      </c>
      <c r="AG385" t="s">
        <v>375</v>
      </c>
      <c r="AH385" t="s">
        <v>375</v>
      </c>
      <c r="AI385" t="s">
        <v>375</v>
      </c>
      <c r="AJ385" t="s">
        <v>375</v>
      </c>
      <c r="AM385" t="s">
        <v>106</v>
      </c>
      <c r="AN385" s="2" t="s">
        <v>762</v>
      </c>
      <c r="AO385" s="2" t="s">
        <v>762</v>
      </c>
      <c r="AQ385" t="s">
        <v>358</v>
      </c>
      <c r="AR385" s="2" t="s">
        <v>358</v>
      </c>
      <c r="AS385" s="2" t="s">
        <v>358</v>
      </c>
      <c r="AV385" s="2" t="s">
        <v>762</v>
      </c>
      <c r="AY385" t="s">
        <v>106</v>
      </c>
      <c r="AZ385"/>
      <c r="BA385" t="s">
        <v>1552</v>
      </c>
      <c r="BB385">
        <v>1.23</v>
      </c>
      <c r="BC385">
        <v>77</v>
      </c>
      <c r="BD385" t="s">
        <v>106</v>
      </c>
      <c r="BI385" t="s">
        <v>106</v>
      </c>
      <c r="BL385" t="s">
        <v>106</v>
      </c>
      <c r="BT385" s="2">
        <f>Tabla1[[#This Row],[FECHA_TRASPLANTE]]</f>
        <v>44156</v>
      </c>
      <c r="BU385">
        <f>IF(Tabla1[[#This Row],[FALLECIDO SI/NO]]="NO",0,1)</f>
        <v>0</v>
      </c>
      <c r="BV385" s="3">
        <f ca="1">IF(Tabla1[[#This Row],[FALLECIDO_COD]]=0,TODAY()-Tabla1[[#This Row],[FECHA_TRASPLANTE]],Tabla1[[#This Row],[FECHA DE DEFUNCIÓN]]-Tabla1[[#This Row],[FECHA_TRASPLANTE]])</f>
        <v>1719</v>
      </c>
      <c r="BW385" s="3">
        <f ca="1">IF(Tabla1[[#This Row],[FALLECIDO_COD]]=0,TODAY()-Tabla1[[#This Row],[FECHA_TRASPLANTE]],Tabla1[[#This Row],[FECHA DE DEFUNCIÓN]]-Tabla1[[#This Row],[FECHA_TRASPLANTE]])/30.4375</f>
        <v>56.476386036960989</v>
      </c>
      <c r="BX385" s="3">
        <f ca="1">IF(Tabla1[[#This Row],[FALLECIDO_COD]]=0,TODAY()-Tabla1[[#This Row],[FECHA_TRASPLANTE]],Tabla1[[#This Row],[FECHA DE DEFUNCIÓN]]-Tabla1[[#This Row],[FECHA_TRASPLANTE]])/365.25</f>
        <v>4.7063655030800824</v>
      </c>
      <c r="BY385"/>
      <c r="BZ385"/>
    </row>
    <row r="386" spans="1:78" hidden="1" x14ac:dyDescent="0.35">
      <c r="A386" t="s">
        <v>75</v>
      </c>
      <c r="D386" t="s">
        <v>1129</v>
      </c>
      <c r="E386" t="s">
        <v>77</v>
      </c>
      <c r="K386" t="s">
        <v>1755</v>
      </c>
      <c r="L386" t="s">
        <v>452</v>
      </c>
      <c r="M386" t="s">
        <v>258</v>
      </c>
      <c r="N386" s="11">
        <v>901050856</v>
      </c>
      <c r="O386" s="16">
        <v>44157</v>
      </c>
      <c r="P386" t="s">
        <v>90</v>
      </c>
      <c r="Q386" s="2">
        <v>29280</v>
      </c>
      <c r="R386" s="3">
        <f>(Tabla1[[#This Row],[FECHA_TRASPLANTE]]-Tabla1[[#This Row],[FECHA_NAC]])/365.25</f>
        <v>40.73100616016427</v>
      </c>
      <c r="T386"/>
      <c r="W386" t="s">
        <v>82</v>
      </c>
      <c r="X386" t="s">
        <v>91</v>
      </c>
      <c r="Y386" t="s">
        <v>176</v>
      </c>
      <c r="Z386" t="s">
        <v>454</v>
      </c>
      <c r="AM386" t="s">
        <v>106</v>
      </c>
      <c r="AO386"/>
      <c r="AV386" s="2"/>
      <c r="AZ386"/>
      <c r="BJ386" s="2"/>
      <c r="BT386" s="2">
        <f>Tabla1[[#This Row],[FECHA_TRASPLANTE]]</f>
        <v>44157</v>
      </c>
      <c r="BU386">
        <f>IF(Tabla1[[#This Row],[FALLECIDO SI/NO]]="NO",0,1)</f>
        <v>0</v>
      </c>
      <c r="BV386" s="3">
        <f ca="1">IF(Tabla1[[#This Row],[FALLECIDO_COD]]=0,TODAY()-Tabla1[[#This Row],[FECHA_TRASPLANTE]],Tabla1[[#This Row],[FECHA DE DEFUNCIÓN]]-Tabla1[[#This Row],[FECHA_TRASPLANTE]])</f>
        <v>1718</v>
      </c>
      <c r="BW386" s="3">
        <f ca="1">IF(Tabla1[[#This Row],[FALLECIDO_COD]]=0,TODAY()-Tabla1[[#This Row],[FECHA_TRASPLANTE]],Tabla1[[#This Row],[FECHA DE DEFUNCIÓN]]-Tabla1[[#This Row],[FECHA_TRASPLANTE]])/30.4375</f>
        <v>56.4435318275154</v>
      </c>
      <c r="BX386" s="3">
        <f ca="1">IF(Tabla1[[#This Row],[FALLECIDO_COD]]=0,TODAY()-Tabla1[[#This Row],[FECHA_TRASPLANTE]],Tabla1[[#This Row],[FECHA DE DEFUNCIÓN]]-Tabla1[[#This Row],[FECHA_TRASPLANTE]])/365.25</f>
        <v>4.7036276522929503</v>
      </c>
      <c r="BY386"/>
      <c r="BZ386"/>
    </row>
    <row r="387" spans="1:78" hidden="1" x14ac:dyDescent="0.35">
      <c r="A387" t="s">
        <v>376</v>
      </c>
      <c r="B387" t="s">
        <v>376</v>
      </c>
      <c r="D387" t="s">
        <v>1129</v>
      </c>
      <c r="E387" t="s">
        <v>77</v>
      </c>
      <c r="K387" t="s">
        <v>1756</v>
      </c>
      <c r="L387" t="s">
        <v>1757</v>
      </c>
      <c r="M387" t="s">
        <v>240</v>
      </c>
      <c r="N387" s="11">
        <v>120340778</v>
      </c>
      <c r="O387" s="2">
        <v>44168</v>
      </c>
      <c r="P387" t="s">
        <v>81</v>
      </c>
      <c r="Q387" s="2">
        <v>39708</v>
      </c>
      <c r="R387" s="3">
        <f>(Tabla1[[#This Row],[FECHA_TRASPLANTE]]-Tabla1[[#This Row],[FECHA_NAC]])/365.25</f>
        <v>12.210814510609172</v>
      </c>
      <c r="T387"/>
      <c r="W387" t="s">
        <v>82</v>
      </c>
      <c r="AM387" t="s">
        <v>106</v>
      </c>
      <c r="AO387"/>
      <c r="AV387" s="2"/>
      <c r="AZ387"/>
      <c r="BT387" s="2">
        <f>Tabla1[[#This Row],[FECHA_TRASPLANTE]]</f>
        <v>44168</v>
      </c>
      <c r="BU387">
        <f>IF(Tabla1[[#This Row],[FALLECIDO SI/NO]]="NO",0,1)</f>
        <v>0</v>
      </c>
      <c r="BV387" s="3">
        <f ca="1">IF(Tabla1[[#This Row],[FALLECIDO_COD]]=0,TODAY()-Tabla1[[#This Row],[FECHA_TRASPLANTE]],Tabla1[[#This Row],[FECHA DE DEFUNCIÓN]]-Tabla1[[#This Row],[FECHA_TRASPLANTE]])</f>
        <v>1707</v>
      </c>
      <c r="BW387" s="3">
        <f ca="1">IF(Tabla1[[#This Row],[FALLECIDO_COD]]=0,TODAY()-Tabla1[[#This Row],[FECHA_TRASPLANTE]],Tabla1[[#This Row],[FECHA DE DEFUNCIÓN]]-Tabla1[[#This Row],[FECHA_TRASPLANTE]])/30.4375</f>
        <v>56.082135523613964</v>
      </c>
      <c r="BX387" s="3">
        <f ca="1">IF(Tabla1[[#This Row],[FALLECIDO_COD]]=0,TODAY()-Tabla1[[#This Row],[FECHA_TRASPLANTE]],Tabla1[[#This Row],[FECHA DE DEFUNCIÓN]]-Tabla1[[#This Row],[FECHA_TRASPLANTE]])/365.25</f>
        <v>4.6735112936344967</v>
      </c>
      <c r="BY387"/>
      <c r="BZ387"/>
    </row>
    <row r="388" spans="1:78" hidden="1" x14ac:dyDescent="0.35">
      <c r="A388" t="s">
        <v>1126</v>
      </c>
      <c r="D388" t="s">
        <v>1333</v>
      </c>
      <c r="E388" t="s">
        <v>77</v>
      </c>
      <c r="F388" t="s">
        <v>106</v>
      </c>
      <c r="I388">
        <v>120.92539356605064</v>
      </c>
      <c r="J388" t="s">
        <v>1548</v>
      </c>
      <c r="N388" s="11">
        <v>304500780</v>
      </c>
      <c r="O388" s="2">
        <v>44168</v>
      </c>
      <c r="P388" t="s">
        <v>1549</v>
      </c>
      <c r="Q388" s="2">
        <v>33229</v>
      </c>
      <c r="R388" s="3">
        <f>(Tabla1[[#This Row],[FECHA_TRASPLANTE]]-Tabla1[[#This Row],[FECHA_NAC]])/365.25</f>
        <v>29.949349760438057</v>
      </c>
      <c r="S388" t="s">
        <v>210</v>
      </c>
      <c r="U388" t="s">
        <v>1754</v>
      </c>
      <c r="V388" t="s">
        <v>1566</v>
      </c>
      <c r="W388" t="s">
        <v>82</v>
      </c>
      <c r="X388" t="s">
        <v>110</v>
      </c>
      <c r="Y388" t="s">
        <v>110</v>
      </c>
      <c r="Z388" t="s">
        <v>182</v>
      </c>
      <c r="AF388" t="s">
        <v>375</v>
      </c>
      <c r="AG388" t="s">
        <v>375</v>
      </c>
      <c r="AH388" t="s">
        <v>375</v>
      </c>
      <c r="AI388" t="s">
        <v>375</v>
      </c>
      <c r="AJ388" t="s">
        <v>375</v>
      </c>
      <c r="AM388" t="s">
        <v>106</v>
      </c>
      <c r="AQ388" t="s">
        <v>358</v>
      </c>
      <c r="AR388" s="2" t="s">
        <v>358</v>
      </c>
      <c r="AS388" s="2" t="s">
        <v>358</v>
      </c>
      <c r="AV388" s="2" t="s">
        <v>762</v>
      </c>
      <c r="AY388" t="s">
        <v>106</v>
      </c>
      <c r="AZ388"/>
      <c r="BA388" t="s">
        <v>1552</v>
      </c>
      <c r="BB388">
        <v>0.94</v>
      </c>
      <c r="BC388">
        <v>111</v>
      </c>
      <c r="BD388" t="s">
        <v>106</v>
      </c>
      <c r="BI388" t="s">
        <v>106</v>
      </c>
      <c r="BL388" t="s">
        <v>106</v>
      </c>
      <c r="BT388" s="2">
        <f>Tabla1[[#This Row],[FECHA_TRASPLANTE]]</f>
        <v>44168</v>
      </c>
      <c r="BU388">
        <f>IF(Tabla1[[#This Row],[FALLECIDO SI/NO]]="NO",0,1)</f>
        <v>0</v>
      </c>
      <c r="BV388" s="3">
        <f ca="1">IF(Tabla1[[#This Row],[FALLECIDO_COD]]=0,TODAY()-Tabla1[[#This Row],[FECHA_TRASPLANTE]],Tabla1[[#This Row],[FECHA DE DEFUNCIÓN]]-Tabla1[[#This Row],[FECHA_TRASPLANTE]])</f>
        <v>1707</v>
      </c>
      <c r="BW388" s="3">
        <f ca="1">IF(Tabla1[[#This Row],[FALLECIDO_COD]]=0,TODAY()-Tabla1[[#This Row],[FECHA_TRASPLANTE]],Tabla1[[#This Row],[FECHA DE DEFUNCIÓN]]-Tabla1[[#This Row],[FECHA_TRASPLANTE]])/30.4375</f>
        <v>56.082135523613964</v>
      </c>
      <c r="BX388" s="3">
        <f ca="1">IF(Tabla1[[#This Row],[FALLECIDO_COD]]=0,TODAY()-Tabla1[[#This Row],[FECHA_TRASPLANTE]],Tabla1[[#This Row],[FECHA DE DEFUNCIÓN]]-Tabla1[[#This Row],[FECHA_TRASPLANTE]])/365.25</f>
        <v>4.6735112936344967</v>
      </c>
      <c r="BY388"/>
      <c r="BZ388"/>
    </row>
    <row r="389" spans="1:78" hidden="1" x14ac:dyDescent="0.35">
      <c r="A389" t="s">
        <v>1126</v>
      </c>
      <c r="D389" t="s">
        <v>1333</v>
      </c>
      <c r="E389" t="s">
        <v>77</v>
      </c>
      <c r="F389" t="s">
        <v>86</v>
      </c>
      <c r="I389">
        <v>120.95824777549623</v>
      </c>
      <c r="J389" t="s">
        <v>1548</v>
      </c>
      <c r="K389" t="s">
        <v>1758</v>
      </c>
      <c r="L389" t="s">
        <v>1759</v>
      </c>
      <c r="M389" t="s">
        <v>403</v>
      </c>
      <c r="N389" s="11">
        <v>303330662</v>
      </c>
      <c r="O389" s="2">
        <v>44180</v>
      </c>
      <c r="P389" t="s">
        <v>1669</v>
      </c>
      <c r="Q389" s="2">
        <v>27390</v>
      </c>
      <c r="R389" s="3">
        <f>(Tabla1[[#This Row],[FECHA_TRASPLANTE]]-Tabla1[[#This Row],[FECHA_NAC]])/365.25</f>
        <v>45.968514715947983</v>
      </c>
      <c r="S389" t="s">
        <v>210</v>
      </c>
      <c r="U389" t="s">
        <v>1760</v>
      </c>
      <c r="V389" t="s">
        <v>1566</v>
      </c>
      <c r="W389" t="s">
        <v>82</v>
      </c>
      <c r="X389" t="s">
        <v>110</v>
      </c>
      <c r="Y389" t="s">
        <v>134</v>
      </c>
      <c r="Z389" t="s">
        <v>423</v>
      </c>
      <c r="AF389" t="s">
        <v>375</v>
      </c>
      <c r="AG389" t="s">
        <v>375</v>
      </c>
      <c r="AH389" t="s">
        <v>1676</v>
      </c>
      <c r="AI389" t="s">
        <v>1676</v>
      </c>
      <c r="AJ389" t="s">
        <v>770</v>
      </c>
      <c r="AM389" t="s">
        <v>86</v>
      </c>
      <c r="AN389" s="2">
        <v>44232</v>
      </c>
      <c r="AO389" s="2" t="s">
        <v>1761</v>
      </c>
      <c r="AP389" t="s">
        <v>86</v>
      </c>
      <c r="AQ389" t="s">
        <v>358</v>
      </c>
      <c r="AR389" s="2"/>
      <c r="AS389" s="2"/>
      <c r="AV389" s="2" t="s">
        <v>762</v>
      </c>
      <c r="AY389" t="s">
        <v>106</v>
      </c>
      <c r="BA389" t="s">
        <v>1552</v>
      </c>
      <c r="BB389" t="s">
        <v>762</v>
      </c>
      <c r="BC389" t="s">
        <v>762</v>
      </c>
      <c r="BD389" t="s">
        <v>106</v>
      </c>
      <c r="BI389" t="s">
        <v>106</v>
      </c>
      <c r="BL389" t="s">
        <v>106</v>
      </c>
      <c r="BT389" s="2">
        <f>Tabla1[[#This Row],[FECHA_TRASPLANTE]]</f>
        <v>44180</v>
      </c>
      <c r="BU389">
        <f>IF(Tabla1[[#This Row],[FALLECIDO SI/NO]]="NO",0,1)</f>
        <v>1</v>
      </c>
      <c r="BV389" s="3">
        <f ca="1">IF(Tabla1[[#This Row],[FALLECIDO_COD]]=0,TODAY()-Tabla1[[#This Row],[FECHA_TRASPLANTE]],Tabla1[[#This Row],[FECHA DE DEFUNCIÓN]]-Tabla1[[#This Row],[FECHA_TRASPLANTE]])</f>
        <v>52</v>
      </c>
      <c r="BW389" s="3">
        <f ca="1">IF(Tabla1[[#This Row],[FALLECIDO_COD]]=0,TODAY()-Tabla1[[#This Row],[FECHA_TRASPLANTE]],Tabla1[[#This Row],[FECHA DE DEFUNCIÓN]]-Tabla1[[#This Row],[FECHA_TRASPLANTE]])/30.4375</f>
        <v>1.7084188911704312</v>
      </c>
      <c r="BX389" s="3">
        <f ca="1">IF(Tabla1[[#This Row],[FALLECIDO_COD]]=0,TODAY()-Tabla1[[#This Row],[FECHA_TRASPLANTE]],Tabla1[[#This Row],[FECHA DE DEFUNCIÓN]]-Tabla1[[#This Row],[FECHA_TRASPLANTE]])/365.25</f>
        <v>0.14236824093086928</v>
      </c>
      <c r="BY389"/>
      <c r="BZ389"/>
    </row>
    <row r="390" spans="1:78" hidden="1" x14ac:dyDescent="0.35">
      <c r="A390" t="s">
        <v>75</v>
      </c>
      <c r="D390" t="s">
        <v>1129</v>
      </c>
      <c r="E390" t="s">
        <v>77</v>
      </c>
      <c r="K390" t="s">
        <v>1762</v>
      </c>
      <c r="L390" t="s">
        <v>1763</v>
      </c>
      <c r="M390" t="s">
        <v>208</v>
      </c>
      <c r="N390" s="11">
        <v>15858893</v>
      </c>
      <c r="O390" s="16">
        <v>44184</v>
      </c>
      <c r="P390" t="s">
        <v>81</v>
      </c>
      <c r="Q390" s="2">
        <v>21446</v>
      </c>
      <c r="R390" s="3">
        <f>(Tabla1[[#This Row],[FECHA_TRASPLANTE]]-Tabla1[[#This Row],[FECHA_NAC]])/365.25</f>
        <v>62.253251197809718</v>
      </c>
      <c r="T390"/>
      <c r="W390" t="s">
        <v>146</v>
      </c>
      <c r="X390" t="s">
        <v>120</v>
      </c>
      <c r="Y390" t="s">
        <v>84</v>
      </c>
      <c r="Z390" t="s">
        <v>120</v>
      </c>
      <c r="AM390" t="s">
        <v>106</v>
      </c>
      <c r="AO390"/>
      <c r="AV390" s="2"/>
      <c r="AZ390"/>
      <c r="BJ390" s="2"/>
      <c r="BT390" s="2">
        <f>Tabla1[[#This Row],[FECHA_TRASPLANTE]]</f>
        <v>44184</v>
      </c>
      <c r="BU390">
        <f>IF(Tabla1[[#This Row],[FALLECIDO SI/NO]]="NO",0,1)</f>
        <v>0</v>
      </c>
      <c r="BV390" s="3">
        <f ca="1">IF(Tabla1[[#This Row],[FALLECIDO_COD]]=0,TODAY()-Tabla1[[#This Row],[FECHA_TRASPLANTE]],Tabla1[[#This Row],[FECHA DE DEFUNCIÓN]]-Tabla1[[#This Row],[FECHA_TRASPLANTE]])</f>
        <v>1691</v>
      </c>
      <c r="BW390" s="3">
        <f ca="1">IF(Tabla1[[#This Row],[FALLECIDO_COD]]=0,TODAY()-Tabla1[[#This Row],[FECHA_TRASPLANTE]],Tabla1[[#This Row],[FECHA DE DEFUNCIÓN]]-Tabla1[[#This Row],[FECHA_TRASPLANTE]])/30.4375</f>
        <v>55.5564681724846</v>
      </c>
      <c r="BX390" s="3">
        <f ca="1">IF(Tabla1[[#This Row],[FALLECIDO_COD]]=0,TODAY()-Tabla1[[#This Row],[FECHA_TRASPLANTE]],Tabla1[[#This Row],[FECHA DE DEFUNCIÓN]]-Tabla1[[#This Row],[FECHA_TRASPLANTE]])/365.25</f>
        <v>4.6297056810403836</v>
      </c>
      <c r="BY390"/>
      <c r="BZ390"/>
    </row>
    <row r="391" spans="1:78" hidden="1" x14ac:dyDescent="0.35">
      <c r="A391" t="s">
        <v>376</v>
      </c>
      <c r="B391" t="s">
        <v>376</v>
      </c>
      <c r="D391" t="s">
        <v>1129</v>
      </c>
      <c r="E391" t="s">
        <v>77</v>
      </c>
      <c r="K391" t="s">
        <v>1764</v>
      </c>
      <c r="L391" t="s">
        <v>188</v>
      </c>
      <c r="M391" t="s">
        <v>1765</v>
      </c>
      <c r="N391" s="11">
        <v>504780036</v>
      </c>
      <c r="O391" s="2">
        <v>44184</v>
      </c>
      <c r="P391" t="s">
        <v>90</v>
      </c>
      <c r="Q391" s="2">
        <v>39653</v>
      </c>
      <c r="R391" s="3">
        <f>(Tabla1[[#This Row],[FECHA_TRASPLANTE]]-Tabla1[[#This Row],[FECHA_NAC]])/365.25</f>
        <v>12.405201916495551</v>
      </c>
      <c r="T391"/>
      <c r="W391" t="s">
        <v>82</v>
      </c>
      <c r="AM391" t="s">
        <v>106</v>
      </c>
      <c r="AO391"/>
      <c r="AV391" s="2"/>
      <c r="AZ391"/>
      <c r="BT391" s="2">
        <f>Tabla1[[#This Row],[FECHA_TRASPLANTE]]</f>
        <v>44184</v>
      </c>
      <c r="BU391">
        <f>IF(Tabla1[[#This Row],[FALLECIDO SI/NO]]="NO",0,1)</f>
        <v>0</v>
      </c>
      <c r="BV391" s="3">
        <f ca="1">IF(Tabla1[[#This Row],[FALLECIDO_COD]]=0,TODAY()-Tabla1[[#This Row],[FECHA_TRASPLANTE]],Tabla1[[#This Row],[FECHA DE DEFUNCIÓN]]-Tabla1[[#This Row],[FECHA_TRASPLANTE]])</f>
        <v>1691</v>
      </c>
      <c r="BW391" s="3">
        <f ca="1">IF(Tabla1[[#This Row],[FALLECIDO_COD]]=0,TODAY()-Tabla1[[#This Row],[FECHA_TRASPLANTE]],Tabla1[[#This Row],[FECHA DE DEFUNCIÓN]]-Tabla1[[#This Row],[FECHA_TRASPLANTE]])/30.4375</f>
        <v>55.5564681724846</v>
      </c>
      <c r="BX391" s="3">
        <f ca="1">IF(Tabla1[[#This Row],[FALLECIDO_COD]]=0,TODAY()-Tabla1[[#This Row],[FECHA_TRASPLANTE]],Tabla1[[#This Row],[FECHA DE DEFUNCIÓN]]-Tabla1[[#This Row],[FECHA_TRASPLANTE]])/365.25</f>
        <v>4.6297056810403836</v>
      </c>
      <c r="BY391"/>
      <c r="BZ391"/>
    </row>
    <row r="392" spans="1:78" hidden="1" x14ac:dyDescent="0.35">
      <c r="A392" t="s">
        <v>75</v>
      </c>
      <c r="D392" t="s">
        <v>1129</v>
      </c>
      <c r="E392" t="s">
        <v>77</v>
      </c>
      <c r="K392" t="s">
        <v>1766</v>
      </c>
      <c r="L392" t="s">
        <v>921</v>
      </c>
      <c r="M392" t="s">
        <v>99</v>
      </c>
      <c r="N392" s="11">
        <v>112520836</v>
      </c>
      <c r="O392" s="16">
        <v>44208</v>
      </c>
      <c r="P392" t="s">
        <v>81</v>
      </c>
      <c r="Q392" s="2">
        <v>31296</v>
      </c>
      <c r="R392" s="3">
        <f>(Tabla1[[#This Row],[FECHA_TRASPLANTE]]-Tabla1[[#This Row],[FECHA_NAC]])/365.25</f>
        <v>35.351129363449694</v>
      </c>
      <c r="T392"/>
      <c r="W392" t="s">
        <v>82</v>
      </c>
      <c r="X392" t="s">
        <v>115</v>
      </c>
      <c r="Y392" t="s">
        <v>459</v>
      </c>
      <c r="Z392" t="s">
        <v>459</v>
      </c>
      <c r="AM392" t="s">
        <v>106</v>
      </c>
      <c r="AO392"/>
      <c r="AV392" s="2"/>
      <c r="AZ392"/>
      <c r="BJ392" s="2"/>
      <c r="BT392" s="2">
        <f>Tabla1[[#This Row],[FECHA_TRASPLANTE]]</f>
        <v>44208</v>
      </c>
      <c r="BU392">
        <f>IF(Tabla1[[#This Row],[FALLECIDO SI/NO]]="NO",0,1)</f>
        <v>0</v>
      </c>
      <c r="BV392" s="3">
        <f ca="1">IF(Tabla1[[#This Row],[FALLECIDO_COD]]=0,TODAY()-Tabla1[[#This Row],[FECHA_TRASPLANTE]],Tabla1[[#This Row],[FECHA DE DEFUNCIÓN]]-Tabla1[[#This Row],[FECHA_TRASPLANTE]])</f>
        <v>1667</v>
      </c>
      <c r="BW392" s="3">
        <f ca="1">IF(Tabla1[[#This Row],[FALLECIDO_COD]]=0,TODAY()-Tabla1[[#This Row],[FECHA_TRASPLANTE]],Tabla1[[#This Row],[FECHA DE DEFUNCIÓN]]-Tabla1[[#This Row],[FECHA_TRASPLANTE]])/30.4375</f>
        <v>54.767967145790557</v>
      </c>
      <c r="BX392" s="3">
        <f ca="1">IF(Tabla1[[#This Row],[FALLECIDO_COD]]=0,TODAY()-Tabla1[[#This Row],[FECHA_TRASPLANTE]],Tabla1[[#This Row],[FECHA DE DEFUNCIÓN]]-Tabla1[[#This Row],[FECHA_TRASPLANTE]])/365.25</f>
        <v>4.5639972621492131</v>
      </c>
      <c r="BY392"/>
      <c r="BZ392"/>
    </row>
    <row r="393" spans="1:78" hidden="1" x14ac:dyDescent="0.35">
      <c r="A393" t="s">
        <v>75</v>
      </c>
      <c r="D393" t="s">
        <v>1129</v>
      </c>
      <c r="E393" t="s">
        <v>77</v>
      </c>
      <c r="K393" t="s">
        <v>1767</v>
      </c>
      <c r="L393" t="s">
        <v>1744</v>
      </c>
      <c r="M393" t="s">
        <v>108</v>
      </c>
      <c r="N393" s="11">
        <v>28677924</v>
      </c>
      <c r="O393" s="16">
        <v>44303</v>
      </c>
      <c r="P393" t="s">
        <v>90</v>
      </c>
      <c r="Q393" s="2">
        <v>31663</v>
      </c>
      <c r="R393" s="3">
        <f>(Tabla1[[#This Row],[FECHA_TRASPLANTE]]-Tabla1[[#This Row],[FECHA_NAC]])/365.25</f>
        <v>34.606433949349757</v>
      </c>
      <c r="T393"/>
      <c r="W393" t="s">
        <v>146</v>
      </c>
      <c r="AM393" t="s">
        <v>106</v>
      </c>
      <c r="AO393"/>
      <c r="AV393" s="2"/>
      <c r="AZ393"/>
      <c r="BJ393" s="2"/>
      <c r="BT393" s="2">
        <f>Tabla1[[#This Row],[FECHA_TRASPLANTE]]</f>
        <v>44303</v>
      </c>
      <c r="BU393">
        <f>IF(Tabla1[[#This Row],[FALLECIDO SI/NO]]="NO",0,1)</f>
        <v>0</v>
      </c>
      <c r="BV393" s="3">
        <f ca="1">IF(Tabla1[[#This Row],[FALLECIDO_COD]]=0,TODAY()-Tabla1[[#This Row],[FECHA_TRASPLANTE]],Tabla1[[#This Row],[FECHA DE DEFUNCIÓN]]-Tabla1[[#This Row],[FECHA_TRASPLANTE]])</f>
        <v>1572</v>
      </c>
      <c r="BW393" s="3">
        <f ca="1">IF(Tabla1[[#This Row],[FALLECIDO_COD]]=0,TODAY()-Tabla1[[#This Row],[FECHA_TRASPLANTE]],Tabla1[[#This Row],[FECHA DE DEFUNCIÓN]]-Tabla1[[#This Row],[FECHA_TRASPLANTE]])/30.4375</f>
        <v>51.646817248459961</v>
      </c>
      <c r="BX393" s="3">
        <f ca="1">IF(Tabla1[[#This Row],[FALLECIDO_COD]]=0,TODAY()-Tabla1[[#This Row],[FECHA_TRASPLANTE]],Tabla1[[#This Row],[FECHA DE DEFUNCIÓN]]-Tabla1[[#This Row],[FECHA_TRASPLANTE]])/365.25</f>
        <v>4.3039014373716631</v>
      </c>
      <c r="BY393"/>
      <c r="BZ393"/>
    </row>
    <row r="394" spans="1:78" hidden="1" x14ac:dyDescent="0.35">
      <c r="A394" t="s">
        <v>75</v>
      </c>
      <c r="D394" t="s">
        <v>1129</v>
      </c>
      <c r="E394" t="s">
        <v>77</v>
      </c>
      <c r="K394" t="s">
        <v>1768</v>
      </c>
      <c r="L394" t="s">
        <v>1006</v>
      </c>
      <c r="M394" t="s">
        <v>132</v>
      </c>
      <c r="N394" s="11">
        <v>900820783</v>
      </c>
      <c r="O394" s="16">
        <v>44303</v>
      </c>
      <c r="P394" t="s">
        <v>81</v>
      </c>
      <c r="Q394" s="2">
        <v>24891</v>
      </c>
      <c r="R394" s="3">
        <f>(Tabla1[[#This Row],[FECHA_TRASPLANTE]]-Tabla1[[#This Row],[FECHA_NAC]])/365.25</f>
        <v>53.147159479808352</v>
      </c>
      <c r="T394"/>
      <c r="W394" t="s">
        <v>82</v>
      </c>
      <c r="X394" t="s">
        <v>91</v>
      </c>
      <c r="Y394" t="s">
        <v>116</v>
      </c>
      <c r="Z394" t="s">
        <v>616</v>
      </c>
      <c r="AM394" t="s">
        <v>106</v>
      </c>
      <c r="AO394"/>
      <c r="AV394" s="2"/>
      <c r="AZ394"/>
      <c r="BJ394" s="2"/>
      <c r="BT394" s="2">
        <f>Tabla1[[#This Row],[FECHA_TRASPLANTE]]</f>
        <v>44303</v>
      </c>
      <c r="BU394">
        <f>IF(Tabla1[[#This Row],[FALLECIDO SI/NO]]="NO",0,1)</f>
        <v>0</v>
      </c>
      <c r="BV394" s="3">
        <f ca="1">IF(Tabla1[[#This Row],[FALLECIDO_COD]]=0,TODAY()-Tabla1[[#This Row],[FECHA_TRASPLANTE]],Tabla1[[#This Row],[FECHA DE DEFUNCIÓN]]-Tabla1[[#This Row],[FECHA_TRASPLANTE]])</f>
        <v>1572</v>
      </c>
      <c r="BW394" s="3">
        <f ca="1">IF(Tabla1[[#This Row],[FALLECIDO_COD]]=0,TODAY()-Tabla1[[#This Row],[FECHA_TRASPLANTE]],Tabla1[[#This Row],[FECHA DE DEFUNCIÓN]]-Tabla1[[#This Row],[FECHA_TRASPLANTE]])/30.4375</f>
        <v>51.646817248459961</v>
      </c>
      <c r="BX394" s="3">
        <f ca="1">IF(Tabla1[[#This Row],[FALLECIDO_COD]]=0,TODAY()-Tabla1[[#This Row],[FECHA_TRASPLANTE]],Tabla1[[#This Row],[FECHA DE DEFUNCIÓN]]-Tabla1[[#This Row],[FECHA_TRASPLANTE]])/365.25</f>
        <v>4.3039014373716631</v>
      </c>
      <c r="BY394"/>
      <c r="BZ394"/>
    </row>
    <row r="395" spans="1:78" hidden="1" x14ac:dyDescent="0.35">
      <c r="A395" t="s">
        <v>1126</v>
      </c>
      <c r="D395" t="s">
        <v>1333</v>
      </c>
      <c r="E395" t="s">
        <v>77</v>
      </c>
      <c r="F395" t="s">
        <v>86</v>
      </c>
      <c r="I395">
        <v>121.30595482546201</v>
      </c>
      <c r="J395" t="s">
        <v>1548</v>
      </c>
      <c r="N395" s="11">
        <v>303000105</v>
      </c>
      <c r="O395" s="2">
        <v>44307</v>
      </c>
      <c r="P395" t="s">
        <v>1549</v>
      </c>
      <c r="Q395" s="2">
        <v>24658</v>
      </c>
      <c r="R395" s="3">
        <f>(Tabla1[[#This Row],[FECHA_TRASPLANTE]]-Tabla1[[#This Row],[FECHA_NAC]])/365.25</f>
        <v>53.796030116358658</v>
      </c>
      <c r="S395" t="s">
        <v>210</v>
      </c>
      <c r="U395" t="s">
        <v>1760</v>
      </c>
      <c r="V395" t="s">
        <v>1551</v>
      </c>
      <c r="W395" t="s">
        <v>82</v>
      </c>
      <c r="X395" t="s">
        <v>110</v>
      </c>
      <c r="Y395" t="s">
        <v>110</v>
      </c>
      <c r="Z395" t="s">
        <v>797</v>
      </c>
      <c r="AF395" t="s">
        <v>375</v>
      </c>
      <c r="AG395" t="s">
        <v>375</v>
      </c>
      <c r="AH395" t="s">
        <v>375</v>
      </c>
      <c r="AI395" t="s">
        <v>375</v>
      </c>
      <c r="AJ395" t="s">
        <v>375</v>
      </c>
      <c r="AM395" t="s">
        <v>106</v>
      </c>
      <c r="AN395" s="2" t="s">
        <v>762</v>
      </c>
      <c r="AQ395" t="s">
        <v>358</v>
      </c>
      <c r="AR395" s="2" t="s">
        <v>358</v>
      </c>
      <c r="AS395" s="2" t="s">
        <v>358</v>
      </c>
      <c r="AV395" s="2" t="s">
        <v>762</v>
      </c>
      <c r="AY395" t="s">
        <v>106</v>
      </c>
      <c r="AZ395"/>
      <c r="BA395" t="s">
        <v>1552</v>
      </c>
      <c r="BB395">
        <v>1.3</v>
      </c>
      <c r="BC395">
        <v>65</v>
      </c>
      <c r="BD395" t="s">
        <v>106</v>
      </c>
      <c r="BI395" t="s">
        <v>106</v>
      </c>
      <c r="BL395" t="s">
        <v>106</v>
      </c>
      <c r="BT395" s="2">
        <f>Tabla1[[#This Row],[FECHA_TRASPLANTE]]</f>
        <v>44307</v>
      </c>
      <c r="BU395">
        <f>IF(Tabla1[[#This Row],[FALLECIDO SI/NO]]="NO",0,1)</f>
        <v>0</v>
      </c>
      <c r="BV395" s="3">
        <f ca="1">IF(Tabla1[[#This Row],[FALLECIDO_COD]]=0,TODAY()-Tabla1[[#This Row],[FECHA_TRASPLANTE]],Tabla1[[#This Row],[FECHA DE DEFUNCIÓN]]-Tabla1[[#This Row],[FECHA_TRASPLANTE]])</f>
        <v>1568</v>
      </c>
      <c r="BW395" s="3">
        <f ca="1">IF(Tabla1[[#This Row],[FALLECIDO_COD]]=0,TODAY()-Tabla1[[#This Row],[FECHA_TRASPLANTE]],Tabla1[[#This Row],[FECHA DE DEFUNCIÓN]]-Tabla1[[#This Row],[FECHA_TRASPLANTE]])/30.4375</f>
        <v>51.515400410677621</v>
      </c>
      <c r="BX395" s="3">
        <f ca="1">IF(Tabla1[[#This Row],[FALLECIDO_COD]]=0,TODAY()-Tabla1[[#This Row],[FECHA_TRASPLANTE]],Tabla1[[#This Row],[FECHA DE DEFUNCIÓN]]-Tabla1[[#This Row],[FECHA_TRASPLANTE]])/365.25</f>
        <v>4.2929500342231348</v>
      </c>
      <c r="BY395"/>
      <c r="BZ395"/>
    </row>
    <row r="396" spans="1:78" hidden="1" x14ac:dyDescent="0.35">
      <c r="A396" t="s">
        <v>377</v>
      </c>
      <c r="D396" t="s">
        <v>1129</v>
      </c>
      <c r="E396" t="s">
        <v>77</v>
      </c>
      <c r="K396" t="s">
        <v>1208</v>
      </c>
      <c r="L396" t="s">
        <v>385</v>
      </c>
      <c r="M396" t="s">
        <v>880</v>
      </c>
      <c r="N396" s="11">
        <v>208140015</v>
      </c>
      <c r="O396" s="2">
        <v>44323</v>
      </c>
      <c r="P396" t="s">
        <v>81</v>
      </c>
      <c r="Q396" s="2">
        <v>36910</v>
      </c>
      <c r="R396" s="3">
        <f>(Tabla1[[#This Row],[FECHA_TRASPLANTE]]-Tabla1[[#This Row],[FECHA_NAC]])/365.25</f>
        <v>20.295687885010267</v>
      </c>
      <c r="T396"/>
      <c r="W396" t="s">
        <v>82</v>
      </c>
      <c r="X396" t="s">
        <v>1769</v>
      </c>
      <c r="AM396" t="s">
        <v>106</v>
      </c>
      <c r="AO396"/>
      <c r="AV396" s="2"/>
      <c r="AZ396"/>
      <c r="BT396" s="2">
        <f>Tabla1[[#This Row],[FECHA_TRASPLANTE]]</f>
        <v>44323</v>
      </c>
      <c r="BU396">
        <f>IF(Tabla1[[#This Row],[FALLECIDO SI/NO]]="NO",0,1)</f>
        <v>0</v>
      </c>
      <c r="BV396" s="3">
        <f ca="1">IF(Tabla1[[#This Row],[FALLECIDO_COD]]=0,TODAY()-Tabla1[[#This Row],[FECHA_TRASPLANTE]],Tabla1[[#This Row],[FECHA DE DEFUNCIÓN]]-Tabla1[[#This Row],[FECHA_TRASPLANTE]])</f>
        <v>1552</v>
      </c>
      <c r="BW396" s="3">
        <f ca="1">IF(Tabla1[[#This Row],[FALLECIDO_COD]]=0,TODAY()-Tabla1[[#This Row],[FECHA_TRASPLANTE]],Tabla1[[#This Row],[FECHA DE DEFUNCIÓN]]-Tabla1[[#This Row],[FECHA_TRASPLANTE]])/30.4375</f>
        <v>50.989733059548257</v>
      </c>
      <c r="BX396" s="3">
        <f ca="1">IF(Tabla1[[#This Row],[FALLECIDO_COD]]=0,TODAY()-Tabla1[[#This Row],[FECHA_TRASPLANTE]],Tabla1[[#This Row],[FECHA DE DEFUNCIÓN]]-Tabla1[[#This Row],[FECHA_TRASPLANTE]])/365.25</f>
        <v>4.2491444216290208</v>
      </c>
      <c r="BY396"/>
      <c r="BZ396"/>
    </row>
    <row r="397" spans="1:78" hidden="1" x14ac:dyDescent="0.35">
      <c r="A397" t="s">
        <v>75</v>
      </c>
      <c r="D397" t="s">
        <v>1129</v>
      </c>
      <c r="E397" t="s">
        <v>77</v>
      </c>
      <c r="K397" t="s">
        <v>1770</v>
      </c>
      <c r="L397" t="s">
        <v>448</v>
      </c>
      <c r="M397" t="s">
        <v>1771</v>
      </c>
      <c r="N397" s="11">
        <v>601410172</v>
      </c>
      <c r="O397" s="16">
        <v>44330</v>
      </c>
      <c r="P397" t="s">
        <v>90</v>
      </c>
      <c r="Q397" s="2">
        <v>21486</v>
      </c>
      <c r="R397" s="3">
        <f>(Tabla1[[#This Row],[FECHA_TRASPLANTE]]-Tabla1[[#This Row],[FECHA_NAC]])/365.25</f>
        <v>62.543463381245722</v>
      </c>
      <c r="T397"/>
      <c r="W397" t="s">
        <v>82</v>
      </c>
      <c r="X397" t="s">
        <v>91</v>
      </c>
      <c r="Y397" t="s">
        <v>116</v>
      </c>
      <c r="Z397" t="s">
        <v>116</v>
      </c>
      <c r="AM397" t="s">
        <v>86</v>
      </c>
      <c r="AN397" s="2">
        <v>44702</v>
      </c>
      <c r="AO397"/>
      <c r="AV397" s="2"/>
      <c r="BJ397" s="2"/>
      <c r="BT397" s="2">
        <f>Tabla1[[#This Row],[FECHA_TRASPLANTE]]</f>
        <v>44330</v>
      </c>
      <c r="BU397">
        <f>IF(Tabla1[[#This Row],[FALLECIDO SI/NO]]="NO",0,1)</f>
        <v>1</v>
      </c>
      <c r="BV397" s="3">
        <f ca="1">IF(Tabla1[[#This Row],[FALLECIDO_COD]]=0,TODAY()-Tabla1[[#This Row],[FECHA_TRASPLANTE]],Tabla1[[#This Row],[FECHA DE DEFUNCIÓN]]-Tabla1[[#This Row],[FECHA_TRASPLANTE]])</f>
        <v>372</v>
      </c>
      <c r="BW397" s="3">
        <f ca="1">IF(Tabla1[[#This Row],[FALLECIDO_COD]]=0,TODAY()-Tabla1[[#This Row],[FECHA_TRASPLANTE]],Tabla1[[#This Row],[FECHA DE DEFUNCIÓN]]-Tabla1[[#This Row],[FECHA_TRASPLANTE]])/30.4375</f>
        <v>12.2217659137577</v>
      </c>
      <c r="BX397" s="3">
        <f ca="1">IF(Tabla1[[#This Row],[FALLECIDO_COD]]=0,TODAY()-Tabla1[[#This Row],[FECHA_TRASPLANTE]],Tabla1[[#This Row],[FECHA DE DEFUNCIÓN]]-Tabla1[[#This Row],[FECHA_TRASPLANTE]])/365.25</f>
        <v>1.0184804928131417</v>
      </c>
      <c r="BY397"/>
      <c r="BZ397"/>
    </row>
    <row r="398" spans="1:78" hidden="1" x14ac:dyDescent="0.35">
      <c r="A398" t="s">
        <v>75</v>
      </c>
      <c r="D398" t="s">
        <v>1129</v>
      </c>
      <c r="E398" t="s">
        <v>77</v>
      </c>
      <c r="K398" t="s">
        <v>1772</v>
      </c>
      <c r="L398" t="s">
        <v>133</v>
      </c>
      <c r="M398" t="s">
        <v>452</v>
      </c>
      <c r="N398" s="11">
        <v>302950945</v>
      </c>
      <c r="O398" s="16">
        <v>44331</v>
      </c>
      <c r="P398" t="s">
        <v>90</v>
      </c>
      <c r="Q398" s="2">
        <v>24877</v>
      </c>
      <c r="R398" s="3">
        <f>(Tabla1[[#This Row],[FECHA_TRASPLANTE]]-Tabla1[[#This Row],[FECHA_NAC]])/365.25</f>
        <v>53.262149212867897</v>
      </c>
      <c r="T398"/>
      <c r="W398" t="s">
        <v>82</v>
      </c>
      <c r="AM398" t="s">
        <v>106</v>
      </c>
      <c r="AO398"/>
      <c r="AV398" s="2"/>
      <c r="AZ398"/>
      <c r="BJ398" s="2"/>
      <c r="BT398" s="2">
        <f>Tabla1[[#This Row],[FECHA_TRASPLANTE]]</f>
        <v>44331</v>
      </c>
      <c r="BU398">
        <f>IF(Tabla1[[#This Row],[FALLECIDO SI/NO]]="NO",0,1)</f>
        <v>0</v>
      </c>
      <c r="BV398" s="3">
        <f ca="1">IF(Tabla1[[#This Row],[FALLECIDO_COD]]=0,TODAY()-Tabla1[[#This Row],[FECHA_TRASPLANTE]],Tabla1[[#This Row],[FECHA DE DEFUNCIÓN]]-Tabla1[[#This Row],[FECHA_TRASPLANTE]])</f>
        <v>1544</v>
      </c>
      <c r="BW398" s="3">
        <f ca="1">IF(Tabla1[[#This Row],[FALLECIDO_COD]]=0,TODAY()-Tabla1[[#This Row],[FECHA_TRASPLANTE]],Tabla1[[#This Row],[FECHA DE DEFUNCIÓN]]-Tabla1[[#This Row],[FECHA_TRASPLANTE]])/30.4375</f>
        <v>50.726899383983572</v>
      </c>
      <c r="BX398" s="3">
        <f ca="1">IF(Tabla1[[#This Row],[FALLECIDO_COD]]=0,TODAY()-Tabla1[[#This Row],[FECHA_TRASPLANTE]],Tabla1[[#This Row],[FECHA DE DEFUNCIÓN]]-Tabla1[[#This Row],[FECHA_TRASPLANTE]])/365.25</f>
        <v>4.2272416153319643</v>
      </c>
      <c r="BY398"/>
      <c r="BZ398"/>
    </row>
    <row r="399" spans="1:78" hidden="1" x14ac:dyDescent="0.35">
      <c r="A399" t="s">
        <v>377</v>
      </c>
      <c r="D399" t="s">
        <v>1129</v>
      </c>
      <c r="E399" t="s">
        <v>375</v>
      </c>
      <c r="J399" t="s">
        <v>1174</v>
      </c>
      <c r="K399" t="s">
        <v>1773</v>
      </c>
      <c r="L399" t="s">
        <v>1449</v>
      </c>
      <c r="M399" t="s">
        <v>440</v>
      </c>
      <c r="N399" s="11">
        <v>17815807</v>
      </c>
      <c r="O399" s="2">
        <v>44384</v>
      </c>
      <c r="P399" t="s">
        <v>81</v>
      </c>
      <c r="Q399" s="2">
        <v>28496</v>
      </c>
      <c r="R399" s="3">
        <f>(Tabla1[[#This Row],[FECHA_TRASPLANTE]]-Tabla1[[#This Row],[FECHA_NAC]])/365.25</f>
        <v>43.498973305954827</v>
      </c>
      <c r="S399" t="s">
        <v>200</v>
      </c>
      <c r="T399"/>
      <c r="W399" t="s">
        <v>146</v>
      </c>
      <c r="X399" t="s">
        <v>83</v>
      </c>
      <c r="Y399" t="s">
        <v>1736</v>
      </c>
      <c r="Z399" t="s">
        <v>1774</v>
      </c>
      <c r="AM399" t="s">
        <v>106</v>
      </c>
      <c r="AO399"/>
      <c r="AV399" s="2"/>
      <c r="AZ399"/>
      <c r="BT399" s="2">
        <f>Tabla1[[#This Row],[FECHA_TRASPLANTE]]</f>
        <v>44384</v>
      </c>
      <c r="BU399">
        <f>IF(Tabla1[[#This Row],[FALLECIDO SI/NO]]="NO",0,1)</f>
        <v>0</v>
      </c>
      <c r="BV399" s="3">
        <f ca="1">IF(Tabla1[[#This Row],[FALLECIDO_COD]]=0,TODAY()-Tabla1[[#This Row],[FECHA_TRASPLANTE]],Tabla1[[#This Row],[FECHA DE DEFUNCIÓN]]-Tabla1[[#This Row],[FECHA_TRASPLANTE]])</f>
        <v>1491</v>
      </c>
      <c r="BW399" s="3">
        <f ca="1">IF(Tabla1[[#This Row],[FALLECIDO_COD]]=0,TODAY()-Tabla1[[#This Row],[FECHA_TRASPLANTE]],Tabla1[[#This Row],[FECHA DE DEFUNCIÓN]]-Tabla1[[#This Row],[FECHA_TRASPLANTE]])/30.4375</f>
        <v>48.985626283367559</v>
      </c>
      <c r="BX399" s="3">
        <f ca="1">IF(Tabla1[[#This Row],[FALLECIDO_COD]]=0,TODAY()-Tabla1[[#This Row],[FECHA_TRASPLANTE]],Tabla1[[#This Row],[FECHA DE DEFUNCIÓN]]-Tabla1[[#This Row],[FECHA_TRASPLANTE]])/365.25</f>
        <v>4.0821355236139629</v>
      </c>
      <c r="BY399"/>
      <c r="BZ399"/>
    </row>
    <row r="400" spans="1:78" hidden="1" x14ac:dyDescent="0.35">
      <c r="A400" t="s">
        <v>377</v>
      </c>
      <c r="D400" t="s">
        <v>1129</v>
      </c>
      <c r="E400" t="s">
        <v>375</v>
      </c>
      <c r="J400" t="s">
        <v>1154</v>
      </c>
      <c r="K400" t="s">
        <v>1775</v>
      </c>
      <c r="L400" t="s">
        <v>390</v>
      </c>
      <c r="M400" t="s">
        <v>453</v>
      </c>
      <c r="N400" s="11">
        <v>204630609</v>
      </c>
      <c r="O400" s="2">
        <v>44398</v>
      </c>
      <c r="P400" t="s">
        <v>90</v>
      </c>
      <c r="Q400" s="2">
        <v>25926</v>
      </c>
      <c r="R400" s="3">
        <f>(Tabla1[[#This Row],[FECHA_TRASPLANTE]]-Tabla1[[#This Row],[FECHA_NAC]])/365.25</f>
        <v>50.573579739904176</v>
      </c>
      <c r="S400" t="s">
        <v>210</v>
      </c>
      <c r="T400"/>
      <c r="W400" t="s">
        <v>82</v>
      </c>
      <c r="X400" t="s">
        <v>115</v>
      </c>
      <c r="Y400" t="s">
        <v>84</v>
      </c>
      <c r="Z400" t="s">
        <v>115</v>
      </c>
      <c r="AM400" t="s">
        <v>106</v>
      </c>
      <c r="AO400"/>
      <c r="AV400" s="2"/>
      <c r="AZ400"/>
      <c r="BT400" s="2">
        <f>Tabla1[[#This Row],[FECHA_TRASPLANTE]]</f>
        <v>44398</v>
      </c>
      <c r="BU400">
        <f>IF(Tabla1[[#This Row],[FALLECIDO SI/NO]]="NO",0,1)</f>
        <v>0</v>
      </c>
      <c r="BV400" s="3">
        <f ca="1">IF(Tabla1[[#This Row],[FALLECIDO_COD]]=0,TODAY()-Tabla1[[#This Row],[FECHA_TRASPLANTE]],Tabla1[[#This Row],[FECHA DE DEFUNCIÓN]]-Tabla1[[#This Row],[FECHA_TRASPLANTE]])</f>
        <v>1477</v>
      </c>
      <c r="BW400" s="3">
        <f ca="1">IF(Tabla1[[#This Row],[FALLECIDO_COD]]=0,TODAY()-Tabla1[[#This Row],[FECHA_TRASPLANTE]],Tabla1[[#This Row],[FECHA DE DEFUNCIÓN]]-Tabla1[[#This Row],[FECHA_TRASPLANTE]])/30.4375</f>
        <v>48.525667351129364</v>
      </c>
      <c r="BX400" s="3">
        <f ca="1">IF(Tabla1[[#This Row],[FALLECIDO_COD]]=0,TODAY()-Tabla1[[#This Row],[FECHA_TRASPLANTE]],Tabla1[[#This Row],[FECHA DE DEFUNCIÓN]]-Tabla1[[#This Row],[FECHA_TRASPLANTE]])/365.25</f>
        <v>4.043805612594114</v>
      </c>
      <c r="BY400"/>
      <c r="BZ400"/>
    </row>
    <row r="401" spans="1:78" hidden="1" x14ac:dyDescent="0.35">
      <c r="A401" t="s">
        <v>75</v>
      </c>
      <c r="D401" t="s">
        <v>1129</v>
      </c>
      <c r="E401" t="s">
        <v>77</v>
      </c>
      <c r="K401" t="s">
        <v>1667</v>
      </c>
      <c r="L401" t="s">
        <v>1668</v>
      </c>
      <c r="M401" t="s">
        <v>150</v>
      </c>
      <c r="N401" s="11">
        <v>104091386</v>
      </c>
      <c r="O401" s="16">
        <v>44400</v>
      </c>
      <c r="P401" t="s">
        <v>81</v>
      </c>
      <c r="Q401" s="2">
        <v>19206</v>
      </c>
      <c r="R401" s="3">
        <f>(Tabla1[[#This Row],[FECHA_TRASPLANTE]]-Tabla1[[#This Row],[FECHA_NAC]])/365.25</f>
        <v>68.977412731006154</v>
      </c>
      <c r="T401"/>
      <c r="W401" t="s">
        <v>82</v>
      </c>
      <c r="X401" t="s">
        <v>91</v>
      </c>
      <c r="Y401" t="s">
        <v>161</v>
      </c>
      <c r="Z401" t="s">
        <v>162</v>
      </c>
      <c r="AM401" t="s">
        <v>106</v>
      </c>
      <c r="AO401"/>
      <c r="AV401" s="2"/>
      <c r="AZ401"/>
      <c r="BJ401" s="2"/>
      <c r="BT401" s="2">
        <f>Tabla1[[#This Row],[FECHA_TRASPLANTE]]</f>
        <v>44400</v>
      </c>
      <c r="BU401">
        <f>IF(Tabla1[[#This Row],[FALLECIDO SI/NO]]="NO",0,1)</f>
        <v>0</v>
      </c>
      <c r="BV401" s="3">
        <f ca="1">IF(Tabla1[[#This Row],[FALLECIDO_COD]]=0,TODAY()-Tabla1[[#This Row],[FECHA_TRASPLANTE]],Tabla1[[#This Row],[FECHA DE DEFUNCIÓN]]-Tabla1[[#This Row],[FECHA_TRASPLANTE]])</f>
        <v>1475</v>
      </c>
      <c r="BW401" s="3">
        <f ca="1">IF(Tabla1[[#This Row],[FALLECIDO_COD]]=0,TODAY()-Tabla1[[#This Row],[FECHA_TRASPLANTE]],Tabla1[[#This Row],[FECHA DE DEFUNCIÓN]]-Tabla1[[#This Row],[FECHA_TRASPLANTE]])/30.4375</f>
        <v>48.459958932238195</v>
      </c>
      <c r="BX401" s="3">
        <f ca="1">IF(Tabla1[[#This Row],[FALLECIDO_COD]]=0,TODAY()-Tabla1[[#This Row],[FECHA_TRASPLANTE]],Tabla1[[#This Row],[FECHA DE DEFUNCIÓN]]-Tabla1[[#This Row],[FECHA_TRASPLANTE]])/365.25</f>
        <v>4.0383299110198498</v>
      </c>
      <c r="BY401"/>
      <c r="BZ401"/>
    </row>
    <row r="402" spans="1:78" hidden="1" x14ac:dyDescent="0.35">
      <c r="A402" t="s">
        <v>75</v>
      </c>
      <c r="D402" t="s">
        <v>1129</v>
      </c>
      <c r="E402" t="s">
        <v>77</v>
      </c>
      <c r="K402" t="s">
        <v>1776</v>
      </c>
      <c r="L402" t="s">
        <v>524</v>
      </c>
      <c r="M402" t="s">
        <v>1439</v>
      </c>
      <c r="N402" s="11">
        <v>109150430</v>
      </c>
      <c r="O402" s="16">
        <v>44400</v>
      </c>
      <c r="P402" t="s">
        <v>90</v>
      </c>
      <c r="Q402" s="2">
        <v>27609</v>
      </c>
      <c r="R402" s="3">
        <f>(Tabla1[[#This Row],[FECHA_TRASPLANTE]]-Tabla1[[#This Row],[FECHA_NAC]])/365.25</f>
        <v>45.97125256673511</v>
      </c>
      <c r="T402"/>
      <c r="W402" t="s">
        <v>82</v>
      </c>
      <c r="X402" t="s">
        <v>110</v>
      </c>
      <c r="Y402" t="s">
        <v>111</v>
      </c>
      <c r="Z402" t="s">
        <v>112</v>
      </c>
      <c r="AM402" t="s">
        <v>106</v>
      </c>
      <c r="AO402"/>
      <c r="AV402" s="2"/>
      <c r="AZ402"/>
      <c r="BJ402" s="2"/>
      <c r="BT402" s="2">
        <f>Tabla1[[#This Row],[FECHA_TRASPLANTE]]</f>
        <v>44400</v>
      </c>
      <c r="BU402">
        <f>IF(Tabla1[[#This Row],[FALLECIDO SI/NO]]="NO",0,1)</f>
        <v>0</v>
      </c>
      <c r="BV402" s="3">
        <f ca="1">IF(Tabla1[[#This Row],[FALLECIDO_COD]]=0,TODAY()-Tabla1[[#This Row],[FECHA_TRASPLANTE]],Tabla1[[#This Row],[FECHA DE DEFUNCIÓN]]-Tabla1[[#This Row],[FECHA_TRASPLANTE]])</f>
        <v>1475</v>
      </c>
      <c r="BW402" s="3">
        <f ca="1">IF(Tabla1[[#This Row],[FALLECIDO_COD]]=0,TODAY()-Tabla1[[#This Row],[FECHA_TRASPLANTE]],Tabla1[[#This Row],[FECHA DE DEFUNCIÓN]]-Tabla1[[#This Row],[FECHA_TRASPLANTE]])/30.4375</f>
        <v>48.459958932238195</v>
      </c>
      <c r="BX402" s="3">
        <f ca="1">IF(Tabla1[[#This Row],[FALLECIDO_COD]]=0,TODAY()-Tabla1[[#This Row],[FECHA_TRASPLANTE]],Tabla1[[#This Row],[FECHA DE DEFUNCIÓN]]-Tabla1[[#This Row],[FECHA_TRASPLANTE]])/365.25</f>
        <v>4.0383299110198498</v>
      </c>
      <c r="BY402"/>
      <c r="BZ402"/>
    </row>
    <row r="403" spans="1:78" hidden="1" x14ac:dyDescent="0.35">
      <c r="A403" t="s">
        <v>377</v>
      </c>
      <c r="D403" t="s">
        <v>1129</v>
      </c>
      <c r="E403" t="s">
        <v>375</v>
      </c>
      <c r="J403" t="s">
        <v>1777</v>
      </c>
      <c r="K403" t="s">
        <v>231</v>
      </c>
      <c r="L403" t="s">
        <v>1143</v>
      </c>
      <c r="M403" t="s">
        <v>642</v>
      </c>
      <c r="N403" s="11">
        <v>118010041</v>
      </c>
      <c r="O403" s="2">
        <v>44409</v>
      </c>
      <c r="P403" t="s">
        <v>81</v>
      </c>
      <c r="Q403" s="2">
        <v>36909</v>
      </c>
      <c r="R403" s="3">
        <f>(Tabla1[[#This Row],[FECHA_TRASPLANTE]]-Tabla1[[#This Row],[FECHA_NAC]])/365.25</f>
        <v>20.533880903490761</v>
      </c>
      <c r="S403" t="s">
        <v>200</v>
      </c>
      <c r="T403"/>
      <c r="W403" t="s">
        <v>82</v>
      </c>
      <c r="X403" t="s">
        <v>1778</v>
      </c>
      <c r="AM403" t="s">
        <v>106</v>
      </c>
      <c r="AO403"/>
      <c r="AV403" s="2"/>
      <c r="AZ403"/>
      <c r="BT403" s="2">
        <f>Tabla1[[#This Row],[FECHA_TRASPLANTE]]</f>
        <v>44409</v>
      </c>
      <c r="BU403">
        <f>IF(Tabla1[[#This Row],[FALLECIDO SI/NO]]="NO",0,1)</f>
        <v>0</v>
      </c>
      <c r="BV403" s="3">
        <f ca="1">IF(Tabla1[[#This Row],[FALLECIDO_COD]]=0,TODAY()-Tabla1[[#This Row],[FECHA_TRASPLANTE]],Tabla1[[#This Row],[FECHA DE DEFUNCIÓN]]-Tabla1[[#This Row],[FECHA_TRASPLANTE]])</f>
        <v>1466</v>
      </c>
      <c r="BW403" s="3">
        <f ca="1">IF(Tabla1[[#This Row],[FALLECIDO_COD]]=0,TODAY()-Tabla1[[#This Row],[FECHA_TRASPLANTE]],Tabla1[[#This Row],[FECHA DE DEFUNCIÓN]]-Tabla1[[#This Row],[FECHA_TRASPLANTE]])/30.4375</f>
        <v>48.164271047227928</v>
      </c>
      <c r="BX403" s="3">
        <f ca="1">IF(Tabla1[[#This Row],[FALLECIDO_COD]]=0,TODAY()-Tabla1[[#This Row],[FECHA_TRASPLANTE]],Tabla1[[#This Row],[FECHA DE DEFUNCIÓN]]-Tabla1[[#This Row],[FECHA_TRASPLANTE]])/365.25</f>
        <v>4.0136892539356603</v>
      </c>
      <c r="BY403"/>
      <c r="BZ403"/>
    </row>
    <row r="404" spans="1:78" hidden="1" x14ac:dyDescent="0.35">
      <c r="A404" t="s">
        <v>377</v>
      </c>
      <c r="D404" t="s">
        <v>1129</v>
      </c>
      <c r="E404" t="s">
        <v>375</v>
      </c>
      <c r="J404" t="s">
        <v>1180</v>
      </c>
      <c r="K404" t="s">
        <v>1779</v>
      </c>
      <c r="L404" t="s">
        <v>1780</v>
      </c>
      <c r="M404" t="s">
        <v>440</v>
      </c>
      <c r="N404" s="11">
        <v>1780103541</v>
      </c>
      <c r="O404" s="2">
        <v>44419</v>
      </c>
      <c r="P404" t="s">
        <v>81</v>
      </c>
      <c r="Q404" s="2">
        <v>28547</v>
      </c>
      <c r="R404" s="3">
        <f>(Tabla1[[#This Row],[FECHA_TRASPLANTE]]-Tabla1[[#This Row],[FECHA_NAC]])/365.25</f>
        <v>43.455167693360714</v>
      </c>
      <c r="S404" t="s">
        <v>200</v>
      </c>
      <c r="T404"/>
      <c r="W404" t="s">
        <v>146</v>
      </c>
      <c r="X404" t="s">
        <v>1781</v>
      </c>
      <c r="AM404" t="s">
        <v>106</v>
      </c>
      <c r="AO404"/>
      <c r="AV404" s="2"/>
      <c r="AZ404"/>
      <c r="BT404" s="2">
        <f>Tabla1[[#This Row],[FECHA_TRASPLANTE]]</f>
        <v>44419</v>
      </c>
      <c r="BU404">
        <f>IF(Tabla1[[#This Row],[FALLECIDO SI/NO]]="NO",0,1)</f>
        <v>0</v>
      </c>
      <c r="BV404" s="3">
        <f ca="1">IF(Tabla1[[#This Row],[FALLECIDO_COD]]=0,TODAY()-Tabla1[[#This Row],[FECHA_TRASPLANTE]],Tabla1[[#This Row],[FECHA DE DEFUNCIÓN]]-Tabla1[[#This Row],[FECHA_TRASPLANTE]])</f>
        <v>1456</v>
      </c>
      <c r="BW404" s="3">
        <f ca="1">IF(Tabla1[[#This Row],[FALLECIDO_COD]]=0,TODAY()-Tabla1[[#This Row],[FECHA_TRASPLANTE]],Tabla1[[#This Row],[FECHA DE DEFUNCIÓN]]-Tabla1[[#This Row],[FECHA_TRASPLANTE]])/30.4375</f>
        <v>47.835728952772072</v>
      </c>
      <c r="BX404" s="3">
        <f ca="1">IF(Tabla1[[#This Row],[FALLECIDO_COD]]=0,TODAY()-Tabla1[[#This Row],[FECHA_TRASPLANTE]],Tabla1[[#This Row],[FECHA DE DEFUNCIÓN]]-Tabla1[[#This Row],[FECHA_TRASPLANTE]])/365.25</f>
        <v>3.9863107460643397</v>
      </c>
      <c r="BY404"/>
      <c r="BZ404"/>
    </row>
    <row r="405" spans="1:78" hidden="1" x14ac:dyDescent="0.35">
      <c r="A405" t="s">
        <v>377</v>
      </c>
      <c r="D405" t="s">
        <v>1129</v>
      </c>
      <c r="E405" t="s">
        <v>375</v>
      </c>
      <c r="J405" t="s">
        <v>1170</v>
      </c>
      <c r="K405" t="s">
        <v>253</v>
      </c>
      <c r="L405" t="s">
        <v>619</v>
      </c>
      <c r="M405" t="s">
        <v>251</v>
      </c>
      <c r="N405" s="11">
        <v>114420462</v>
      </c>
      <c r="O405" s="2">
        <v>44426</v>
      </c>
      <c r="P405" t="s">
        <v>81</v>
      </c>
      <c r="Q405" s="2">
        <v>33158</v>
      </c>
      <c r="R405" s="3">
        <f>(Tabla1[[#This Row],[FECHA_TRASPLANTE]]-Tabla1[[#This Row],[FECHA_NAC]])/365.25</f>
        <v>30.850102669404517</v>
      </c>
      <c r="S405" t="s">
        <v>910</v>
      </c>
      <c r="T405"/>
      <c r="W405" t="s">
        <v>82</v>
      </c>
      <c r="X405" t="s">
        <v>91</v>
      </c>
      <c r="Y405" t="s">
        <v>161</v>
      </c>
      <c r="Z405" t="s">
        <v>244</v>
      </c>
      <c r="AM405" t="s">
        <v>106</v>
      </c>
      <c r="AO405"/>
      <c r="AV405" s="2"/>
      <c r="AZ405"/>
      <c r="BT405" s="2">
        <f>Tabla1[[#This Row],[FECHA_TRASPLANTE]]</f>
        <v>44426</v>
      </c>
      <c r="BU405">
        <f>IF(Tabla1[[#This Row],[FALLECIDO SI/NO]]="NO",0,1)</f>
        <v>0</v>
      </c>
      <c r="BV405" s="3">
        <f ca="1">IF(Tabla1[[#This Row],[FALLECIDO_COD]]=0,TODAY()-Tabla1[[#This Row],[FECHA_TRASPLANTE]],Tabla1[[#This Row],[FECHA DE DEFUNCIÓN]]-Tabla1[[#This Row],[FECHA_TRASPLANTE]])</f>
        <v>1449</v>
      </c>
      <c r="BW405" s="3">
        <f ca="1">IF(Tabla1[[#This Row],[FALLECIDO_COD]]=0,TODAY()-Tabla1[[#This Row],[FECHA_TRASPLANTE]],Tabla1[[#This Row],[FECHA DE DEFUNCIÓN]]-Tabla1[[#This Row],[FECHA_TRASPLANTE]])/30.4375</f>
        <v>47.605749486652975</v>
      </c>
      <c r="BX405" s="3">
        <f ca="1">IF(Tabla1[[#This Row],[FALLECIDO_COD]]=0,TODAY()-Tabla1[[#This Row],[FECHA_TRASPLANTE]],Tabla1[[#This Row],[FECHA DE DEFUNCIÓN]]-Tabla1[[#This Row],[FECHA_TRASPLANTE]])/365.25</f>
        <v>3.9671457905544147</v>
      </c>
      <c r="BY405"/>
      <c r="BZ405"/>
    </row>
    <row r="406" spans="1:78" hidden="1" x14ac:dyDescent="0.35">
      <c r="A406" t="s">
        <v>75</v>
      </c>
      <c r="D406" t="s">
        <v>1129</v>
      </c>
      <c r="E406" t="s">
        <v>77</v>
      </c>
      <c r="K406" t="s">
        <v>1782</v>
      </c>
      <c r="L406" t="s">
        <v>921</v>
      </c>
      <c r="M406" t="s">
        <v>109</v>
      </c>
      <c r="N406" s="11">
        <v>901310590</v>
      </c>
      <c r="O406" s="16">
        <v>44439</v>
      </c>
      <c r="P406" t="s">
        <v>81</v>
      </c>
      <c r="Q406" s="2">
        <v>30525</v>
      </c>
      <c r="R406" s="3">
        <f>(Tabla1[[#This Row],[FECHA_TRASPLANTE]]-Tabla1[[#This Row],[FECHA_NAC]])/365.25</f>
        <v>38.094455852156059</v>
      </c>
      <c r="T406"/>
      <c r="W406" t="s">
        <v>82</v>
      </c>
      <c r="AM406" t="s">
        <v>86</v>
      </c>
      <c r="AN406" s="2">
        <v>44443</v>
      </c>
      <c r="AO406" t="s">
        <v>1677</v>
      </c>
      <c r="AP406" t="s">
        <v>106</v>
      </c>
      <c r="AV406" s="2"/>
      <c r="BJ406" s="2"/>
      <c r="BT406" s="2">
        <f>Tabla1[[#This Row],[FECHA_TRASPLANTE]]</f>
        <v>44439</v>
      </c>
      <c r="BU406">
        <f>IF(Tabla1[[#This Row],[FALLECIDO SI/NO]]="NO",0,1)</f>
        <v>1</v>
      </c>
      <c r="BV406" s="3">
        <f ca="1">IF(Tabla1[[#This Row],[FALLECIDO_COD]]=0,TODAY()-Tabla1[[#This Row],[FECHA_TRASPLANTE]],Tabla1[[#This Row],[FECHA DE DEFUNCIÓN]]-Tabla1[[#This Row],[FECHA_TRASPLANTE]])</f>
        <v>4</v>
      </c>
      <c r="BW406" s="3">
        <f ca="1">IF(Tabla1[[#This Row],[FALLECIDO_COD]]=0,TODAY()-Tabla1[[#This Row],[FECHA_TRASPLANTE]],Tabla1[[#This Row],[FECHA DE DEFUNCIÓN]]-Tabla1[[#This Row],[FECHA_TRASPLANTE]])/30.4375</f>
        <v>0.13141683778234087</v>
      </c>
      <c r="BX406" s="3">
        <f ca="1">IF(Tabla1[[#This Row],[FALLECIDO_COD]]=0,TODAY()-Tabla1[[#This Row],[FECHA_TRASPLANTE]],Tabla1[[#This Row],[FECHA DE DEFUNCIÓN]]-Tabla1[[#This Row],[FECHA_TRASPLANTE]])/365.25</f>
        <v>1.0951403148528405E-2</v>
      </c>
      <c r="BY406"/>
      <c r="BZ406"/>
    </row>
    <row r="407" spans="1:78" hidden="1" x14ac:dyDescent="0.35">
      <c r="A407" t="s">
        <v>377</v>
      </c>
      <c r="D407" t="s">
        <v>1129</v>
      </c>
      <c r="E407" t="s">
        <v>375</v>
      </c>
      <c r="J407" t="s">
        <v>1174</v>
      </c>
      <c r="K407" t="s">
        <v>1783</v>
      </c>
      <c r="L407" t="s">
        <v>203</v>
      </c>
      <c r="M407" t="s">
        <v>448</v>
      </c>
      <c r="N407" s="11">
        <v>401670124</v>
      </c>
      <c r="O407" s="2">
        <v>44454</v>
      </c>
      <c r="P407" t="s">
        <v>81</v>
      </c>
      <c r="Q407" s="2">
        <v>28519</v>
      </c>
      <c r="R407" s="3">
        <f>(Tabla1[[#This Row],[FECHA_TRASPLANTE]]-Tabla1[[#This Row],[FECHA_NAC]])/365.25</f>
        <v>43.627652292950032</v>
      </c>
      <c r="T407"/>
      <c r="W407" t="s">
        <v>82</v>
      </c>
      <c r="X407" t="s">
        <v>261</v>
      </c>
      <c r="Y407" t="s">
        <v>84</v>
      </c>
      <c r="Z407" t="s">
        <v>302</v>
      </c>
      <c r="AM407" t="s">
        <v>106</v>
      </c>
      <c r="AO407"/>
      <c r="AV407" s="2"/>
      <c r="AZ407"/>
      <c r="BT407" s="2">
        <f>Tabla1[[#This Row],[FECHA_TRASPLANTE]]</f>
        <v>44454</v>
      </c>
      <c r="BU407">
        <f>IF(Tabla1[[#This Row],[FALLECIDO SI/NO]]="NO",0,1)</f>
        <v>0</v>
      </c>
      <c r="BV407" s="3">
        <f ca="1">IF(Tabla1[[#This Row],[FALLECIDO_COD]]=0,TODAY()-Tabla1[[#This Row],[FECHA_TRASPLANTE]],Tabla1[[#This Row],[FECHA DE DEFUNCIÓN]]-Tabla1[[#This Row],[FECHA_TRASPLANTE]])</f>
        <v>1421</v>
      </c>
      <c r="BW407" s="3">
        <f ca="1">IF(Tabla1[[#This Row],[FALLECIDO_COD]]=0,TODAY()-Tabla1[[#This Row],[FECHA_TRASPLANTE]],Tabla1[[#This Row],[FECHA DE DEFUNCIÓN]]-Tabla1[[#This Row],[FECHA_TRASPLANTE]])/30.4375</f>
        <v>46.685831622176593</v>
      </c>
      <c r="BX407" s="3">
        <f ca="1">IF(Tabla1[[#This Row],[FALLECIDO_COD]]=0,TODAY()-Tabla1[[#This Row],[FECHA_TRASPLANTE]],Tabla1[[#This Row],[FECHA DE DEFUNCIÓN]]-Tabla1[[#This Row],[FECHA_TRASPLANTE]])/365.25</f>
        <v>3.890485968514716</v>
      </c>
      <c r="BY407"/>
      <c r="BZ407"/>
    </row>
    <row r="408" spans="1:78" hidden="1" x14ac:dyDescent="0.35">
      <c r="A408" t="s">
        <v>377</v>
      </c>
      <c r="D408" t="s">
        <v>1129</v>
      </c>
      <c r="E408" t="s">
        <v>375</v>
      </c>
      <c r="J408" t="s">
        <v>1777</v>
      </c>
      <c r="K408" t="s">
        <v>1784</v>
      </c>
      <c r="L408" t="s">
        <v>145</v>
      </c>
      <c r="M408" t="s">
        <v>189</v>
      </c>
      <c r="N408" s="11">
        <v>2000082265</v>
      </c>
      <c r="O408" s="2">
        <v>44468</v>
      </c>
      <c r="P408" t="s">
        <v>90</v>
      </c>
      <c r="Q408" s="2">
        <v>36532</v>
      </c>
      <c r="R408" s="3">
        <f>(Tabla1[[#This Row],[FECHA_TRASPLANTE]]-Tabla1[[#This Row],[FECHA_NAC]])/365.25</f>
        <v>21.727583846680357</v>
      </c>
      <c r="T408"/>
      <c r="W408" t="s">
        <v>146</v>
      </c>
      <c r="AM408" t="s">
        <v>106</v>
      </c>
      <c r="AO408"/>
      <c r="AV408" s="2"/>
      <c r="AZ408"/>
      <c r="BT408" s="2">
        <f>Tabla1[[#This Row],[FECHA_TRASPLANTE]]</f>
        <v>44468</v>
      </c>
      <c r="BU408">
        <f>IF(Tabla1[[#This Row],[FALLECIDO SI/NO]]="NO",0,1)</f>
        <v>0</v>
      </c>
      <c r="BV408" s="3">
        <f ca="1">IF(Tabla1[[#This Row],[FALLECIDO_COD]]=0,TODAY()-Tabla1[[#This Row],[FECHA_TRASPLANTE]],Tabla1[[#This Row],[FECHA DE DEFUNCIÓN]]-Tabla1[[#This Row],[FECHA_TRASPLANTE]])</f>
        <v>1407</v>
      </c>
      <c r="BW408" s="3">
        <f ca="1">IF(Tabla1[[#This Row],[FALLECIDO_COD]]=0,TODAY()-Tabla1[[#This Row],[FECHA_TRASPLANTE]],Tabla1[[#This Row],[FECHA DE DEFUNCIÓN]]-Tabla1[[#This Row],[FECHA_TRASPLANTE]])/30.4375</f>
        <v>46.225872689938399</v>
      </c>
      <c r="BX408" s="3">
        <f ca="1">IF(Tabla1[[#This Row],[FALLECIDO_COD]]=0,TODAY()-Tabla1[[#This Row],[FECHA_TRASPLANTE]],Tabla1[[#This Row],[FECHA DE DEFUNCIÓN]]-Tabla1[[#This Row],[FECHA_TRASPLANTE]])/365.25</f>
        <v>3.8521560574948666</v>
      </c>
      <c r="BY408"/>
      <c r="BZ408"/>
    </row>
    <row r="409" spans="1:78" hidden="1" x14ac:dyDescent="0.35">
      <c r="A409" t="s">
        <v>377</v>
      </c>
      <c r="D409" t="s">
        <v>1129</v>
      </c>
      <c r="E409" t="s">
        <v>77</v>
      </c>
      <c r="K409" t="s">
        <v>1785</v>
      </c>
      <c r="L409" t="s">
        <v>188</v>
      </c>
      <c r="M409" t="s">
        <v>79</v>
      </c>
      <c r="N409" s="11">
        <v>17615726</v>
      </c>
      <c r="O409" s="2">
        <v>44475</v>
      </c>
      <c r="P409" t="s">
        <v>81</v>
      </c>
      <c r="Q409" s="2">
        <v>27986</v>
      </c>
      <c r="R409" s="3">
        <f>(Tabla1[[#This Row],[FECHA_TRASPLANTE]]-Tabla1[[#This Row],[FECHA_NAC]])/365.25</f>
        <v>45.144421629021217</v>
      </c>
      <c r="T409"/>
      <c r="W409" t="s">
        <v>597</v>
      </c>
      <c r="X409" t="s">
        <v>125</v>
      </c>
      <c r="Y409" t="s">
        <v>667</v>
      </c>
      <c r="Z409" t="s">
        <v>667</v>
      </c>
      <c r="AM409" t="s">
        <v>106</v>
      </c>
      <c r="AO409"/>
      <c r="AV409" s="2"/>
      <c r="AZ409"/>
      <c r="BT409" s="2">
        <f>Tabla1[[#This Row],[FECHA_TRASPLANTE]]</f>
        <v>44475</v>
      </c>
      <c r="BU409">
        <f>IF(Tabla1[[#This Row],[FALLECIDO SI/NO]]="NO",0,1)</f>
        <v>0</v>
      </c>
      <c r="BV409" s="3">
        <f ca="1">IF(Tabla1[[#This Row],[FALLECIDO_COD]]=0,TODAY()-Tabla1[[#This Row],[FECHA_TRASPLANTE]],Tabla1[[#This Row],[FECHA DE DEFUNCIÓN]]-Tabla1[[#This Row],[FECHA_TRASPLANTE]])</f>
        <v>1400</v>
      </c>
      <c r="BW409" s="3">
        <f ca="1">IF(Tabla1[[#This Row],[FALLECIDO_COD]]=0,TODAY()-Tabla1[[#This Row],[FECHA_TRASPLANTE]],Tabla1[[#This Row],[FECHA DE DEFUNCIÓN]]-Tabla1[[#This Row],[FECHA_TRASPLANTE]])/30.4375</f>
        <v>45.995893223819301</v>
      </c>
      <c r="BX409" s="3">
        <f ca="1">IF(Tabla1[[#This Row],[FALLECIDO_COD]]=0,TODAY()-Tabla1[[#This Row],[FECHA_TRASPLANTE]],Tabla1[[#This Row],[FECHA DE DEFUNCIÓN]]-Tabla1[[#This Row],[FECHA_TRASPLANTE]])/365.25</f>
        <v>3.8329911019849416</v>
      </c>
      <c r="BY409"/>
      <c r="BZ409"/>
    </row>
    <row r="410" spans="1:78" hidden="1" x14ac:dyDescent="0.35">
      <c r="A410" t="s">
        <v>377</v>
      </c>
      <c r="D410" t="s">
        <v>1129</v>
      </c>
      <c r="E410" t="s">
        <v>77</v>
      </c>
      <c r="K410" t="s">
        <v>1786</v>
      </c>
      <c r="L410" t="s">
        <v>652</v>
      </c>
      <c r="M410" t="s">
        <v>1787</v>
      </c>
      <c r="N410" s="11">
        <v>204140547</v>
      </c>
      <c r="O410" s="2">
        <v>44475</v>
      </c>
      <c r="P410" t="s">
        <v>81</v>
      </c>
      <c r="Q410" s="2">
        <v>24062</v>
      </c>
      <c r="R410" s="3">
        <f>(Tabla1[[#This Row],[FECHA_TRASPLANTE]]-Tabla1[[#This Row],[FECHA_NAC]])/365.25</f>
        <v>55.887748117727583</v>
      </c>
      <c r="T410"/>
      <c r="W410" t="s">
        <v>82</v>
      </c>
      <c r="X410" t="s">
        <v>115</v>
      </c>
      <c r="Y410" t="s">
        <v>990</v>
      </c>
      <c r="Z410" t="s">
        <v>1788</v>
      </c>
      <c r="AM410" t="s">
        <v>106</v>
      </c>
      <c r="AO410"/>
      <c r="AV410" s="2"/>
      <c r="AZ410"/>
      <c r="BT410" s="2">
        <f>Tabla1[[#This Row],[FECHA_TRASPLANTE]]</f>
        <v>44475</v>
      </c>
      <c r="BU410">
        <f>IF(Tabla1[[#This Row],[FALLECIDO SI/NO]]="NO",0,1)</f>
        <v>0</v>
      </c>
      <c r="BV410" s="3">
        <f ca="1">IF(Tabla1[[#This Row],[FALLECIDO_COD]]=0,TODAY()-Tabla1[[#This Row],[FECHA_TRASPLANTE]],Tabla1[[#This Row],[FECHA DE DEFUNCIÓN]]-Tabla1[[#This Row],[FECHA_TRASPLANTE]])</f>
        <v>1400</v>
      </c>
      <c r="BW410" s="3">
        <f ca="1">IF(Tabla1[[#This Row],[FALLECIDO_COD]]=0,TODAY()-Tabla1[[#This Row],[FECHA_TRASPLANTE]],Tabla1[[#This Row],[FECHA DE DEFUNCIÓN]]-Tabla1[[#This Row],[FECHA_TRASPLANTE]])/30.4375</f>
        <v>45.995893223819301</v>
      </c>
      <c r="BX410" s="3">
        <f ca="1">IF(Tabla1[[#This Row],[FALLECIDO_COD]]=0,TODAY()-Tabla1[[#This Row],[FECHA_TRASPLANTE]],Tabla1[[#This Row],[FECHA DE DEFUNCIÓN]]-Tabla1[[#This Row],[FECHA_TRASPLANTE]])/365.25</f>
        <v>3.8329911019849416</v>
      </c>
      <c r="BY410"/>
      <c r="BZ410"/>
    </row>
    <row r="411" spans="1:78" hidden="1" x14ac:dyDescent="0.35">
      <c r="A411" t="s">
        <v>376</v>
      </c>
      <c r="B411" t="s">
        <v>376</v>
      </c>
      <c r="D411" t="s">
        <v>1129</v>
      </c>
      <c r="E411" t="s">
        <v>77</v>
      </c>
      <c r="K411" t="s">
        <v>1789</v>
      </c>
      <c r="L411" t="s">
        <v>164</v>
      </c>
      <c r="M411" t="s">
        <v>1790</v>
      </c>
      <c r="N411" s="11">
        <v>1070080848</v>
      </c>
      <c r="O411" s="2">
        <v>44475</v>
      </c>
      <c r="P411" t="s">
        <v>81</v>
      </c>
      <c r="Q411" s="2">
        <v>39437</v>
      </c>
      <c r="R411" s="3">
        <f>(Tabla1[[#This Row],[FECHA_TRASPLANTE]]-Tabla1[[#This Row],[FECHA_NAC]])/365.25</f>
        <v>13.793292265571527</v>
      </c>
      <c r="T411"/>
      <c r="W411" t="s">
        <v>146</v>
      </c>
      <c r="AM411" t="s">
        <v>106</v>
      </c>
      <c r="AO411"/>
      <c r="AV411" s="2"/>
      <c r="AZ411"/>
      <c r="BT411" s="2">
        <f>Tabla1[[#This Row],[FECHA_TRASPLANTE]]</f>
        <v>44475</v>
      </c>
      <c r="BU411">
        <f>IF(Tabla1[[#This Row],[FALLECIDO SI/NO]]="NO",0,1)</f>
        <v>0</v>
      </c>
      <c r="BV411" s="3">
        <f ca="1">IF(Tabla1[[#This Row],[FALLECIDO_COD]]=0,TODAY()-Tabla1[[#This Row],[FECHA_TRASPLANTE]],Tabla1[[#This Row],[FECHA DE DEFUNCIÓN]]-Tabla1[[#This Row],[FECHA_TRASPLANTE]])</f>
        <v>1400</v>
      </c>
      <c r="BW411" s="3">
        <f ca="1">IF(Tabla1[[#This Row],[FALLECIDO_COD]]=0,TODAY()-Tabla1[[#This Row],[FECHA_TRASPLANTE]],Tabla1[[#This Row],[FECHA DE DEFUNCIÓN]]-Tabla1[[#This Row],[FECHA_TRASPLANTE]])/30.4375</f>
        <v>45.995893223819301</v>
      </c>
      <c r="BX411" s="3">
        <f ca="1">IF(Tabla1[[#This Row],[FALLECIDO_COD]]=0,TODAY()-Tabla1[[#This Row],[FECHA_TRASPLANTE]],Tabla1[[#This Row],[FECHA DE DEFUNCIÓN]]-Tabla1[[#This Row],[FECHA_TRASPLANTE]])/365.25</f>
        <v>3.8329911019849416</v>
      </c>
      <c r="BY411"/>
      <c r="BZ411"/>
    </row>
    <row r="412" spans="1:78" hidden="1" x14ac:dyDescent="0.35">
      <c r="A412" t="s">
        <v>75</v>
      </c>
      <c r="D412" t="s">
        <v>1129</v>
      </c>
      <c r="E412" t="s">
        <v>375</v>
      </c>
      <c r="K412" t="s">
        <v>1791</v>
      </c>
      <c r="L412" t="s">
        <v>114</v>
      </c>
      <c r="M412" t="s">
        <v>269</v>
      </c>
      <c r="N412" s="11">
        <v>206520147</v>
      </c>
      <c r="O412" s="16">
        <v>44488</v>
      </c>
      <c r="P412" t="s">
        <v>90</v>
      </c>
      <c r="Q412" s="2">
        <v>32432</v>
      </c>
      <c r="R412" s="3">
        <f>(Tabla1[[#This Row],[FECHA_TRASPLANTE]]-Tabla1[[#This Row],[FECHA_NAC]])/365.25</f>
        <v>33.007529089664615</v>
      </c>
      <c r="T412"/>
      <c r="W412" t="s">
        <v>82</v>
      </c>
      <c r="X412" t="s">
        <v>261</v>
      </c>
      <c r="Y412" t="s">
        <v>84</v>
      </c>
      <c r="Z412" t="s">
        <v>302</v>
      </c>
      <c r="AM412" t="s">
        <v>106</v>
      </c>
      <c r="AO412"/>
      <c r="AV412" s="2"/>
      <c r="AZ412"/>
      <c r="BJ412" s="2"/>
      <c r="BT412" s="2">
        <f>Tabla1[[#This Row],[FECHA_TRASPLANTE]]</f>
        <v>44488</v>
      </c>
      <c r="BU412">
        <f>IF(Tabla1[[#This Row],[FALLECIDO SI/NO]]="NO",0,1)</f>
        <v>0</v>
      </c>
      <c r="BV412" s="3">
        <f ca="1">IF(Tabla1[[#This Row],[FALLECIDO_COD]]=0,TODAY()-Tabla1[[#This Row],[FECHA_TRASPLANTE]],Tabla1[[#This Row],[FECHA DE DEFUNCIÓN]]-Tabla1[[#This Row],[FECHA_TRASPLANTE]])</f>
        <v>1387</v>
      </c>
      <c r="BW412" s="3">
        <f ca="1">IF(Tabla1[[#This Row],[FALLECIDO_COD]]=0,TODAY()-Tabla1[[#This Row],[FECHA_TRASPLANTE]],Tabla1[[#This Row],[FECHA DE DEFUNCIÓN]]-Tabla1[[#This Row],[FECHA_TRASPLANTE]])/30.4375</f>
        <v>45.568788501026695</v>
      </c>
      <c r="BX412" s="3">
        <f ca="1">IF(Tabla1[[#This Row],[FALLECIDO_COD]]=0,TODAY()-Tabla1[[#This Row],[FECHA_TRASPLANTE]],Tabla1[[#This Row],[FECHA DE DEFUNCIÓN]]-Tabla1[[#This Row],[FECHA_TRASPLANTE]])/365.25</f>
        <v>3.7973990417522243</v>
      </c>
      <c r="BY412"/>
      <c r="BZ412"/>
    </row>
    <row r="413" spans="1:78" hidden="1" x14ac:dyDescent="0.35">
      <c r="A413" t="s">
        <v>377</v>
      </c>
      <c r="D413" t="s">
        <v>1129</v>
      </c>
      <c r="E413" t="s">
        <v>375</v>
      </c>
      <c r="J413" t="s">
        <v>1792</v>
      </c>
      <c r="K413" t="s">
        <v>1793</v>
      </c>
      <c r="L413" t="s">
        <v>909</v>
      </c>
      <c r="M413" t="s">
        <v>453</v>
      </c>
      <c r="N413" s="11">
        <v>114630845</v>
      </c>
      <c r="O413" s="2">
        <v>44496</v>
      </c>
      <c r="P413" t="s">
        <v>90</v>
      </c>
      <c r="Q413" s="2">
        <v>33386</v>
      </c>
      <c r="R413" s="3">
        <f>(Tabla1[[#This Row],[FECHA_TRASPLANTE]]-Tabla1[[#This Row],[FECHA_NAC]])/365.25</f>
        <v>30.417522245037645</v>
      </c>
      <c r="T413"/>
      <c r="W413" t="s">
        <v>82</v>
      </c>
      <c r="X413" t="s">
        <v>261</v>
      </c>
      <c r="Y413" t="s">
        <v>353</v>
      </c>
      <c r="Z413" t="s">
        <v>616</v>
      </c>
      <c r="AM413" t="s">
        <v>106</v>
      </c>
      <c r="AO413"/>
      <c r="AV413" s="2"/>
      <c r="AZ413"/>
      <c r="BT413" s="2">
        <f>Tabla1[[#This Row],[FECHA_TRASPLANTE]]</f>
        <v>44496</v>
      </c>
      <c r="BU413">
        <f>IF(Tabla1[[#This Row],[FALLECIDO SI/NO]]="NO",0,1)</f>
        <v>0</v>
      </c>
      <c r="BV413" s="3">
        <f ca="1">IF(Tabla1[[#This Row],[FALLECIDO_COD]]=0,TODAY()-Tabla1[[#This Row],[FECHA_TRASPLANTE]],Tabla1[[#This Row],[FECHA DE DEFUNCIÓN]]-Tabla1[[#This Row],[FECHA_TRASPLANTE]])</f>
        <v>1379</v>
      </c>
      <c r="BW413" s="3">
        <f ca="1">IF(Tabla1[[#This Row],[FALLECIDO_COD]]=0,TODAY()-Tabla1[[#This Row],[FECHA_TRASPLANTE]],Tabla1[[#This Row],[FECHA DE DEFUNCIÓN]]-Tabla1[[#This Row],[FECHA_TRASPLANTE]])/30.4375</f>
        <v>45.30595482546201</v>
      </c>
      <c r="BX413" s="3">
        <f ca="1">IF(Tabla1[[#This Row],[FALLECIDO_COD]]=0,TODAY()-Tabla1[[#This Row],[FECHA_TRASPLANTE]],Tabla1[[#This Row],[FECHA DE DEFUNCIÓN]]-Tabla1[[#This Row],[FECHA_TRASPLANTE]])/365.25</f>
        <v>3.7754962354551678</v>
      </c>
      <c r="BY413"/>
      <c r="BZ413"/>
    </row>
    <row r="414" spans="1:78" hidden="1" x14ac:dyDescent="0.35">
      <c r="A414" t="s">
        <v>75</v>
      </c>
      <c r="D414" t="s">
        <v>1129</v>
      </c>
      <c r="E414" t="s">
        <v>77</v>
      </c>
      <c r="K414" t="s">
        <v>1794</v>
      </c>
      <c r="L414" t="s">
        <v>753</v>
      </c>
      <c r="M414" t="s">
        <v>149</v>
      </c>
      <c r="N414" s="11">
        <v>1820101341</v>
      </c>
      <c r="O414" s="16">
        <v>44503</v>
      </c>
      <c r="P414" t="s">
        <v>81</v>
      </c>
      <c r="Q414" s="2">
        <v>30307</v>
      </c>
      <c r="R414" s="3">
        <f>(Tabla1[[#This Row],[FECHA_TRASPLANTE]]-Tabla1[[#This Row],[FECHA_NAC]])/365.25</f>
        <v>38.866529774127308</v>
      </c>
      <c r="T414"/>
      <c r="W414" t="s">
        <v>146</v>
      </c>
      <c r="X414" t="s">
        <v>91</v>
      </c>
      <c r="Y414" t="s">
        <v>179</v>
      </c>
      <c r="Z414" t="s">
        <v>180</v>
      </c>
      <c r="AM414" t="s">
        <v>106</v>
      </c>
      <c r="AO414"/>
      <c r="AV414" s="2"/>
      <c r="AZ414"/>
      <c r="BJ414" s="2"/>
      <c r="BT414" s="2">
        <f>Tabla1[[#This Row],[FECHA_TRASPLANTE]]</f>
        <v>44503</v>
      </c>
      <c r="BU414">
        <f>IF(Tabla1[[#This Row],[FALLECIDO SI/NO]]="NO",0,1)</f>
        <v>0</v>
      </c>
      <c r="BV414" s="3">
        <f ca="1">IF(Tabla1[[#This Row],[FALLECIDO_COD]]=0,TODAY()-Tabla1[[#This Row],[FECHA_TRASPLANTE]],Tabla1[[#This Row],[FECHA DE DEFUNCIÓN]]-Tabla1[[#This Row],[FECHA_TRASPLANTE]])</f>
        <v>1372</v>
      </c>
      <c r="BW414" s="3">
        <f ca="1">IF(Tabla1[[#This Row],[FALLECIDO_COD]]=0,TODAY()-Tabla1[[#This Row],[FECHA_TRASPLANTE]],Tabla1[[#This Row],[FECHA DE DEFUNCIÓN]]-Tabla1[[#This Row],[FECHA_TRASPLANTE]])/30.4375</f>
        <v>45.075975359342912</v>
      </c>
      <c r="BX414" s="3">
        <f ca="1">IF(Tabla1[[#This Row],[FALLECIDO_COD]]=0,TODAY()-Tabla1[[#This Row],[FECHA_TRASPLANTE]],Tabla1[[#This Row],[FECHA DE DEFUNCIÓN]]-Tabla1[[#This Row],[FECHA_TRASPLANTE]])/365.25</f>
        <v>3.7563312799452429</v>
      </c>
      <c r="BY414"/>
      <c r="BZ414"/>
    </row>
    <row r="415" spans="1:78" hidden="1" x14ac:dyDescent="0.35">
      <c r="A415" t="s">
        <v>376</v>
      </c>
      <c r="B415" t="s">
        <v>376</v>
      </c>
      <c r="D415" t="s">
        <v>1129</v>
      </c>
      <c r="E415" t="s">
        <v>77</v>
      </c>
      <c r="K415" t="s">
        <v>1795</v>
      </c>
      <c r="L415" t="s">
        <v>448</v>
      </c>
      <c r="M415" t="s">
        <v>251</v>
      </c>
      <c r="N415" s="11">
        <v>703590383</v>
      </c>
      <c r="O415" s="2">
        <v>44504</v>
      </c>
      <c r="P415" t="s">
        <v>81</v>
      </c>
      <c r="Q415" s="2">
        <v>40643</v>
      </c>
      <c r="R415" s="3">
        <f>(Tabla1[[#This Row],[FECHA_TRASPLANTE]]-Tabla1[[#This Row],[FECHA_NAC]])/365.25</f>
        <v>10.570841889117043</v>
      </c>
      <c r="T415"/>
      <c r="W415" t="s">
        <v>82</v>
      </c>
      <c r="AM415" t="s">
        <v>106</v>
      </c>
      <c r="AO415"/>
      <c r="AV415" s="2"/>
      <c r="AZ415"/>
      <c r="BT415" s="2">
        <f>Tabla1[[#This Row],[FECHA_TRASPLANTE]]</f>
        <v>44504</v>
      </c>
      <c r="BU415">
        <f>IF(Tabla1[[#This Row],[FALLECIDO SI/NO]]="NO",0,1)</f>
        <v>0</v>
      </c>
      <c r="BV415" s="3">
        <f ca="1">IF(Tabla1[[#This Row],[FALLECIDO_COD]]=0,TODAY()-Tabla1[[#This Row],[FECHA_TRASPLANTE]],Tabla1[[#This Row],[FECHA DE DEFUNCIÓN]]-Tabla1[[#This Row],[FECHA_TRASPLANTE]])</f>
        <v>1371</v>
      </c>
      <c r="BW415" s="3">
        <f ca="1">IF(Tabla1[[#This Row],[FALLECIDO_COD]]=0,TODAY()-Tabla1[[#This Row],[FECHA_TRASPLANTE]],Tabla1[[#This Row],[FECHA DE DEFUNCIÓN]]-Tabla1[[#This Row],[FECHA_TRASPLANTE]])/30.4375</f>
        <v>45.043121149897331</v>
      </c>
      <c r="BX415" s="3">
        <f ca="1">IF(Tabla1[[#This Row],[FALLECIDO_COD]]=0,TODAY()-Tabla1[[#This Row],[FECHA_TRASPLANTE]],Tabla1[[#This Row],[FECHA DE DEFUNCIÓN]]-Tabla1[[#This Row],[FECHA_TRASPLANTE]])/365.25</f>
        <v>3.7535934291581108</v>
      </c>
      <c r="BY415"/>
      <c r="BZ415"/>
    </row>
    <row r="416" spans="1:78" hidden="1" x14ac:dyDescent="0.35">
      <c r="A416" t="s">
        <v>376</v>
      </c>
      <c r="B416" t="s">
        <v>376</v>
      </c>
      <c r="D416" t="s">
        <v>1129</v>
      </c>
      <c r="E416" t="s">
        <v>77</v>
      </c>
      <c r="K416" t="s">
        <v>1796</v>
      </c>
      <c r="L416" t="s">
        <v>1554</v>
      </c>
      <c r="M416" t="s">
        <v>648</v>
      </c>
      <c r="N416" s="11">
        <v>120440496</v>
      </c>
      <c r="O416" s="2">
        <v>44507</v>
      </c>
      <c r="P416" t="s">
        <v>81</v>
      </c>
      <c r="Q416" s="2">
        <v>39831</v>
      </c>
      <c r="R416" s="3">
        <f>(Tabla1[[#This Row],[FECHA_TRASPLANTE]]-Tabla1[[#This Row],[FECHA_NAC]])/365.25</f>
        <v>12.802190280629706</v>
      </c>
      <c r="T416"/>
      <c r="W416" t="s">
        <v>82</v>
      </c>
      <c r="AM416" t="s">
        <v>106</v>
      </c>
      <c r="AO416"/>
      <c r="AV416" s="2"/>
      <c r="AZ416"/>
      <c r="BT416" s="2">
        <f>Tabla1[[#This Row],[FECHA_TRASPLANTE]]</f>
        <v>44507</v>
      </c>
      <c r="BU416">
        <f>IF(Tabla1[[#This Row],[FALLECIDO SI/NO]]="NO",0,1)</f>
        <v>0</v>
      </c>
      <c r="BV416" s="3">
        <f ca="1">IF(Tabla1[[#This Row],[FALLECIDO_COD]]=0,TODAY()-Tabla1[[#This Row],[FECHA_TRASPLANTE]],Tabla1[[#This Row],[FECHA DE DEFUNCIÓN]]-Tabla1[[#This Row],[FECHA_TRASPLANTE]])</f>
        <v>1368</v>
      </c>
      <c r="BW416" s="3">
        <f ca="1">IF(Tabla1[[#This Row],[FALLECIDO_COD]]=0,TODAY()-Tabla1[[#This Row],[FECHA_TRASPLANTE]],Tabla1[[#This Row],[FECHA DE DEFUNCIÓN]]-Tabla1[[#This Row],[FECHA_TRASPLANTE]])/30.4375</f>
        <v>44.944558521560573</v>
      </c>
      <c r="BX416" s="3">
        <f ca="1">IF(Tabla1[[#This Row],[FALLECIDO_COD]]=0,TODAY()-Tabla1[[#This Row],[FECHA_TRASPLANTE]],Tabla1[[#This Row],[FECHA DE DEFUNCIÓN]]-Tabla1[[#This Row],[FECHA_TRASPLANTE]])/365.25</f>
        <v>3.7453798767967146</v>
      </c>
      <c r="BY416"/>
      <c r="BZ416"/>
    </row>
    <row r="417" spans="1:78" hidden="1" x14ac:dyDescent="0.35">
      <c r="A417" t="s">
        <v>376</v>
      </c>
      <c r="B417" t="s">
        <v>376</v>
      </c>
      <c r="D417" t="s">
        <v>1129</v>
      </c>
      <c r="E417" t="s">
        <v>77</v>
      </c>
      <c r="K417" t="s">
        <v>1797</v>
      </c>
      <c r="L417" t="s">
        <v>475</v>
      </c>
      <c r="M417" t="s">
        <v>386</v>
      </c>
      <c r="N417" s="11">
        <v>605350603</v>
      </c>
      <c r="O417" s="2">
        <v>44507</v>
      </c>
      <c r="P417" t="s">
        <v>81</v>
      </c>
      <c r="Q417" s="2">
        <v>40931</v>
      </c>
      <c r="R417" s="3">
        <f>(Tabla1[[#This Row],[FECHA_TRASPLANTE]]-Tabla1[[#This Row],[FECHA_NAC]])/365.25</f>
        <v>9.7905544147843937</v>
      </c>
      <c r="T417"/>
      <c r="W417" t="s">
        <v>82</v>
      </c>
      <c r="AM417" t="s">
        <v>106</v>
      </c>
      <c r="AO417"/>
      <c r="AV417" s="2"/>
      <c r="AZ417"/>
      <c r="BT417" s="2">
        <f>Tabla1[[#This Row],[FECHA_TRASPLANTE]]</f>
        <v>44507</v>
      </c>
      <c r="BU417">
        <f>IF(Tabla1[[#This Row],[FALLECIDO SI/NO]]="NO",0,1)</f>
        <v>0</v>
      </c>
      <c r="BV417" s="3">
        <f ca="1">IF(Tabla1[[#This Row],[FALLECIDO_COD]]=0,TODAY()-Tabla1[[#This Row],[FECHA_TRASPLANTE]],Tabla1[[#This Row],[FECHA DE DEFUNCIÓN]]-Tabla1[[#This Row],[FECHA_TRASPLANTE]])</f>
        <v>1368</v>
      </c>
      <c r="BW417" s="3">
        <f ca="1">IF(Tabla1[[#This Row],[FALLECIDO_COD]]=0,TODAY()-Tabla1[[#This Row],[FECHA_TRASPLANTE]],Tabla1[[#This Row],[FECHA DE DEFUNCIÓN]]-Tabla1[[#This Row],[FECHA_TRASPLANTE]])/30.4375</f>
        <v>44.944558521560573</v>
      </c>
      <c r="BX417" s="3">
        <f ca="1">IF(Tabla1[[#This Row],[FALLECIDO_COD]]=0,TODAY()-Tabla1[[#This Row],[FECHA_TRASPLANTE]],Tabla1[[#This Row],[FECHA DE DEFUNCIÓN]]-Tabla1[[#This Row],[FECHA_TRASPLANTE]])/365.25</f>
        <v>3.7453798767967146</v>
      </c>
      <c r="BY417"/>
      <c r="BZ417"/>
    </row>
    <row r="418" spans="1:78" hidden="1" x14ac:dyDescent="0.35">
      <c r="A418" t="s">
        <v>377</v>
      </c>
      <c r="D418" t="s">
        <v>1129</v>
      </c>
      <c r="E418" t="s">
        <v>375</v>
      </c>
      <c r="J418" t="s">
        <v>1197</v>
      </c>
      <c r="K418" t="s">
        <v>1798</v>
      </c>
      <c r="L418" t="s">
        <v>243</v>
      </c>
      <c r="M418" t="s">
        <v>140</v>
      </c>
      <c r="N418" s="11">
        <v>207170458</v>
      </c>
      <c r="O418" s="2">
        <v>44510</v>
      </c>
      <c r="P418" t="s">
        <v>81</v>
      </c>
      <c r="Q418" s="2">
        <v>34233</v>
      </c>
      <c r="R418" s="3">
        <f>(Tabla1[[#This Row],[FECHA_TRASPLANTE]]-Tabla1[[#This Row],[FECHA_NAC]])/365.25</f>
        <v>28.136892539356605</v>
      </c>
      <c r="S418" t="s">
        <v>200</v>
      </c>
      <c r="T418"/>
      <c r="W418" t="s">
        <v>82</v>
      </c>
      <c r="AM418" t="s">
        <v>106</v>
      </c>
      <c r="AO418"/>
      <c r="AV418" s="2"/>
      <c r="AZ418"/>
      <c r="BT418" s="2">
        <f>Tabla1[[#This Row],[FECHA_TRASPLANTE]]</f>
        <v>44510</v>
      </c>
      <c r="BU418">
        <f>IF(Tabla1[[#This Row],[FALLECIDO SI/NO]]="NO",0,1)</f>
        <v>0</v>
      </c>
      <c r="BV418" s="3">
        <f ca="1">IF(Tabla1[[#This Row],[FALLECIDO_COD]]=0,TODAY()-Tabla1[[#This Row],[FECHA_TRASPLANTE]],Tabla1[[#This Row],[FECHA DE DEFUNCIÓN]]-Tabla1[[#This Row],[FECHA_TRASPLANTE]])</f>
        <v>1365</v>
      </c>
      <c r="BW418" s="3">
        <f ca="1">IF(Tabla1[[#This Row],[FALLECIDO_COD]]=0,TODAY()-Tabla1[[#This Row],[FECHA_TRASPLANTE]],Tabla1[[#This Row],[FECHA DE DEFUNCIÓN]]-Tabla1[[#This Row],[FECHA_TRASPLANTE]])/30.4375</f>
        <v>44.845995893223822</v>
      </c>
      <c r="BX418" s="3">
        <f ca="1">IF(Tabla1[[#This Row],[FALLECIDO_COD]]=0,TODAY()-Tabla1[[#This Row],[FECHA_TRASPLANTE]],Tabla1[[#This Row],[FECHA DE DEFUNCIÓN]]-Tabla1[[#This Row],[FECHA_TRASPLANTE]])/365.25</f>
        <v>3.7371663244353184</v>
      </c>
      <c r="BY418"/>
      <c r="BZ418"/>
    </row>
    <row r="419" spans="1:78" hidden="1" x14ac:dyDescent="0.35">
      <c r="A419" t="s">
        <v>377</v>
      </c>
      <c r="D419" t="s">
        <v>1129</v>
      </c>
      <c r="E419" t="s">
        <v>375</v>
      </c>
      <c r="J419" t="s">
        <v>1180</v>
      </c>
      <c r="K419" t="s">
        <v>1799</v>
      </c>
      <c r="L419" t="s">
        <v>605</v>
      </c>
      <c r="M419" t="s">
        <v>870</v>
      </c>
      <c r="N419" s="11">
        <v>207390231</v>
      </c>
      <c r="O419" s="2">
        <v>44517</v>
      </c>
      <c r="P419" t="s">
        <v>90</v>
      </c>
      <c r="Q419" s="2">
        <v>34831</v>
      </c>
      <c r="R419" s="3">
        <f>(Tabla1[[#This Row],[FECHA_TRASPLANTE]]-Tabla1[[#This Row],[FECHA_NAC]])/365.25</f>
        <v>26.518822724161534</v>
      </c>
      <c r="T419"/>
      <c r="W419" t="s">
        <v>82</v>
      </c>
      <c r="X419" t="s">
        <v>115</v>
      </c>
      <c r="Y419" t="s">
        <v>426</v>
      </c>
      <c r="Z419" t="s">
        <v>1167</v>
      </c>
      <c r="AM419" t="s">
        <v>106</v>
      </c>
      <c r="AO419"/>
      <c r="AV419" s="2"/>
      <c r="AZ419"/>
      <c r="BT419" s="2">
        <f>Tabla1[[#This Row],[FECHA_TRASPLANTE]]</f>
        <v>44517</v>
      </c>
      <c r="BU419">
        <f>IF(Tabla1[[#This Row],[FALLECIDO SI/NO]]="NO",0,1)</f>
        <v>0</v>
      </c>
      <c r="BV419" s="3">
        <f ca="1">IF(Tabla1[[#This Row],[FALLECIDO_COD]]=0,TODAY()-Tabla1[[#This Row],[FECHA_TRASPLANTE]],Tabla1[[#This Row],[FECHA DE DEFUNCIÓN]]-Tabla1[[#This Row],[FECHA_TRASPLANTE]])</f>
        <v>1358</v>
      </c>
      <c r="BW419" s="3">
        <f ca="1">IF(Tabla1[[#This Row],[FALLECIDO_COD]]=0,TODAY()-Tabla1[[#This Row],[FECHA_TRASPLANTE]],Tabla1[[#This Row],[FECHA DE DEFUNCIÓN]]-Tabla1[[#This Row],[FECHA_TRASPLANTE]])/30.4375</f>
        <v>44.616016427104725</v>
      </c>
      <c r="BX419" s="3">
        <f ca="1">IF(Tabla1[[#This Row],[FALLECIDO_COD]]=0,TODAY()-Tabla1[[#This Row],[FECHA_TRASPLANTE]],Tabla1[[#This Row],[FECHA DE DEFUNCIÓN]]-Tabla1[[#This Row],[FECHA_TRASPLANTE]])/365.25</f>
        <v>3.7180013689253935</v>
      </c>
      <c r="BY419"/>
      <c r="BZ419"/>
    </row>
    <row r="420" spans="1:78" hidden="1" x14ac:dyDescent="0.35">
      <c r="A420" t="s">
        <v>1125</v>
      </c>
      <c r="B420" t="s">
        <v>1125</v>
      </c>
      <c r="C420" t="s">
        <v>1334</v>
      </c>
      <c r="D420" t="s">
        <v>1129</v>
      </c>
      <c r="E420" t="s">
        <v>375</v>
      </c>
      <c r="G420" t="s">
        <v>200</v>
      </c>
      <c r="H420" s="2">
        <v>26819</v>
      </c>
      <c r="I420">
        <v>48.473648186173854</v>
      </c>
      <c r="J420" t="s">
        <v>1800</v>
      </c>
      <c r="K420" t="s">
        <v>1801</v>
      </c>
      <c r="L420" t="s">
        <v>265</v>
      </c>
      <c r="M420" t="s">
        <v>1802</v>
      </c>
      <c r="N420" s="11">
        <v>118000414</v>
      </c>
      <c r="O420" s="2">
        <v>44524</v>
      </c>
      <c r="P420" t="s">
        <v>1669</v>
      </c>
      <c r="Q420" s="2">
        <v>36912.25</v>
      </c>
      <c r="R420" s="3">
        <f>(Tabla1[[#This Row],[FECHA_TRASPLANTE]]-Tabla1[[#This Row],[FECHA_NAC]])/365.25</f>
        <v>20.839835728952771</v>
      </c>
      <c r="S420" t="s">
        <v>210</v>
      </c>
      <c r="T420"/>
      <c r="U420" t="s">
        <v>1348</v>
      </c>
      <c r="V420" t="s">
        <v>1551</v>
      </c>
      <c r="W420" t="s">
        <v>82</v>
      </c>
      <c r="X420" t="s">
        <v>252</v>
      </c>
      <c r="Y420" t="s">
        <v>252</v>
      </c>
      <c r="Z420" t="s">
        <v>598</v>
      </c>
      <c r="AD420">
        <v>0</v>
      </c>
      <c r="AF420" t="s">
        <v>816</v>
      </c>
      <c r="AG420" t="s">
        <v>1803</v>
      </c>
      <c r="AH420" t="s">
        <v>1803</v>
      </c>
      <c r="AI420" t="s">
        <v>1803</v>
      </c>
      <c r="AM420" t="s">
        <v>106</v>
      </c>
      <c r="AO420" t="s">
        <v>1334</v>
      </c>
      <c r="AQ420" t="s">
        <v>358</v>
      </c>
      <c r="AV420" s="2" t="s">
        <v>1334</v>
      </c>
      <c r="AY420" t="s">
        <v>106</v>
      </c>
      <c r="AZ420"/>
      <c r="BO420" t="s">
        <v>1804</v>
      </c>
      <c r="BP420" t="s">
        <v>81</v>
      </c>
      <c r="BQ420" t="s">
        <v>1805</v>
      </c>
      <c r="BR420" t="s">
        <v>1806</v>
      </c>
      <c r="BS420" t="s">
        <v>1807</v>
      </c>
      <c r="BT420" s="2">
        <f>Tabla1[[#This Row],[FECHA_TRASPLANTE]]</f>
        <v>44524</v>
      </c>
      <c r="BU420">
        <f>IF(Tabla1[[#This Row],[FALLECIDO SI/NO]]="NO",0,1)</f>
        <v>0</v>
      </c>
      <c r="BV420" s="3">
        <f ca="1">IF(Tabla1[[#This Row],[FALLECIDO_COD]]=0,TODAY()-Tabla1[[#This Row],[FECHA_TRASPLANTE]],Tabla1[[#This Row],[FECHA DE DEFUNCIÓN]]-Tabla1[[#This Row],[FECHA_TRASPLANTE]])</f>
        <v>1351</v>
      </c>
      <c r="BW420" s="3">
        <f ca="1">IF(Tabla1[[#This Row],[FALLECIDO_COD]]=0,TODAY()-Tabla1[[#This Row],[FECHA_TRASPLANTE]],Tabla1[[#This Row],[FECHA DE DEFUNCIÓN]]-Tabla1[[#This Row],[FECHA_TRASPLANTE]])/30.4375</f>
        <v>44.386036960985628</v>
      </c>
      <c r="BX420" s="3">
        <f ca="1">IF(Tabla1[[#This Row],[FALLECIDO_COD]]=0,TODAY()-Tabla1[[#This Row],[FECHA_TRASPLANTE]],Tabla1[[#This Row],[FECHA DE DEFUNCIÓN]]-Tabla1[[#This Row],[FECHA_TRASPLANTE]])/365.25</f>
        <v>3.698836413415469</v>
      </c>
      <c r="BY420"/>
      <c r="BZ420"/>
    </row>
    <row r="421" spans="1:78" hidden="1" x14ac:dyDescent="0.35">
      <c r="A421" t="s">
        <v>377</v>
      </c>
      <c r="D421" t="s">
        <v>1129</v>
      </c>
      <c r="E421" t="s">
        <v>375</v>
      </c>
      <c r="J421" t="s">
        <v>1160</v>
      </c>
      <c r="K421" t="s">
        <v>1808</v>
      </c>
      <c r="L421" t="s">
        <v>150</v>
      </c>
      <c r="M421" t="s">
        <v>670</v>
      </c>
      <c r="N421" s="11">
        <v>503060529</v>
      </c>
      <c r="O421" s="2">
        <v>44531</v>
      </c>
      <c r="P421" t="s">
        <v>81</v>
      </c>
      <c r="Q421" s="2">
        <v>28534</v>
      </c>
      <c r="R421" s="3">
        <f>(Tabla1[[#This Row],[FECHA_TRASPLANTE]]-Tabla1[[#This Row],[FECHA_NAC]])/365.25</f>
        <v>43.797399041752222</v>
      </c>
      <c r="T421"/>
      <c r="W421" t="s">
        <v>82</v>
      </c>
      <c r="X421" t="s">
        <v>125</v>
      </c>
      <c r="Y421" t="s">
        <v>297</v>
      </c>
      <c r="Z421" t="s">
        <v>297</v>
      </c>
      <c r="AM421" t="s">
        <v>106</v>
      </c>
      <c r="AO421"/>
      <c r="AV421" s="2"/>
      <c r="AZ421"/>
      <c r="BT421" s="2">
        <f>Tabla1[[#This Row],[FECHA_TRASPLANTE]]</f>
        <v>44531</v>
      </c>
      <c r="BU421">
        <f>IF(Tabla1[[#This Row],[FALLECIDO SI/NO]]="NO",0,1)</f>
        <v>0</v>
      </c>
      <c r="BV421" s="3">
        <f ca="1">IF(Tabla1[[#This Row],[FALLECIDO_COD]]=0,TODAY()-Tabla1[[#This Row],[FECHA_TRASPLANTE]],Tabla1[[#This Row],[FECHA DE DEFUNCIÓN]]-Tabla1[[#This Row],[FECHA_TRASPLANTE]])</f>
        <v>1344</v>
      </c>
      <c r="BW421" s="3">
        <f ca="1">IF(Tabla1[[#This Row],[FALLECIDO_COD]]=0,TODAY()-Tabla1[[#This Row],[FECHA_TRASPLANTE]],Tabla1[[#This Row],[FECHA DE DEFUNCIÓN]]-Tabla1[[#This Row],[FECHA_TRASPLANTE]])/30.4375</f>
        <v>44.156057494866531</v>
      </c>
      <c r="BX421" s="3">
        <f ca="1">IF(Tabla1[[#This Row],[FALLECIDO_COD]]=0,TODAY()-Tabla1[[#This Row],[FECHA_TRASPLANTE]],Tabla1[[#This Row],[FECHA DE DEFUNCIÓN]]-Tabla1[[#This Row],[FECHA_TRASPLANTE]])/365.25</f>
        <v>3.6796714579055441</v>
      </c>
      <c r="BY421"/>
      <c r="BZ421"/>
    </row>
    <row r="422" spans="1:78" hidden="1" x14ac:dyDescent="0.35">
      <c r="A422" t="s">
        <v>377</v>
      </c>
      <c r="D422" t="s">
        <v>1129</v>
      </c>
      <c r="E422" t="s">
        <v>375</v>
      </c>
      <c r="J422" t="s">
        <v>1180</v>
      </c>
      <c r="K422" t="s">
        <v>1809</v>
      </c>
      <c r="L422" t="s">
        <v>233</v>
      </c>
      <c r="M422" t="s">
        <v>269</v>
      </c>
      <c r="N422" s="11">
        <v>800800266</v>
      </c>
      <c r="O422" s="2">
        <v>44538</v>
      </c>
      <c r="P422" t="s">
        <v>81</v>
      </c>
      <c r="Q422" s="2">
        <v>26157</v>
      </c>
      <c r="R422" s="3">
        <f>(Tabla1[[#This Row],[FECHA_TRASPLANTE]]-Tabla1[[#This Row],[FECHA_NAC]])/365.25</f>
        <v>50.324435318275157</v>
      </c>
      <c r="T422"/>
      <c r="W422" t="s">
        <v>82</v>
      </c>
      <c r="X422" t="s">
        <v>125</v>
      </c>
      <c r="Y422" t="s">
        <v>220</v>
      </c>
      <c r="Z422" t="s">
        <v>1810</v>
      </c>
      <c r="AM422" t="s">
        <v>106</v>
      </c>
      <c r="AO422"/>
      <c r="AV422" s="2"/>
      <c r="AZ422"/>
      <c r="BT422" s="2">
        <f>Tabla1[[#This Row],[FECHA_TRASPLANTE]]</f>
        <v>44538</v>
      </c>
      <c r="BU422">
        <f>IF(Tabla1[[#This Row],[FALLECIDO SI/NO]]="NO",0,1)</f>
        <v>0</v>
      </c>
      <c r="BV422" s="3">
        <f ca="1">IF(Tabla1[[#This Row],[FALLECIDO_COD]]=0,TODAY()-Tabla1[[#This Row],[FECHA_TRASPLANTE]],Tabla1[[#This Row],[FECHA DE DEFUNCIÓN]]-Tabla1[[#This Row],[FECHA_TRASPLANTE]])</f>
        <v>1337</v>
      </c>
      <c r="BW422" s="3">
        <f ca="1">IF(Tabla1[[#This Row],[FALLECIDO_COD]]=0,TODAY()-Tabla1[[#This Row],[FECHA_TRASPLANTE]],Tabla1[[#This Row],[FECHA DE DEFUNCIÓN]]-Tabla1[[#This Row],[FECHA_TRASPLANTE]])/30.4375</f>
        <v>43.926078028747433</v>
      </c>
      <c r="BX422" s="3">
        <f ca="1">IF(Tabla1[[#This Row],[FALLECIDO_COD]]=0,TODAY()-Tabla1[[#This Row],[FECHA_TRASPLANTE]],Tabla1[[#This Row],[FECHA DE DEFUNCIÓN]]-Tabla1[[#This Row],[FECHA_TRASPLANTE]])/365.25</f>
        <v>3.6605065023956196</v>
      </c>
      <c r="BY422"/>
      <c r="BZ422"/>
    </row>
    <row r="423" spans="1:78" hidden="1" x14ac:dyDescent="0.35">
      <c r="A423" t="s">
        <v>1126</v>
      </c>
      <c r="B423" t="s">
        <v>1126</v>
      </c>
      <c r="D423" t="s">
        <v>1333</v>
      </c>
      <c r="E423" t="s">
        <v>375</v>
      </c>
      <c r="F423" t="s">
        <v>106</v>
      </c>
      <c r="G423" t="s">
        <v>200</v>
      </c>
      <c r="H423" s="2">
        <v>30659</v>
      </c>
      <c r="I423">
        <v>38.012320328542096</v>
      </c>
      <c r="J423" t="s">
        <v>746</v>
      </c>
      <c r="N423" s="11">
        <v>113020859</v>
      </c>
      <c r="O423" s="2">
        <v>44543</v>
      </c>
      <c r="P423" t="s">
        <v>1669</v>
      </c>
      <c r="Q423" s="2">
        <v>31929</v>
      </c>
      <c r="R423" s="3">
        <f>(Tabla1[[#This Row],[FECHA_TRASPLANTE]]-Tabla1[[#This Row],[FECHA_NAC]])/365.25</f>
        <v>34.535249828884325</v>
      </c>
      <c r="S423" t="s">
        <v>910</v>
      </c>
      <c r="U423" t="s">
        <v>1754</v>
      </c>
      <c r="V423" t="s">
        <v>1566</v>
      </c>
      <c r="W423" t="s">
        <v>82</v>
      </c>
      <c r="X423" t="s">
        <v>110</v>
      </c>
      <c r="Y423" t="s">
        <v>340</v>
      </c>
      <c r="Z423" t="s">
        <v>1811</v>
      </c>
      <c r="AD423">
        <v>0</v>
      </c>
      <c r="AF423" t="s">
        <v>375</v>
      </c>
      <c r="AG423" t="s">
        <v>375</v>
      </c>
      <c r="AH423" t="s">
        <v>375</v>
      </c>
      <c r="AI423" t="s">
        <v>375</v>
      </c>
      <c r="AJ423" t="s">
        <v>375</v>
      </c>
      <c r="AM423" t="s">
        <v>106</v>
      </c>
      <c r="AN423" s="2" t="s">
        <v>762</v>
      </c>
      <c r="AO423" s="2" t="s">
        <v>762</v>
      </c>
      <c r="AQ423" t="s">
        <v>358</v>
      </c>
      <c r="AR423" s="2" t="s">
        <v>358</v>
      </c>
      <c r="AS423" s="2" t="s">
        <v>358</v>
      </c>
      <c r="AV423" s="2" t="s">
        <v>762</v>
      </c>
      <c r="AW423" t="s">
        <v>1568</v>
      </c>
      <c r="AY423" t="s">
        <v>106</v>
      </c>
      <c r="AZ423"/>
      <c r="BA423" t="s">
        <v>1812</v>
      </c>
      <c r="BB423">
        <v>1.5</v>
      </c>
      <c r="BC423">
        <v>47</v>
      </c>
      <c r="BD423" t="s">
        <v>106</v>
      </c>
      <c r="BI423" t="s">
        <v>86</v>
      </c>
      <c r="BJ423">
        <v>45139</v>
      </c>
      <c r="BK423" t="s">
        <v>1813</v>
      </c>
      <c r="BL423" t="s">
        <v>106</v>
      </c>
      <c r="BT423" s="2">
        <f>Tabla1[[#This Row],[FECHA_TRASPLANTE]]</f>
        <v>44543</v>
      </c>
      <c r="BU423">
        <f>IF(Tabla1[[#This Row],[FALLECIDO SI/NO]]="NO",0,1)</f>
        <v>0</v>
      </c>
      <c r="BV423" s="3">
        <f ca="1">IF(Tabla1[[#This Row],[FALLECIDO_COD]]=0,TODAY()-Tabla1[[#This Row],[FECHA_TRASPLANTE]],Tabla1[[#This Row],[FECHA DE DEFUNCIÓN]]-Tabla1[[#This Row],[FECHA_TRASPLANTE]])</f>
        <v>1332</v>
      </c>
      <c r="BW423" s="3">
        <f ca="1">IF(Tabla1[[#This Row],[FALLECIDO_COD]]=0,TODAY()-Tabla1[[#This Row],[FECHA_TRASPLANTE]],Tabla1[[#This Row],[FECHA DE DEFUNCIÓN]]-Tabla1[[#This Row],[FECHA_TRASPLANTE]])/30.4375</f>
        <v>43.761806981519506</v>
      </c>
      <c r="BX423" s="3">
        <f ca="1">IF(Tabla1[[#This Row],[FALLECIDO_COD]]=0,TODAY()-Tabla1[[#This Row],[FECHA_TRASPLANTE]],Tabla1[[#This Row],[FECHA DE DEFUNCIÓN]]-Tabla1[[#This Row],[FECHA_TRASPLANTE]])/365.25</f>
        <v>3.6468172484599588</v>
      </c>
      <c r="BY423"/>
      <c r="BZ423"/>
    </row>
    <row r="424" spans="1:78" hidden="1" x14ac:dyDescent="0.35">
      <c r="A424" t="s">
        <v>1126</v>
      </c>
      <c r="B424" t="s">
        <v>1126</v>
      </c>
      <c r="D424" t="s">
        <v>1333</v>
      </c>
      <c r="E424" t="s">
        <v>375</v>
      </c>
      <c r="F424" t="s">
        <v>106</v>
      </c>
      <c r="G424" t="s">
        <v>200</v>
      </c>
      <c r="H424" s="2">
        <v>25932</v>
      </c>
      <c r="I424">
        <v>51.030800821355236</v>
      </c>
      <c r="J424" t="s">
        <v>746</v>
      </c>
      <c r="N424" s="11">
        <v>304630071</v>
      </c>
      <c r="O424" s="2">
        <v>44571</v>
      </c>
      <c r="P424" t="s">
        <v>81</v>
      </c>
      <c r="Q424" s="2">
        <v>33725</v>
      </c>
      <c r="R424" s="3">
        <f>(Tabla1[[#This Row],[FECHA_TRASPLANTE]]-Tabla1[[#This Row],[FECHA_NAC]])/365.25</f>
        <v>29.694729637234772</v>
      </c>
      <c r="S424" t="s">
        <v>200</v>
      </c>
      <c r="U424" t="s">
        <v>1814</v>
      </c>
      <c r="V424" t="s">
        <v>1551</v>
      </c>
      <c r="W424" t="s">
        <v>82</v>
      </c>
      <c r="X424" t="s">
        <v>91</v>
      </c>
      <c r="Y424" t="s">
        <v>116</v>
      </c>
      <c r="Z424" t="s">
        <v>1815</v>
      </c>
      <c r="AD424">
        <v>0</v>
      </c>
      <c r="AF424" t="s">
        <v>375</v>
      </c>
      <c r="AG424" t="s">
        <v>375</v>
      </c>
      <c r="AH424" t="s">
        <v>375</v>
      </c>
      <c r="AI424" t="s">
        <v>375</v>
      </c>
      <c r="AJ424" t="s">
        <v>375</v>
      </c>
      <c r="AM424" t="s">
        <v>106</v>
      </c>
      <c r="AN424" s="2" t="s">
        <v>762</v>
      </c>
      <c r="AO424" s="2" t="s">
        <v>762</v>
      </c>
      <c r="AQ424" t="s">
        <v>358</v>
      </c>
      <c r="AR424" s="2" t="s">
        <v>358</v>
      </c>
      <c r="AS424" s="2" t="s">
        <v>358</v>
      </c>
      <c r="AV424" s="2" t="s">
        <v>762</v>
      </c>
      <c r="AY424" t="s">
        <v>106</v>
      </c>
      <c r="AZ424"/>
      <c r="BA424" t="s">
        <v>1812</v>
      </c>
      <c r="BB424">
        <v>1.1499999999999999</v>
      </c>
      <c r="BC424">
        <v>88</v>
      </c>
      <c r="BD424" t="s">
        <v>86</v>
      </c>
      <c r="BE424">
        <v>44866</v>
      </c>
      <c r="BF424" t="s">
        <v>1816</v>
      </c>
      <c r="BG424" t="s">
        <v>1817</v>
      </c>
      <c r="BH424" t="s">
        <v>86</v>
      </c>
      <c r="BI424" t="s">
        <v>106</v>
      </c>
      <c r="BL424" t="s">
        <v>106</v>
      </c>
      <c r="BT424" s="2">
        <f>Tabla1[[#This Row],[FECHA_TRASPLANTE]]</f>
        <v>44571</v>
      </c>
      <c r="BU424">
        <f>IF(Tabla1[[#This Row],[FALLECIDO SI/NO]]="NO",0,1)</f>
        <v>0</v>
      </c>
      <c r="BV424" s="3">
        <f ca="1">IF(Tabla1[[#This Row],[FALLECIDO_COD]]=0,TODAY()-Tabla1[[#This Row],[FECHA_TRASPLANTE]],Tabla1[[#This Row],[FECHA DE DEFUNCIÓN]]-Tabla1[[#This Row],[FECHA_TRASPLANTE]])</f>
        <v>1304</v>
      </c>
      <c r="BW424" s="3">
        <f ca="1">IF(Tabla1[[#This Row],[FALLECIDO_COD]]=0,TODAY()-Tabla1[[#This Row],[FECHA_TRASPLANTE]],Tabla1[[#This Row],[FECHA DE DEFUNCIÓN]]-Tabla1[[#This Row],[FECHA_TRASPLANTE]])/30.4375</f>
        <v>42.841889117043124</v>
      </c>
      <c r="BX424" s="3">
        <f ca="1">IF(Tabla1[[#This Row],[FALLECIDO_COD]]=0,TODAY()-Tabla1[[#This Row],[FECHA_TRASPLANTE]],Tabla1[[#This Row],[FECHA DE DEFUNCIÓN]]-Tabla1[[#This Row],[FECHA_TRASPLANTE]])/365.25</f>
        <v>3.57015742642026</v>
      </c>
      <c r="BY424"/>
      <c r="BZ424"/>
    </row>
    <row r="425" spans="1:78" hidden="1" x14ac:dyDescent="0.35">
      <c r="A425" t="s">
        <v>377</v>
      </c>
      <c r="D425" t="s">
        <v>1129</v>
      </c>
      <c r="E425" t="s">
        <v>375</v>
      </c>
      <c r="J425" t="s">
        <v>1180</v>
      </c>
      <c r="K425" t="s">
        <v>1818</v>
      </c>
      <c r="L425" t="s">
        <v>487</v>
      </c>
      <c r="M425" t="s">
        <v>149</v>
      </c>
      <c r="N425" s="11">
        <v>205650486</v>
      </c>
      <c r="O425" s="2">
        <v>44573</v>
      </c>
      <c r="P425" t="s">
        <v>81</v>
      </c>
      <c r="Q425" s="2">
        <v>29842</v>
      </c>
      <c r="R425" s="3">
        <f>(Tabla1[[#This Row],[FECHA_TRASPLANTE]]-Tabla1[[#This Row],[FECHA_NAC]])/365.25</f>
        <v>40.331279945242983</v>
      </c>
      <c r="T425"/>
      <c r="W425" t="s">
        <v>82</v>
      </c>
      <c r="X425" t="s">
        <v>822</v>
      </c>
      <c r="AM425" t="s">
        <v>106</v>
      </c>
      <c r="AO425"/>
      <c r="AV425" s="2"/>
      <c r="AZ425"/>
      <c r="BT425" s="2">
        <f>Tabla1[[#This Row],[FECHA_TRASPLANTE]]</f>
        <v>44573</v>
      </c>
      <c r="BU425">
        <f>IF(Tabla1[[#This Row],[FALLECIDO SI/NO]]="NO",0,1)</f>
        <v>0</v>
      </c>
      <c r="BV425" s="3">
        <f ca="1">IF(Tabla1[[#This Row],[FALLECIDO_COD]]=0,TODAY()-Tabla1[[#This Row],[FECHA_TRASPLANTE]],Tabla1[[#This Row],[FECHA DE DEFUNCIÓN]]-Tabla1[[#This Row],[FECHA_TRASPLANTE]])</f>
        <v>1302</v>
      </c>
      <c r="BW425" s="3">
        <f ca="1">IF(Tabla1[[#This Row],[FALLECIDO_COD]]=0,TODAY()-Tabla1[[#This Row],[FECHA_TRASPLANTE]],Tabla1[[#This Row],[FECHA DE DEFUNCIÓN]]-Tabla1[[#This Row],[FECHA_TRASPLANTE]])/30.4375</f>
        <v>42.776180698151954</v>
      </c>
      <c r="BX425" s="3">
        <f ca="1">IF(Tabla1[[#This Row],[FALLECIDO_COD]]=0,TODAY()-Tabla1[[#This Row],[FECHA_TRASPLANTE]],Tabla1[[#This Row],[FECHA DE DEFUNCIÓN]]-Tabla1[[#This Row],[FECHA_TRASPLANTE]])/365.25</f>
        <v>3.5646817248459959</v>
      </c>
      <c r="BY425"/>
      <c r="BZ425"/>
    </row>
    <row r="426" spans="1:78" hidden="1" x14ac:dyDescent="0.35">
      <c r="A426" t="s">
        <v>376</v>
      </c>
      <c r="B426" t="s">
        <v>376</v>
      </c>
      <c r="C426" t="s">
        <v>763</v>
      </c>
      <c r="D426" t="s">
        <v>1129</v>
      </c>
      <c r="E426" t="s">
        <v>77</v>
      </c>
      <c r="G426" t="s">
        <v>210</v>
      </c>
      <c r="H426" s="2" t="s">
        <v>1819</v>
      </c>
      <c r="I426">
        <v>24</v>
      </c>
      <c r="J426" t="s">
        <v>1820</v>
      </c>
      <c r="K426" t="s">
        <v>1821</v>
      </c>
      <c r="L426" t="s">
        <v>1822</v>
      </c>
      <c r="M426" t="s">
        <v>386</v>
      </c>
      <c r="N426" s="11">
        <v>305720529</v>
      </c>
      <c r="O426" s="2">
        <v>44575</v>
      </c>
      <c r="P426" t="s">
        <v>81</v>
      </c>
      <c r="Q426" s="2">
        <v>39245</v>
      </c>
      <c r="R426" s="3">
        <f>(Tabla1[[#This Row],[FECHA_TRASPLANTE]]-Tabla1[[#This Row],[FECHA_NAC]])/365.25</f>
        <v>14.592744695414099</v>
      </c>
      <c r="S426" t="s">
        <v>344</v>
      </c>
      <c r="T426"/>
      <c r="U426" t="s">
        <v>1823</v>
      </c>
      <c r="V426" t="s">
        <v>1824</v>
      </c>
      <c r="W426" t="s">
        <v>82</v>
      </c>
      <c r="X426" t="s">
        <v>110</v>
      </c>
      <c r="Y426" t="s">
        <v>91</v>
      </c>
      <c r="Z426" t="s">
        <v>1825</v>
      </c>
      <c r="AD426">
        <v>0</v>
      </c>
      <c r="AF426" t="s">
        <v>816</v>
      </c>
      <c r="AG426" t="s">
        <v>816</v>
      </c>
      <c r="AH426" t="s">
        <v>816</v>
      </c>
      <c r="AI426" t="s">
        <v>816</v>
      </c>
      <c r="AJ426" t="s">
        <v>816</v>
      </c>
      <c r="AK426" t="s">
        <v>816</v>
      </c>
      <c r="AM426" t="s">
        <v>106</v>
      </c>
      <c r="AO426"/>
      <c r="AQ426" t="s">
        <v>358</v>
      </c>
      <c r="AV426" s="2"/>
      <c r="AY426" t="s">
        <v>106</v>
      </c>
      <c r="AZ426"/>
      <c r="BO426" t="s">
        <v>1826</v>
      </c>
      <c r="BP426" t="s">
        <v>90</v>
      </c>
      <c r="BQ426" t="s">
        <v>82</v>
      </c>
      <c r="BS426" t="s">
        <v>1827</v>
      </c>
      <c r="BT426" s="2">
        <f>Tabla1[[#This Row],[FECHA_TRASPLANTE]]</f>
        <v>44575</v>
      </c>
      <c r="BU426">
        <f>IF(Tabla1[[#This Row],[FALLECIDO SI/NO]]="NO",0,1)</f>
        <v>0</v>
      </c>
      <c r="BV426" s="3">
        <f ca="1">IF(Tabla1[[#This Row],[FALLECIDO_COD]]=0,TODAY()-Tabla1[[#This Row],[FECHA_TRASPLANTE]],Tabla1[[#This Row],[FECHA DE DEFUNCIÓN]]-Tabla1[[#This Row],[FECHA_TRASPLANTE]])</f>
        <v>1300</v>
      </c>
      <c r="BW426" s="3">
        <f ca="1">IF(Tabla1[[#This Row],[FALLECIDO_COD]]=0,TODAY()-Tabla1[[#This Row],[FECHA_TRASPLANTE]],Tabla1[[#This Row],[FECHA DE DEFUNCIÓN]]-Tabla1[[#This Row],[FECHA_TRASPLANTE]])/30.4375</f>
        <v>42.710472279260777</v>
      </c>
      <c r="BX426" s="3">
        <f ca="1">IF(Tabla1[[#This Row],[FALLECIDO_COD]]=0,TODAY()-Tabla1[[#This Row],[FECHA_TRASPLANTE]],Tabla1[[#This Row],[FECHA DE DEFUNCIÓN]]-Tabla1[[#This Row],[FECHA_TRASPLANTE]])/365.25</f>
        <v>3.5592060232717317</v>
      </c>
      <c r="BY426"/>
      <c r="BZ426"/>
    </row>
    <row r="427" spans="1:78" hidden="1" x14ac:dyDescent="0.35">
      <c r="A427" t="s">
        <v>75</v>
      </c>
      <c r="B427" t="s">
        <v>1828</v>
      </c>
      <c r="C427" t="s">
        <v>763</v>
      </c>
      <c r="D427" t="s">
        <v>1129</v>
      </c>
      <c r="E427" t="s">
        <v>77</v>
      </c>
      <c r="H427" s="2">
        <v>35649</v>
      </c>
      <c r="I427">
        <v>24</v>
      </c>
      <c r="K427" t="s">
        <v>1829</v>
      </c>
      <c r="L427" t="s">
        <v>452</v>
      </c>
      <c r="M427" t="s">
        <v>576</v>
      </c>
      <c r="N427" s="11">
        <v>702430205</v>
      </c>
      <c r="O427" s="16">
        <v>44575</v>
      </c>
      <c r="P427" t="s">
        <v>81</v>
      </c>
      <c r="Q427" s="2">
        <v>35137</v>
      </c>
      <c r="R427" s="3">
        <f>(Tabla1[[#This Row],[FECHA_TRASPLANTE]]-Tabla1[[#This Row],[FECHA_NAC]])/365.25</f>
        <v>25.839835728952771</v>
      </c>
      <c r="S427" t="s">
        <v>210</v>
      </c>
      <c r="T427"/>
      <c r="U427" t="s">
        <v>1830</v>
      </c>
      <c r="V427" t="s">
        <v>1824</v>
      </c>
      <c r="W427" t="s">
        <v>82</v>
      </c>
      <c r="X427" t="s">
        <v>120</v>
      </c>
      <c r="Y427" t="s">
        <v>755</v>
      </c>
      <c r="Z427" t="s">
        <v>1831</v>
      </c>
      <c r="AD427">
        <v>27</v>
      </c>
      <c r="AF427" t="s">
        <v>1832</v>
      </c>
      <c r="AG427" t="s">
        <v>1833</v>
      </c>
      <c r="AH427" t="s">
        <v>978</v>
      </c>
      <c r="AI427" t="s">
        <v>978</v>
      </c>
      <c r="AJ427" t="s">
        <v>978</v>
      </c>
      <c r="AM427" t="s">
        <v>106</v>
      </c>
      <c r="AO427"/>
      <c r="AQ427" t="s">
        <v>358</v>
      </c>
      <c r="AV427" s="2"/>
      <c r="AY427" t="s">
        <v>106</v>
      </c>
      <c r="AZ427"/>
      <c r="BJ427" s="2"/>
      <c r="BO427">
        <v>116850947</v>
      </c>
      <c r="BP427" t="s">
        <v>90</v>
      </c>
      <c r="BQ427" t="s">
        <v>82</v>
      </c>
      <c r="BT427" s="2">
        <f>Tabla1[[#This Row],[FECHA_TRASPLANTE]]</f>
        <v>44575</v>
      </c>
      <c r="BU427">
        <f>IF(Tabla1[[#This Row],[FALLECIDO SI/NO]]="NO",0,1)</f>
        <v>0</v>
      </c>
      <c r="BV427" s="3">
        <f ca="1">IF(Tabla1[[#This Row],[FALLECIDO_COD]]=0,TODAY()-Tabla1[[#This Row],[FECHA_TRASPLANTE]],Tabla1[[#This Row],[FECHA DE DEFUNCIÓN]]-Tabla1[[#This Row],[FECHA_TRASPLANTE]])</f>
        <v>1300</v>
      </c>
      <c r="BW427" s="3">
        <f ca="1">IF(Tabla1[[#This Row],[FALLECIDO_COD]]=0,TODAY()-Tabla1[[#This Row],[FECHA_TRASPLANTE]],Tabla1[[#This Row],[FECHA DE DEFUNCIÓN]]-Tabla1[[#This Row],[FECHA_TRASPLANTE]])/30.4375</f>
        <v>42.710472279260777</v>
      </c>
      <c r="BX427" s="3">
        <f ca="1">IF(Tabla1[[#This Row],[FALLECIDO_COD]]=0,TODAY()-Tabla1[[#This Row],[FECHA_TRASPLANTE]],Tabla1[[#This Row],[FECHA DE DEFUNCIÓN]]-Tabla1[[#This Row],[FECHA_TRASPLANTE]])/365.25</f>
        <v>3.5592060232717317</v>
      </c>
      <c r="BY427"/>
      <c r="BZ427"/>
    </row>
    <row r="428" spans="1:78" hidden="1" x14ac:dyDescent="0.35">
      <c r="A428" t="s">
        <v>377</v>
      </c>
      <c r="D428" t="s">
        <v>1129</v>
      </c>
      <c r="E428" t="s">
        <v>77</v>
      </c>
      <c r="J428" t="s">
        <v>1834</v>
      </c>
      <c r="K428" t="s">
        <v>1835</v>
      </c>
      <c r="L428" t="s">
        <v>145</v>
      </c>
      <c r="M428" t="s">
        <v>753</v>
      </c>
      <c r="N428" s="11">
        <v>503050156</v>
      </c>
      <c r="O428" s="2">
        <v>44577</v>
      </c>
      <c r="P428" t="s">
        <v>81</v>
      </c>
      <c r="Q428" s="2">
        <v>28636</v>
      </c>
      <c r="R428" s="3">
        <f>(Tabla1[[#This Row],[FECHA_TRASPLANTE]]-Tabla1[[#This Row],[FECHA_NAC]])/365.25</f>
        <v>43.644079397672826</v>
      </c>
      <c r="T428"/>
      <c r="W428" t="s">
        <v>82</v>
      </c>
      <c r="X428" t="s">
        <v>125</v>
      </c>
      <c r="Y428" t="s">
        <v>1186</v>
      </c>
      <c r="Z428" t="s">
        <v>1186</v>
      </c>
      <c r="AM428" t="s">
        <v>106</v>
      </c>
      <c r="AO428"/>
      <c r="AV428" s="2"/>
      <c r="AZ428"/>
      <c r="BT428" s="2">
        <f>Tabla1[[#This Row],[FECHA_TRASPLANTE]]</f>
        <v>44577</v>
      </c>
      <c r="BU428">
        <f>IF(Tabla1[[#This Row],[FALLECIDO SI/NO]]="NO",0,1)</f>
        <v>0</v>
      </c>
      <c r="BV428" s="3">
        <f ca="1">IF(Tabla1[[#This Row],[FALLECIDO_COD]]=0,TODAY()-Tabla1[[#This Row],[FECHA_TRASPLANTE]],Tabla1[[#This Row],[FECHA DE DEFUNCIÓN]]-Tabla1[[#This Row],[FECHA_TRASPLANTE]])</f>
        <v>1298</v>
      </c>
      <c r="BW428" s="3">
        <f ca="1">IF(Tabla1[[#This Row],[FALLECIDO_COD]]=0,TODAY()-Tabla1[[#This Row],[FECHA_TRASPLANTE]],Tabla1[[#This Row],[FECHA DE DEFUNCIÓN]]-Tabla1[[#This Row],[FECHA_TRASPLANTE]])/30.4375</f>
        <v>42.644763860369608</v>
      </c>
      <c r="BX428" s="3">
        <f ca="1">IF(Tabla1[[#This Row],[FALLECIDO_COD]]=0,TODAY()-Tabla1[[#This Row],[FECHA_TRASPLANTE]],Tabla1[[#This Row],[FECHA DE DEFUNCIÓN]]-Tabla1[[#This Row],[FECHA_TRASPLANTE]])/365.25</f>
        <v>3.5537303216974676</v>
      </c>
      <c r="BY428"/>
      <c r="BZ428"/>
    </row>
    <row r="429" spans="1:78" hidden="1" x14ac:dyDescent="0.35">
      <c r="A429" t="s">
        <v>75</v>
      </c>
      <c r="B429" t="s">
        <v>1828</v>
      </c>
      <c r="C429" t="s">
        <v>767</v>
      </c>
      <c r="D429" t="s">
        <v>1129</v>
      </c>
      <c r="E429" t="s">
        <v>77</v>
      </c>
      <c r="H429" s="2">
        <v>28758</v>
      </c>
      <c r="I429">
        <v>43</v>
      </c>
      <c r="K429" t="s">
        <v>1836</v>
      </c>
      <c r="L429" t="s">
        <v>1837</v>
      </c>
      <c r="M429" t="s">
        <v>189</v>
      </c>
      <c r="N429" s="11">
        <v>2660101566</v>
      </c>
      <c r="O429" s="16">
        <v>44577</v>
      </c>
      <c r="P429" t="s">
        <v>90</v>
      </c>
      <c r="Q429" s="2">
        <v>24136</v>
      </c>
      <c r="R429" s="3">
        <f>(Tabla1[[#This Row],[FECHA_TRASPLANTE]]-Tabla1[[#This Row],[FECHA_NAC]])/365.25</f>
        <v>55.964407939767284</v>
      </c>
      <c r="S429" t="s">
        <v>210</v>
      </c>
      <c r="T429"/>
      <c r="U429" t="s">
        <v>1830</v>
      </c>
      <c r="V429" t="s">
        <v>1838</v>
      </c>
      <c r="W429" t="s">
        <v>146</v>
      </c>
      <c r="X429" t="s">
        <v>91</v>
      </c>
      <c r="Y429" t="s">
        <v>157</v>
      </c>
      <c r="Z429" t="s">
        <v>1839</v>
      </c>
      <c r="AD429">
        <v>9</v>
      </c>
      <c r="AF429" t="s">
        <v>1832</v>
      </c>
      <c r="AG429" t="s">
        <v>978</v>
      </c>
      <c r="AH429" t="s">
        <v>978</v>
      </c>
      <c r="AI429" t="s">
        <v>978</v>
      </c>
      <c r="AJ429" t="s">
        <v>978</v>
      </c>
      <c r="AM429" t="s">
        <v>106</v>
      </c>
      <c r="AO429"/>
      <c r="AQ429" t="s">
        <v>358</v>
      </c>
      <c r="AV429" s="2"/>
      <c r="AY429" t="s">
        <v>106</v>
      </c>
      <c r="AZ429"/>
      <c r="BJ429" s="2"/>
      <c r="BO429">
        <v>205330092</v>
      </c>
      <c r="BP429" t="s">
        <v>90</v>
      </c>
      <c r="BQ429" t="s">
        <v>82</v>
      </c>
      <c r="BT429" s="2">
        <f>Tabla1[[#This Row],[FECHA_TRASPLANTE]]</f>
        <v>44577</v>
      </c>
      <c r="BU429">
        <f>IF(Tabla1[[#This Row],[FALLECIDO SI/NO]]="NO",0,1)</f>
        <v>0</v>
      </c>
      <c r="BV429" s="3">
        <f ca="1">IF(Tabla1[[#This Row],[FALLECIDO_COD]]=0,TODAY()-Tabla1[[#This Row],[FECHA_TRASPLANTE]],Tabla1[[#This Row],[FECHA DE DEFUNCIÓN]]-Tabla1[[#This Row],[FECHA_TRASPLANTE]])</f>
        <v>1298</v>
      </c>
      <c r="BW429" s="3">
        <f ca="1">IF(Tabla1[[#This Row],[FALLECIDO_COD]]=0,TODAY()-Tabla1[[#This Row],[FECHA_TRASPLANTE]],Tabla1[[#This Row],[FECHA DE DEFUNCIÓN]]-Tabla1[[#This Row],[FECHA_TRASPLANTE]])/30.4375</f>
        <v>42.644763860369608</v>
      </c>
      <c r="BX429" s="3">
        <f ca="1">IF(Tabla1[[#This Row],[FALLECIDO_COD]]=0,TODAY()-Tabla1[[#This Row],[FECHA_TRASPLANTE]],Tabla1[[#This Row],[FECHA DE DEFUNCIÓN]]-Tabla1[[#This Row],[FECHA_TRASPLANTE]])/365.25</f>
        <v>3.5537303216974676</v>
      </c>
      <c r="BY429"/>
      <c r="BZ429"/>
    </row>
    <row r="430" spans="1:78" hidden="1" x14ac:dyDescent="0.35">
      <c r="A430" t="s">
        <v>377</v>
      </c>
      <c r="D430" t="s">
        <v>1129</v>
      </c>
      <c r="E430" t="s">
        <v>77</v>
      </c>
      <c r="J430" t="s">
        <v>1834</v>
      </c>
      <c r="K430" t="s">
        <v>1228</v>
      </c>
      <c r="L430" t="s">
        <v>360</v>
      </c>
      <c r="M430" t="s">
        <v>79</v>
      </c>
      <c r="N430" s="11">
        <v>104640216</v>
      </c>
      <c r="O430" s="2">
        <v>44580</v>
      </c>
      <c r="P430" t="s">
        <v>81</v>
      </c>
      <c r="Q430" s="2">
        <v>20669</v>
      </c>
      <c r="R430" s="3">
        <f>(Tabla1[[#This Row],[FECHA_TRASPLANTE]]-Tabla1[[#This Row],[FECHA_NAC]])/365.25</f>
        <v>65.464750171115668</v>
      </c>
      <c r="T430"/>
      <c r="W430" t="s">
        <v>82</v>
      </c>
      <c r="X430" t="s">
        <v>1840</v>
      </c>
      <c r="AM430" t="s">
        <v>106</v>
      </c>
      <c r="AO430"/>
      <c r="AV430" s="2"/>
      <c r="AZ430"/>
      <c r="BT430" s="2">
        <f>Tabla1[[#This Row],[FECHA_TRASPLANTE]]</f>
        <v>44580</v>
      </c>
      <c r="BU430">
        <f>IF(Tabla1[[#This Row],[FALLECIDO SI/NO]]="NO",0,1)</f>
        <v>0</v>
      </c>
      <c r="BV430" s="3">
        <f ca="1">IF(Tabla1[[#This Row],[FALLECIDO_COD]]=0,TODAY()-Tabla1[[#This Row],[FECHA_TRASPLANTE]],Tabla1[[#This Row],[FECHA DE DEFUNCIÓN]]-Tabla1[[#This Row],[FECHA_TRASPLANTE]])</f>
        <v>1295</v>
      </c>
      <c r="BW430" s="3">
        <f ca="1">IF(Tabla1[[#This Row],[FALLECIDO_COD]]=0,TODAY()-Tabla1[[#This Row],[FECHA_TRASPLANTE]],Tabla1[[#This Row],[FECHA DE DEFUNCIÓN]]-Tabla1[[#This Row],[FECHA_TRASPLANTE]])/30.4375</f>
        <v>42.546201232032857</v>
      </c>
      <c r="BX430" s="3">
        <f ca="1">IF(Tabla1[[#This Row],[FALLECIDO_COD]]=0,TODAY()-Tabla1[[#This Row],[FECHA_TRASPLANTE]],Tabla1[[#This Row],[FECHA DE DEFUNCIÓN]]-Tabla1[[#This Row],[FECHA_TRASPLANTE]])/365.25</f>
        <v>3.5455167693360714</v>
      </c>
      <c r="BY430"/>
      <c r="BZ430"/>
    </row>
    <row r="431" spans="1:78" hidden="1" x14ac:dyDescent="0.35">
      <c r="A431" t="s">
        <v>377</v>
      </c>
      <c r="D431" t="s">
        <v>1129</v>
      </c>
      <c r="E431" t="s">
        <v>77</v>
      </c>
      <c r="J431" t="s">
        <v>1834</v>
      </c>
      <c r="K431" t="s">
        <v>1841</v>
      </c>
      <c r="L431" t="s">
        <v>453</v>
      </c>
      <c r="M431" t="s">
        <v>453</v>
      </c>
      <c r="N431" s="11">
        <v>501640270</v>
      </c>
      <c r="O431" s="2">
        <v>44581</v>
      </c>
      <c r="P431" t="s">
        <v>81</v>
      </c>
      <c r="Q431" s="2">
        <v>20749</v>
      </c>
      <c r="R431" s="3">
        <f>(Tabla1[[#This Row],[FECHA_TRASPLANTE]]-Tabla1[[#This Row],[FECHA_NAC]])/365.25</f>
        <v>65.248459958932244</v>
      </c>
      <c r="T431"/>
      <c r="W431" t="s">
        <v>82</v>
      </c>
      <c r="X431" t="s">
        <v>1145</v>
      </c>
      <c r="AM431" t="s">
        <v>106</v>
      </c>
      <c r="AO431"/>
      <c r="AV431" s="2"/>
      <c r="AZ431"/>
      <c r="BT431" s="2">
        <f>Tabla1[[#This Row],[FECHA_TRASPLANTE]]</f>
        <v>44581</v>
      </c>
      <c r="BU431">
        <f>IF(Tabla1[[#This Row],[FALLECIDO SI/NO]]="NO",0,1)</f>
        <v>0</v>
      </c>
      <c r="BV431" s="3">
        <f ca="1">IF(Tabla1[[#This Row],[FALLECIDO_COD]]=0,TODAY()-Tabla1[[#This Row],[FECHA_TRASPLANTE]],Tabla1[[#This Row],[FECHA DE DEFUNCIÓN]]-Tabla1[[#This Row],[FECHA_TRASPLANTE]])</f>
        <v>1294</v>
      </c>
      <c r="BW431" s="3">
        <f ca="1">IF(Tabla1[[#This Row],[FALLECIDO_COD]]=0,TODAY()-Tabla1[[#This Row],[FECHA_TRASPLANTE]],Tabla1[[#This Row],[FECHA DE DEFUNCIÓN]]-Tabla1[[#This Row],[FECHA_TRASPLANTE]])/30.4375</f>
        <v>42.513347022587268</v>
      </c>
      <c r="BX431" s="3">
        <f ca="1">IF(Tabla1[[#This Row],[FALLECIDO_COD]]=0,TODAY()-Tabla1[[#This Row],[FECHA_TRASPLANTE]],Tabla1[[#This Row],[FECHA DE DEFUNCIÓN]]-Tabla1[[#This Row],[FECHA_TRASPLANTE]])/365.25</f>
        <v>3.5427789185489389</v>
      </c>
      <c r="BY431"/>
      <c r="BZ431"/>
    </row>
    <row r="432" spans="1:78" hidden="1" x14ac:dyDescent="0.35">
      <c r="A432" t="s">
        <v>377</v>
      </c>
      <c r="D432" t="s">
        <v>1129</v>
      </c>
      <c r="E432" t="s">
        <v>375</v>
      </c>
      <c r="J432" t="s">
        <v>1453</v>
      </c>
      <c r="K432" t="s">
        <v>1842</v>
      </c>
      <c r="L432" t="s">
        <v>1449</v>
      </c>
      <c r="M432" t="s">
        <v>385</v>
      </c>
      <c r="N432" s="11">
        <v>205450898</v>
      </c>
      <c r="O432" s="2">
        <v>44587</v>
      </c>
      <c r="P432" t="s">
        <v>81</v>
      </c>
      <c r="Q432" s="2">
        <v>29224</v>
      </c>
      <c r="R432" s="3">
        <f>(Tabla1[[#This Row],[FECHA_TRASPLANTE]]-Tabla1[[#This Row],[FECHA_NAC]])/365.25</f>
        <v>42.061601642710471</v>
      </c>
      <c r="T432"/>
      <c r="W432" t="s">
        <v>82</v>
      </c>
      <c r="X432" t="s">
        <v>115</v>
      </c>
      <c r="Y432" t="s">
        <v>84</v>
      </c>
      <c r="Z432" t="s">
        <v>91</v>
      </c>
      <c r="AM432" t="s">
        <v>106</v>
      </c>
      <c r="AO432"/>
      <c r="AV432" s="2"/>
      <c r="AZ432"/>
      <c r="BT432" s="2">
        <f>Tabla1[[#This Row],[FECHA_TRASPLANTE]]</f>
        <v>44587</v>
      </c>
      <c r="BU432">
        <f>IF(Tabla1[[#This Row],[FALLECIDO SI/NO]]="NO",0,1)</f>
        <v>0</v>
      </c>
      <c r="BV432" s="3">
        <f ca="1">IF(Tabla1[[#This Row],[FALLECIDO_COD]]=0,TODAY()-Tabla1[[#This Row],[FECHA_TRASPLANTE]],Tabla1[[#This Row],[FECHA DE DEFUNCIÓN]]-Tabla1[[#This Row],[FECHA_TRASPLANTE]])</f>
        <v>1288</v>
      </c>
      <c r="BW432" s="3">
        <f ca="1">IF(Tabla1[[#This Row],[FALLECIDO_COD]]=0,TODAY()-Tabla1[[#This Row],[FECHA_TRASPLANTE]],Tabla1[[#This Row],[FECHA DE DEFUNCIÓN]]-Tabla1[[#This Row],[FECHA_TRASPLANTE]])/30.4375</f>
        <v>42.31622176591376</v>
      </c>
      <c r="BX432" s="3">
        <f ca="1">IF(Tabla1[[#This Row],[FALLECIDO_COD]]=0,TODAY()-Tabla1[[#This Row],[FECHA_TRASPLANTE]],Tabla1[[#This Row],[FECHA DE DEFUNCIÓN]]-Tabla1[[#This Row],[FECHA_TRASPLANTE]])/365.25</f>
        <v>3.5263518138261465</v>
      </c>
      <c r="BY432"/>
      <c r="BZ432"/>
    </row>
    <row r="433" spans="1:78" hidden="1" x14ac:dyDescent="0.35">
      <c r="A433" t="s">
        <v>377</v>
      </c>
      <c r="D433" t="s">
        <v>1129</v>
      </c>
      <c r="E433" t="s">
        <v>375</v>
      </c>
      <c r="J433" t="s">
        <v>1339</v>
      </c>
      <c r="K433" t="s">
        <v>1843</v>
      </c>
      <c r="L433" t="s">
        <v>103</v>
      </c>
      <c r="M433" t="s">
        <v>109</v>
      </c>
      <c r="N433" s="11">
        <v>205580589</v>
      </c>
      <c r="O433" s="2">
        <v>44601</v>
      </c>
      <c r="P433" t="s">
        <v>81</v>
      </c>
      <c r="Q433" s="2">
        <v>29655</v>
      </c>
      <c r="R433" s="3">
        <f>(Tabla1[[#This Row],[FECHA_TRASPLANTE]]-Tabla1[[#This Row],[FECHA_NAC]])/365.25</f>
        <v>40.919917864476389</v>
      </c>
      <c r="T433"/>
      <c r="W433" t="s">
        <v>82</v>
      </c>
      <c r="X433" t="s">
        <v>115</v>
      </c>
      <c r="Y433" t="s">
        <v>197</v>
      </c>
      <c r="Z433" t="s">
        <v>621</v>
      </c>
      <c r="AM433" t="s">
        <v>106</v>
      </c>
      <c r="AO433"/>
      <c r="AV433" s="2"/>
      <c r="AZ433"/>
      <c r="BT433" s="2">
        <f>Tabla1[[#This Row],[FECHA_TRASPLANTE]]</f>
        <v>44601</v>
      </c>
      <c r="BU433">
        <f>IF(Tabla1[[#This Row],[FALLECIDO SI/NO]]="NO",0,1)</f>
        <v>0</v>
      </c>
      <c r="BV433" s="3">
        <f ca="1">IF(Tabla1[[#This Row],[FALLECIDO_COD]]=0,TODAY()-Tabla1[[#This Row],[FECHA_TRASPLANTE]],Tabla1[[#This Row],[FECHA DE DEFUNCIÓN]]-Tabla1[[#This Row],[FECHA_TRASPLANTE]])</f>
        <v>1274</v>
      </c>
      <c r="BW433" s="3">
        <f ca="1">IF(Tabla1[[#This Row],[FALLECIDO_COD]]=0,TODAY()-Tabla1[[#This Row],[FECHA_TRASPLANTE]],Tabla1[[#This Row],[FECHA DE DEFUNCIÓN]]-Tabla1[[#This Row],[FECHA_TRASPLANTE]])/30.4375</f>
        <v>41.856262833675565</v>
      </c>
      <c r="BX433" s="3">
        <f ca="1">IF(Tabla1[[#This Row],[FALLECIDO_COD]]=0,TODAY()-Tabla1[[#This Row],[FECHA_TRASPLANTE]],Tabla1[[#This Row],[FECHA DE DEFUNCIÓN]]-Tabla1[[#This Row],[FECHA_TRASPLANTE]])/365.25</f>
        <v>3.4880219028062971</v>
      </c>
      <c r="BY433"/>
      <c r="BZ433"/>
    </row>
    <row r="434" spans="1:78" hidden="1" x14ac:dyDescent="0.35">
      <c r="A434" t="s">
        <v>1126</v>
      </c>
      <c r="B434" t="s">
        <v>1126</v>
      </c>
      <c r="D434" t="s">
        <v>1333</v>
      </c>
      <c r="E434" t="s">
        <v>77</v>
      </c>
      <c r="F434" t="s">
        <v>86</v>
      </c>
      <c r="H434" s="2">
        <v>26054</v>
      </c>
      <c r="I434">
        <v>50.795345653661876</v>
      </c>
      <c r="J434" t="s">
        <v>1548</v>
      </c>
      <c r="N434" s="11">
        <v>302510552</v>
      </c>
      <c r="O434" s="2">
        <v>44607</v>
      </c>
      <c r="P434" t="s">
        <v>81</v>
      </c>
      <c r="Q434" s="2">
        <v>22640</v>
      </c>
      <c r="R434" s="3">
        <f>(Tabla1[[#This Row],[FECHA_TRASPLANTE]]-Tabla1[[#This Row],[FECHA_NAC]])/365.25</f>
        <v>60.142368240930871</v>
      </c>
      <c r="S434" t="s">
        <v>344</v>
      </c>
      <c r="U434" t="s">
        <v>1550</v>
      </c>
      <c r="V434" t="s">
        <v>1551</v>
      </c>
      <c r="W434" t="s">
        <v>82</v>
      </c>
      <c r="X434" t="s">
        <v>110</v>
      </c>
      <c r="Y434" t="s">
        <v>110</v>
      </c>
      <c r="Z434" t="s">
        <v>182</v>
      </c>
      <c r="AD434">
        <v>0</v>
      </c>
      <c r="AF434" t="s">
        <v>375</v>
      </c>
      <c r="AG434" t="s">
        <v>375</v>
      </c>
      <c r="AH434" t="s">
        <v>375</v>
      </c>
      <c r="AI434" t="s">
        <v>375</v>
      </c>
      <c r="AJ434" t="s">
        <v>375</v>
      </c>
      <c r="AM434" t="s">
        <v>106</v>
      </c>
      <c r="AN434" s="2" t="s">
        <v>762</v>
      </c>
      <c r="AO434" s="2" t="s">
        <v>762</v>
      </c>
      <c r="AQ434" t="s">
        <v>358</v>
      </c>
      <c r="AR434" s="2" t="s">
        <v>358</v>
      </c>
      <c r="AS434" s="2" t="s">
        <v>358</v>
      </c>
      <c r="AV434" s="2" t="s">
        <v>762</v>
      </c>
      <c r="AY434" t="s">
        <v>106</v>
      </c>
      <c r="AZ434"/>
      <c r="BA434" t="s">
        <v>1552</v>
      </c>
      <c r="BB434">
        <v>1.5</v>
      </c>
      <c r="BC434">
        <v>53</v>
      </c>
      <c r="BD434" t="s">
        <v>106</v>
      </c>
      <c r="BI434" t="s">
        <v>86</v>
      </c>
      <c r="BL434" t="s">
        <v>106</v>
      </c>
      <c r="BT434" s="2">
        <f>Tabla1[[#This Row],[FECHA_TRASPLANTE]]</f>
        <v>44607</v>
      </c>
      <c r="BU434">
        <f>IF(Tabla1[[#This Row],[FALLECIDO SI/NO]]="NO",0,1)</f>
        <v>0</v>
      </c>
      <c r="BV434" s="3">
        <f ca="1">IF(Tabla1[[#This Row],[FALLECIDO_COD]]=0,TODAY()-Tabla1[[#This Row],[FECHA_TRASPLANTE]],Tabla1[[#This Row],[FECHA DE DEFUNCIÓN]]-Tabla1[[#This Row],[FECHA_TRASPLANTE]])</f>
        <v>1268</v>
      </c>
      <c r="BW434" s="3">
        <f ca="1">IF(Tabla1[[#This Row],[FALLECIDO_COD]]=0,TODAY()-Tabla1[[#This Row],[FECHA_TRASPLANTE]],Tabla1[[#This Row],[FECHA DE DEFUNCIÓN]]-Tabla1[[#This Row],[FECHA_TRASPLANTE]])/30.4375</f>
        <v>41.659137577002056</v>
      </c>
      <c r="BX434" s="3">
        <f ca="1">IF(Tabla1[[#This Row],[FALLECIDO_COD]]=0,TODAY()-Tabla1[[#This Row],[FECHA_TRASPLANTE]],Tabla1[[#This Row],[FECHA DE DEFUNCIÓN]]-Tabla1[[#This Row],[FECHA_TRASPLANTE]])/365.25</f>
        <v>3.4715947980835042</v>
      </c>
      <c r="BY434"/>
      <c r="BZ434"/>
    </row>
    <row r="435" spans="1:78" hidden="1" x14ac:dyDescent="0.35">
      <c r="A435" t="s">
        <v>377</v>
      </c>
      <c r="D435" t="s">
        <v>1129</v>
      </c>
      <c r="E435" t="s">
        <v>375</v>
      </c>
      <c r="J435" t="s">
        <v>1339</v>
      </c>
      <c r="K435" t="s">
        <v>1844</v>
      </c>
      <c r="L435" t="s">
        <v>114</v>
      </c>
      <c r="M435" t="s">
        <v>269</v>
      </c>
      <c r="N435" s="11">
        <v>206960225</v>
      </c>
      <c r="O435" s="2">
        <v>44608</v>
      </c>
      <c r="P435" t="s">
        <v>90</v>
      </c>
      <c r="Q435" s="2">
        <v>33645</v>
      </c>
      <c r="R435" s="3">
        <f>(Tabla1[[#This Row],[FECHA_TRASPLANTE]]-Tabla1[[#This Row],[FECHA_NAC]])/365.25</f>
        <v>30.015058179329227</v>
      </c>
      <c r="T435"/>
      <c r="W435" t="s">
        <v>82</v>
      </c>
      <c r="X435" t="s">
        <v>115</v>
      </c>
      <c r="Y435" t="s">
        <v>197</v>
      </c>
      <c r="Z435" t="s">
        <v>715</v>
      </c>
      <c r="AM435" t="s">
        <v>106</v>
      </c>
      <c r="AO435"/>
      <c r="AV435" s="2"/>
      <c r="AZ435"/>
      <c r="BT435" s="2">
        <f>Tabla1[[#This Row],[FECHA_TRASPLANTE]]</f>
        <v>44608</v>
      </c>
      <c r="BU435">
        <f>IF(Tabla1[[#This Row],[FALLECIDO SI/NO]]="NO",0,1)</f>
        <v>0</v>
      </c>
      <c r="BV435" s="3">
        <f ca="1">IF(Tabla1[[#This Row],[FALLECIDO_COD]]=0,TODAY()-Tabla1[[#This Row],[FECHA_TRASPLANTE]],Tabla1[[#This Row],[FECHA DE DEFUNCIÓN]]-Tabla1[[#This Row],[FECHA_TRASPLANTE]])</f>
        <v>1267</v>
      </c>
      <c r="BW435" s="3">
        <f ca="1">IF(Tabla1[[#This Row],[FALLECIDO_COD]]=0,TODAY()-Tabla1[[#This Row],[FECHA_TRASPLANTE]],Tabla1[[#This Row],[FECHA DE DEFUNCIÓN]]-Tabla1[[#This Row],[FECHA_TRASPLANTE]])/30.4375</f>
        <v>41.626283367556468</v>
      </c>
      <c r="BX435" s="3">
        <f ca="1">IF(Tabla1[[#This Row],[FALLECIDO_COD]]=0,TODAY()-Tabla1[[#This Row],[FECHA_TRASPLANTE]],Tabla1[[#This Row],[FECHA DE DEFUNCIÓN]]-Tabla1[[#This Row],[FECHA_TRASPLANTE]])/365.25</f>
        <v>3.4688569472963722</v>
      </c>
      <c r="BY435"/>
      <c r="BZ435"/>
    </row>
    <row r="436" spans="1:78" hidden="1" x14ac:dyDescent="0.35">
      <c r="A436" t="s">
        <v>1125</v>
      </c>
      <c r="B436" t="s">
        <v>1125</v>
      </c>
      <c r="C436" t="s">
        <v>1334</v>
      </c>
      <c r="D436" t="s">
        <v>1129</v>
      </c>
      <c r="E436" t="s">
        <v>375</v>
      </c>
      <c r="G436" t="s">
        <v>200</v>
      </c>
      <c r="H436" s="2">
        <v>25661</v>
      </c>
      <c r="I436">
        <v>51.931553730321696</v>
      </c>
      <c r="J436" t="s">
        <v>1800</v>
      </c>
      <c r="K436" t="s">
        <v>1845</v>
      </c>
      <c r="L436" t="s">
        <v>79</v>
      </c>
      <c r="M436" t="s">
        <v>224</v>
      </c>
      <c r="N436" s="11">
        <v>116470777</v>
      </c>
      <c r="O436" s="2">
        <v>44629</v>
      </c>
      <c r="P436" t="s">
        <v>1669</v>
      </c>
      <c r="Q436" s="2">
        <v>35263</v>
      </c>
      <c r="R436" s="3">
        <f>(Tabla1[[#This Row],[FECHA_TRASPLANTE]]-Tabla1[[#This Row],[FECHA_NAC]])/365.25</f>
        <v>25.642710472279262</v>
      </c>
      <c r="S436" t="s">
        <v>200</v>
      </c>
      <c r="T436"/>
      <c r="U436" t="s">
        <v>1348</v>
      </c>
      <c r="V436" t="s">
        <v>1566</v>
      </c>
      <c r="W436" t="s">
        <v>82</v>
      </c>
      <c r="X436" t="s">
        <v>91</v>
      </c>
      <c r="Y436" t="s">
        <v>484</v>
      </c>
      <c r="Z436" t="s">
        <v>484</v>
      </c>
      <c r="AD436">
        <v>0</v>
      </c>
      <c r="AF436" t="s">
        <v>1846</v>
      </c>
      <c r="AG436" t="s">
        <v>1847</v>
      </c>
      <c r="AH436" t="s">
        <v>1334</v>
      </c>
      <c r="AI436" t="s">
        <v>1334</v>
      </c>
      <c r="AM436" t="s">
        <v>106</v>
      </c>
      <c r="AO436" t="s">
        <v>1334</v>
      </c>
      <c r="AQ436" t="s">
        <v>772</v>
      </c>
      <c r="AV436" s="2">
        <v>44629</v>
      </c>
      <c r="AY436" t="s">
        <v>86</v>
      </c>
      <c r="AZ436"/>
      <c r="BO436" t="s">
        <v>1848</v>
      </c>
      <c r="BP436" t="s">
        <v>81</v>
      </c>
      <c r="BQ436" t="s">
        <v>1849</v>
      </c>
      <c r="BR436" t="s">
        <v>1806</v>
      </c>
      <c r="BS436" t="s">
        <v>1807</v>
      </c>
      <c r="BT436" s="2">
        <f>Tabla1[[#This Row],[FECHA_TRASPLANTE]]</f>
        <v>44629</v>
      </c>
      <c r="BU436">
        <f>IF(Tabla1[[#This Row],[FALLECIDO SI/NO]]="NO",0,1)</f>
        <v>0</v>
      </c>
      <c r="BV436" s="3">
        <f ca="1">IF(Tabla1[[#This Row],[FALLECIDO_COD]]=0,TODAY()-Tabla1[[#This Row],[FECHA_TRASPLANTE]],Tabla1[[#This Row],[FECHA DE DEFUNCIÓN]]-Tabla1[[#This Row],[FECHA_TRASPLANTE]])</f>
        <v>1246</v>
      </c>
      <c r="BW436" s="3">
        <f ca="1">IF(Tabla1[[#This Row],[FALLECIDO_COD]]=0,TODAY()-Tabla1[[#This Row],[FECHA_TRASPLANTE]],Tabla1[[#This Row],[FECHA DE DEFUNCIÓN]]-Tabla1[[#This Row],[FECHA_TRASPLANTE]])/30.4375</f>
        <v>40.936344969199176</v>
      </c>
      <c r="BX436" s="3">
        <f ca="1">IF(Tabla1[[#This Row],[FALLECIDO_COD]]=0,TODAY()-Tabla1[[#This Row],[FECHA_TRASPLANTE]],Tabla1[[#This Row],[FECHA DE DEFUNCIÓN]]-Tabla1[[#This Row],[FECHA_TRASPLANTE]])/365.25</f>
        <v>3.4113620807665983</v>
      </c>
      <c r="BY436"/>
      <c r="BZ436"/>
    </row>
    <row r="437" spans="1:78" hidden="1" x14ac:dyDescent="0.35">
      <c r="A437" t="s">
        <v>1126</v>
      </c>
      <c r="B437" t="s">
        <v>1126</v>
      </c>
      <c r="D437" t="s">
        <v>1333</v>
      </c>
      <c r="E437" t="s">
        <v>77</v>
      </c>
      <c r="F437" t="s">
        <v>86</v>
      </c>
      <c r="G437" t="s">
        <v>210</v>
      </c>
      <c r="H437" s="2">
        <v>22073</v>
      </c>
      <c r="I437">
        <v>61.768651608487339</v>
      </c>
      <c r="J437" t="s">
        <v>1548</v>
      </c>
      <c r="N437" s="11">
        <v>700670624</v>
      </c>
      <c r="O437" s="2">
        <v>44634</v>
      </c>
      <c r="P437" t="s">
        <v>81</v>
      </c>
      <c r="Q437" s="2">
        <v>22031</v>
      </c>
      <c r="R437" s="3">
        <f>(Tabla1[[#This Row],[FECHA_TRASPLANTE]]-Tabla1[[#This Row],[FECHA_NAC]])/365.25</f>
        <v>61.883641341546884</v>
      </c>
      <c r="S437" t="s">
        <v>210</v>
      </c>
      <c r="U437" t="s">
        <v>1550</v>
      </c>
      <c r="V437" t="s">
        <v>1566</v>
      </c>
      <c r="W437" t="s">
        <v>82</v>
      </c>
      <c r="X437" t="s">
        <v>110</v>
      </c>
      <c r="Y437" t="s">
        <v>110</v>
      </c>
      <c r="Z437" t="s">
        <v>867</v>
      </c>
      <c r="AD437">
        <v>0</v>
      </c>
      <c r="AF437" t="s">
        <v>375</v>
      </c>
      <c r="AG437" t="s">
        <v>375</v>
      </c>
      <c r="AH437" t="s">
        <v>375</v>
      </c>
      <c r="AI437" t="s">
        <v>375</v>
      </c>
      <c r="AJ437" t="s">
        <v>770</v>
      </c>
      <c r="AM437" t="s">
        <v>86</v>
      </c>
      <c r="AN437" s="2">
        <v>45135</v>
      </c>
      <c r="AO437" s="2" t="s">
        <v>1850</v>
      </c>
      <c r="AP437" t="s">
        <v>86</v>
      </c>
      <c r="AQ437" t="s">
        <v>358</v>
      </c>
      <c r="AR437" s="2" t="s">
        <v>772</v>
      </c>
      <c r="AS437" s="2" t="s">
        <v>772</v>
      </c>
      <c r="AV437" s="2">
        <v>44713</v>
      </c>
      <c r="AW437" t="s">
        <v>1851</v>
      </c>
      <c r="AX437" t="s">
        <v>1569</v>
      </c>
      <c r="AY437" t="s">
        <v>106</v>
      </c>
      <c r="BA437" t="s">
        <v>1552</v>
      </c>
      <c r="BB437">
        <v>8</v>
      </c>
      <c r="BC437" t="s">
        <v>762</v>
      </c>
      <c r="BD437" t="s">
        <v>106</v>
      </c>
      <c r="BI437" t="s">
        <v>106</v>
      </c>
      <c r="BL437" t="s">
        <v>106</v>
      </c>
      <c r="BT437" s="2">
        <f>Tabla1[[#This Row],[FECHA_TRASPLANTE]]</f>
        <v>44634</v>
      </c>
      <c r="BU437">
        <f>IF(Tabla1[[#This Row],[FALLECIDO SI/NO]]="NO",0,1)</f>
        <v>1</v>
      </c>
      <c r="BV437" s="3">
        <f ca="1">IF(Tabla1[[#This Row],[FALLECIDO_COD]]=0,TODAY()-Tabla1[[#This Row],[FECHA_TRASPLANTE]],Tabla1[[#This Row],[FECHA DE DEFUNCIÓN]]-Tabla1[[#This Row],[FECHA_TRASPLANTE]])</f>
        <v>501</v>
      </c>
      <c r="BW437" s="3">
        <f ca="1">IF(Tabla1[[#This Row],[FALLECIDO_COD]]=0,TODAY()-Tabla1[[#This Row],[FECHA_TRASPLANTE]],Tabla1[[#This Row],[FECHA DE DEFUNCIÓN]]-Tabla1[[#This Row],[FECHA_TRASPLANTE]])/30.4375</f>
        <v>16.459958932238195</v>
      </c>
      <c r="BX437" s="3">
        <f ca="1">IF(Tabla1[[#This Row],[FALLECIDO_COD]]=0,TODAY()-Tabla1[[#This Row],[FECHA_TRASPLANTE]],Tabla1[[#This Row],[FECHA DE DEFUNCIÓN]]-Tabla1[[#This Row],[FECHA_TRASPLANTE]])/365.25</f>
        <v>1.3716632443531827</v>
      </c>
      <c r="BY437"/>
      <c r="BZ437"/>
    </row>
    <row r="438" spans="1:78" hidden="1" x14ac:dyDescent="0.35">
      <c r="A438" t="s">
        <v>1125</v>
      </c>
      <c r="B438" t="s">
        <v>1125</v>
      </c>
      <c r="C438" t="s">
        <v>1334</v>
      </c>
      <c r="D438" t="s">
        <v>1129</v>
      </c>
      <c r="E438" t="s">
        <v>375</v>
      </c>
      <c r="G438" t="s">
        <v>200</v>
      </c>
      <c r="H438" s="2">
        <v>28009</v>
      </c>
      <c r="I438">
        <v>45.541409993155376</v>
      </c>
      <c r="J438" t="s">
        <v>1800</v>
      </c>
      <c r="K438" t="s">
        <v>1852</v>
      </c>
      <c r="L438" t="s">
        <v>1464</v>
      </c>
      <c r="M438" t="s">
        <v>921</v>
      </c>
      <c r="N438" s="11">
        <v>304110768</v>
      </c>
      <c r="O438" s="2">
        <v>44643</v>
      </c>
      <c r="P438" t="s">
        <v>81</v>
      </c>
      <c r="Q438" s="2">
        <v>27180</v>
      </c>
      <c r="R438" s="3">
        <f>(Tabla1[[#This Row],[FECHA_TRASPLANTE]]-Tabla1[[#This Row],[FECHA_NAC]])/365.25</f>
        <v>47.811088295687888</v>
      </c>
      <c r="S438" t="s">
        <v>200</v>
      </c>
      <c r="T438"/>
      <c r="U438" t="s">
        <v>1348</v>
      </c>
      <c r="V438" t="s">
        <v>1566</v>
      </c>
      <c r="W438" t="s">
        <v>82</v>
      </c>
      <c r="X438" t="s">
        <v>91</v>
      </c>
      <c r="Y438" t="s">
        <v>553</v>
      </c>
      <c r="Z438" t="s">
        <v>553</v>
      </c>
      <c r="AD438">
        <v>0</v>
      </c>
      <c r="AF438" t="s">
        <v>816</v>
      </c>
      <c r="AG438" t="s">
        <v>1803</v>
      </c>
      <c r="AH438" t="s">
        <v>1803</v>
      </c>
      <c r="AI438" t="s">
        <v>1803</v>
      </c>
      <c r="AM438" t="s">
        <v>106</v>
      </c>
      <c r="AO438" t="s">
        <v>1334</v>
      </c>
      <c r="AQ438" t="s">
        <v>358</v>
      </c>
      <c r="AV438" s="2" t="s">
        <v>1334</v>
      </c>
      <c r="AY438" t="s">
        <v>106</v>
      </c>
      <c r="AZ438"/>
      <c r="BO438" t="s">
        <v>1853</v>
      </c>
      <c r="BP438" t="s">
        <v>90</v>
      </c>
      <c r="BQ438" t="s">
        <v>1849</v>
      </c>
      <c r="BR438" t="s">
        <v>1854</v>
      </c>
      <c r="BS438" t="s">
        <v>1855</v>
      </c>
      <c r="BT438" s="2">
        <f>Tabla1[[#This Row],[FECHA_TRASPLANTE]]</f>
        <v>44643</v>
      </c>
      <c r="BU438">
        <f>IF(Tabla1[[#This Row],[FALLECIDO SI/NO]]="NO",0,1)</f>
        <v>0</v>
      </c>
      <c r="BV438" s="3">
        <f ca="1">IF(Tabla1[[#This Row],[FALLECIDO_COD]]=0,TODAY()-Tabla1[[#This Row],[FECHA_TRASPLANTE]],Tabla1[[#This Row],[FECHA DE DEFUNCIÓN]]-Tabla1[[#This Row],[FECHA_TRASPLANTE]])</f>
        <v>1232</v>
      </c>
      <c r="BW438" s="3">
        <f ca="1">IF(Tabla1[[#This Row],[FALLECIDO_COD]]=0,TODAY()-Tabla1[[#This Row],[FECHA_TRASPLANTE]],Tabla1[[#This Row],[FECHA DE DEFUNCIÓN]]-Tabla1[[#This Row],[FECHA_TRASPLANTE]])/30.4375</f>
        <v>40.476386036960989</v>
      </c>
      <c r="BX438" s="3">
        <f ca="1">IF(Tabla1[[#This Row],[FALLECIDO_COD]]=0,TODAY()-Tabla1[[#This Row],[FECHA_TRASPLANTE]],Tabla1[[#This Row],[FECHA DE DEFUNCIÓN]]-Tabla1[[#This Row],[FECHA_TRASPLANTE]])/365.25</f>
        <v>3.3730321697467489</v>
      </c>
      <c r="BY438"/>
      <c r="BZ438"/>
    </row>
    <row r="439" spans="1:78" hidden="1" x14ac:dyDescent="0.35">
      <c r="A439" t="s">
        <v>1126</v>
      </c>
      <c r="B439" t="s">
        <v>1126</v>
      </c>
      <c r="D439" t="s">
        <v>1333</v>
      </c>
      <c r="E439" t="s">
        <v>375</v>
      </c>
      <c r="F439" t="s">
        <v>106</v>
      </c>
      <c r="G439" t="s">
        <v>200</v>
      </c>
      <c r="H439" s="2">
        <v>29684</v>
      </c>
      <c r="I439">
        <v>40.969199178644764</v>
      </c>
      <c r="J439" t="s">
        <v>746</v>
      </c>
      <c r="N439" s="11">
        <v>801450691</v>
      </c>
      <c r="O439" s="2">
        <v>44648</v>
      </c>
      <c r="P439" t="s">
        <v>1669</v>
      </c>
      <c r="Q439" s="2">
        <v>37751</v>
      </c>
      <c r="R439" s="3">
        <f>(Tabla1[[#This Row],[FECHA_TRASPLANTE]]-Tabla1[[#This Row],[FECHA_NAC]])/365.25</f>
        <v>18.882956878850102</v>
      </c>
      <c r="S439" t="s">
        <v>200</v>
      </c>
      <c r="U439" t="s">
        <v>1856</v>
      </c>
      <c r="V439" t="s">
        <v>1566</v>
      </c>
      <c r="W439" t="s">
        <v>146</v>
      </c>
      <c r="X439" t="s">
        <v>110</v>
      </c>
      <c r="Y439" t="s">
        <v>196</v>
      </c>
      <c r="Z439" t="s">
        <v>702</v>
      </c>
      <c r="AD439">
        <v>0</v>
      </c>
      <c r="AF439" t="s">
        <v>375</v>
      </c>
      <c r="AG439" t="s">
        <v>375</v>
      </c>
      <c r="AH439" t="s">
        <v>375</v>
      </c>
      <c r="AI439" t="s">
        <v>375</v>
      </c>
      <c r="AJ439" t="s">
        <v>375</v>
      </c>
      <c r="AM439" t="s">
        <v>106</v>
      </c>
      <c r="AN439" s="2" t="s">
        <v>762</v>
      </c>
      <c r="AO439" s="2" t="s">
        <v>762</v>
      </c>
      <c r="AQ439" t="s">
        <v>358</v>
      </c>
      <c r="AR439" s="2" t="s">
        <v>358</v>
      </c>
      <c r="AS439" s="2" t="s">
        <v>358</v>
      </c>
      <c r="AV439" s="2" t="s">
        <v>762</v>
      </c>
      <c r="AY439" t="s">
        <v>106</v>
      </c>
      <c r="AZ439"/>
      <c r="BA439" t="s">
        <v>1812</v>
      </c>
      <c r="BB439">
        <v>1</v>
      </c>
      <c r="BC439">
        <v>78</v>
      </c>
      <c r="BD439" t="s">
        <v>106</v>
      </c>
      <c r="BI439" t="s">
        <v>106</v>
      </c>
      <c r="BL439" t="s">
        <v>106</v>
      </c>
      <c r="BT439" s="2">
        <f>Tabla1[[#This Row],[FECHA_TRASPLANTE]]</f>
        <v>44648</v>
      </c>
      <c r="BU439">
        <f>IF(Tabla1[[#This Row],[FALLECIDO SI/NO]]="NO",0,1)</f>
        <v>0</v>
      </c>
      <c r="BV439" s="3">
        <f ca="1">IF(Tabla1[[#This Row],[FALLECIDO_COD]]=0,TODAY()-Tabla1[[#This Row],[FECHA_TRASPLANTE]],Tabla1[[#This Row],[FECHA DE DEFUNCIÓN]]-Tabla1[[#This Row],[FECHA_TRASPLANTE]])</f>
        <v>1227</v>
      </c>
      <c r="BW439" s="3">
        <f ca="1">IF(Tabla1[[#This Row],[FALLECIDO_COD]]=0,TODAY()-Tabla1[[#This Row],[FECHA_TRASPLANTE]],Tabla1[[#This Row],[FECHA DE DEFUNCIÓN]]-Tabla1[[#This Row],[FECHA_TRASPLANTE]])/30.4375</f>
        <v>40.312114989733061</v>
      </c>
      <c r="BX439" s="3">
        <f ca="1">IF(Tabla1[[#This Row],[FALLECIDO_COD]]=0,TODAY()-Tabla1[[#This Row],[FECHA_TRASPLANTE]],Tabla1[[#This Row],[FECHA DE DEFUNCIÓN]]-Tabla1[[#This Row],[FECHA_TRASPLANTE]])/365.25</f>
        <v>3.3593429158110881</v>
      </c>
      <c r="BY439"/>
      <c r="BZ439"/>
    </row>
    <row r="440" spans="1:78" hidden="1" x14ac:dyDescent="0.35">
      <c r="A440" t="s">
        <v>1126</v>
      </c>
      <c r="B440" t="s">
        <v>1126</v>
      </c>
      <c r="D440" t="s">
        <v>1333</v>
      </c>
      <c r="E440" t="s">
        <v>375</v>
      </c>
      <c r="F440" t="s">
        <v>106</v>
      </c>
      <c r="G440" t="s">
        <v>200</v>
      </c>
      <c r="H440" s="2">
        <v>34577</v>
      </c>
      <c r="I440">
        <v>27.649555099247092</v>
      </c>
      <c r="J440" t="s">
        <v>746</v>
      </c>
      <c r="N440" s="11">
        <v>112830504</v>
      </c>
      <c r="O440" s="2">
        <v>44676</v>
      </c>
      <c r="P440" t="s">
        <v>81</v>
      </c>
      <c r="Q440" s="2">
        <v>31583</v>
      </c>
      <c r="R440" s="3">
        <f>(Tabla1[[#This Row],[FECHA_TRASPLANTE]]-Tabla1[[#This Row],[FECHA_NAC]])/365.25</f>
        <v>35.846680355920604</v>
      </c>
      <c r="S440" t="s">
        <v>200</v>
      </c>
      <c r="U440" t="s">
        <v>1857</v>
      </c>
      <c r="V440" t="s">
        <v>1566</v>
      </c>
      <c r="W440" t="s">
        <v>82</v>
      </c>
      <c r="X440" t="s">
        <v>110</v>
      </c>
      <c r="Y440" t="s">
        <v>196</v>
      </c>
      <c r="Z440" t="s">
        <v>702</v>
      </c>
      <c r="AD440">
        <v>0</v>
      </c>
      <c r="AF440" t="s">
        <v>375</v>
      </c>
      <c r="AG440" t="s">
        <v>375</v>
      </c>
      <c r="AH440" t="s">
        <v>375</v>
      </c>
      <c r="AI440" t="s">
        <v>375</v>
      </c>
      <c r="AJ440" t="s">
        <v>375</v>
      </c>
      <c r="AM440" t="s">
        <v>106</v>
      </c>
      <c r="AN440" s="2" t="s">
        <v>762</v>
      </c>
      <c r="AO440" s="2" t="s">
        <v>762</v>
      </c>
      <c r="AQ440" t="s">
        <v>358</v>
      </c>
      <c r="AR440" s="2" t="s">
        <v>358</v>
      </c>
      <c r="AS440" s="2" t="s">
        <v>358</v>
      </c>
      <c r="AV440" s="2" t="s">
        <v>762</v>
      </c>
      <c r="AY440" t="s">
        <v>106</v>
      </c>
      <c r="AZ440"/>
      <c r="BA440" t="s">
        <v>1812</v>
      </c>
      <c r="BB440">
        <v>1.04</v>
      </c>
      <c r="BC440">
        <v>94</v>
      </c>
      <c r="BD440" t="s">
        <v>106</v>
      </c>
      <c r="BI440" t="s">
        <v>106</v>
      </c>
      <c r="BL440" t="s">
        <v>106</v>
      </c>
      <c r="BT440" s="2">
        <f>Tabla1[[#This Row],[FECHA_TRASPLANTE]]</f>
        <v>44676</v>
      </c>
      <c r="BU440">
        <f>IF(Tabla1[[#This Row],[FALLECIDO SI/NO]]="NO",0,1)</f>
        <v>0</v>
      </c>
      <c r="BV440" s="3">
        <f ca="1">IF(Tabla1[[#This Row],[FALLECIDO_COD]]=0,TODAY()-Tabla1[[#This Row],[FECHA_TRASPLANTE]],Tabla1[[#This Row],[FECHA DE DEFUNCIÓN]]-Tabla1[[#This Row],[FECHA_TRASPLANTE]])</f>
        <v>1199</v>
      </c>
      <c r="BW440" s="3">
        <f ca="1">IF(Tabla1[[#This Row],[FALLECIDO_COD]]=0,TODAY()-Tabla1[[#This Row],[FECHA_TRASPLANTE]],Tabla1[[#This Row],[FECHA DE DEFUNCIÓN]]-Tabla1[[#This Row],[FECHA_TRASPLANTE]])/30.4375</f>
        <v>39.392197125256672</v>
      </c>
      <c r="BX440" s="3">
        <f ca="1">IF(Tabla1[[#This Row],[FALLECIDO_COD]]=0,TODAY()-Tabla1[[#This Row],[FECHA_TRASPLANTE]],Tabla1[[#This Row],[FECHA DE DEFUNCIÓN]]-Tabla1[[#This Row],[FECHA_TRASPLANTE]])/365.25</f>
        <v>3.2826830937713893</v>
      </c>
      <c r="BY440"/>
      <c r="BZ440"/>
    </row>
    <row r="441" spans="1:78" hidden="1" x14ac:dyDescent="0.35">
      <c r="A441" t="s">
        <v>377</v>
      </c>
      <c r="D441" t="s">
        <v>1129</v>
      </c>
      <c r="E441" t="s">
        <v>375</v>
      </c>
      <c r="J441" t="s">
        <v>1197</v>
      </c>
      <c r="K441" t="s">
        <v>1858</v>
      </c>
      <c r="L441" t="s">
        <v>274</v>
      </c>
      <c r="M441" t="s">
        <v>1859</v>
      </c>
      <c r="N441" s="11">
        <v>207710805</v>
      </c>
      <c r="O441" s="2">
        <v>44678</v>
      </c>
      <c r="P441" t="s">
        <v>90</v>
      </c>
      <c r="Q441" s="2">
        <v>35702</v>
      </c>
      <c r="R441" s="3">
        <f>(Tabla1[[#This Row],[FECHA_TRASPLANTE]]-Tabla1[[#This Row],[FECHA_NAC]])/365.25</f>
        <v>24.57494866529774</v>
      </c>
      <c r="T441"/>
      <c r="W441" t="s">
        <v>82</v>
      </c>
      <c r="X441" t="s">
        <v>1860</v>
      </c>
      <c r="AM441" t="s">
        <v>106</v>
      </c>
      <c r="AO441"/>
      <c r="AV441" s="2"/>
      <c r="AZ441"/>
      <c r="BT441" s="2">
        <f>Tabla1[[#This Row],[FECHA_TRASPLANTE]]</f>
        <v>44678</v>
      </c>
      <c r="BU441">
        <f>IF(Tabla1[[#This Row],[FALLECIDO SI/NO]]="NO",0,1)</f>
        <v>0</v>
      </c>
      <c r="BV441" s="3">
        <f ca="1">IF(Tabla1[[#This Row],[FALLECIDO_COD]]=0,TODAY()-Tabla1[[#This Row],[FECHA_TRASPLANTE]],Tabla1[[#This Row],[FECHA DE DEFUNCIÓN]]-Tabla1[[#This Row],[FECHA_TRASPLANTE]])</f>
        <v>1197</v>
      </c>
      <c r="BW441" s="3">
        <f ca="1">IF(Tabla1[[#This Row],[FALLECIDO_COD]]=0,TODAY()-Tabla1[[#This Row],[FECHA_TRASPLANTE]],Tabla1[[#This Row],[FECHA DE DEFUNCIÓN]]-Tabla1[[#This Row],[FECHA_TRASPLANTE]])/30.4375</f>
        <v>39.326488706365502</v>
      </c>
      <c r="BX441" s="3">
        <f ca="1">IF(Tabla1[[#This Row],[FALLECIDO_COD]]=0,TODAY()-Tabla1[[#This Row],[FECHA_TRASPLANTE]],Tabla1[[#This Row],[FECHA DE DEFUNCIÓN]]-Tabla1[[#This Row],[FECHA_TRASPLANTE]])/365.25</f>
        <v>3.2772073921971252</v>
      </c>
      <c r="BY441"/>
      <c r="BZ441"/>
    </row>
    <row r="442" spans="1:78" hidden="1" x14ac:dyDescent="0.35">
      <c r="A442" t="s">
        <v>1125</v>
      </c>
      <c r="B442" t="s">
        <v>1125</v>
      </c>
      <c r="C442" t="s">
        <v>1334</v>
      </c>
      <c r="D442" t="s">
        <v>1129</v>
      </c>
      <c r="E442" t="s">
        <v>375</v>
      </c>
      <c r="G442" t="s">
        <v>200</v>
      </c>
      <c r="H442" s="2">
        <v>24608</v>
      </c>
      <c r="I442">
        <v>54.967830253251201</v>
      </c>
      <c r="J442" t="s">
        <v>1800</v>
      </c>
      <c r="K442" t="s">
        <v>1861</v>
      </c>
      <c r="L442" t="s">
        <v>626</v>
      </c>
      <c r="M442" t="s">
        <v>141</v>
      </c>
      <c r="N442" s="11">
        <v>111660770</v>
      </c>
      <c r="O442" s="2">
        <v>44685</v>
      </c>
      <c r="P442" t="s">
        <v>81</v>
      </c>
      <c r="Q442" s="2">
        <v>40663</v>
      </c>
      <c r="R442" s="3">
        <f>(Tabla1[[#This Row],[FECHA_TRASPLANTE]]-Tabla1[[#This Row],[FECHA_NAC]])/365.25</f>
        <v>11.011635865845312</v>
      </c>
      <c r="S442" t="s">
        <v>200</v>
      </c>
      <c r="T442"/>
      <c r="U442" t="s">
        <v>1348</v>
      </c>
      <c r="V442" t="s">
        <v>1551</v>
      </c>
      <c r="W442" t="s">
        <v>82</v>
      </c>
      <c r="X442" t="s">
        <v>91</v>
      </c>
      <c r="Y442" t="s">
        <v>484</v>
      </c>
      <c r="Z442" t="s">
        <v>484</v>
      </c>
      <c r="AD442">
        <v>0</v>
      </c>
      <c r="AF442" t="s">
        <v>1846</v>
      </c>
      <c r="AG442" t="s">
        <v>1847</v>
      </c>
      <c r="AH442" t="s">
        <v>1334</v>
      </c>
      <c r="AI442" t="s">
        <v>1334</v>
      </c>
      <c r="AM442" t="s">
        <v>106</v>
      </c>
      <c r="AO442" t="s">
        <v>1334</v>
      </c>
      <c r="AQ442" t="s">
        <v>772</v>
      </c>
      <c r="AV442" s="2">
        <v>44685</v>
      </c>
      <c r="AY442" t="s">
        <v>86</v>
      </c>
      <c r="AZ442"/>
      <c r="BO442" t="s">
        <v>1862</v>
      </c>
      <c r="BP442" t="s">
        <v>90</v>
      </c>
      <c r="BQ442" t="s">
        <v>1849</v>
      </c>
      <c r="BR442" t="s">
        <v>1806</v>
      </c>
      <c r="BS442" t="s">
        <v>1807</v>
      </c>
      <c r="BT442" s="2">
        <f>Tabla1[[#This Row],[FECHA_TRASPLANTE]]</f>
        <v>44685</v>
      </c>
      <c r="BU442">
        <f>IF(Tabla1[[#This Row],[FALLECIDO SI/NO]]="NO",0,1)</f>
        <v>0</v>
      </c>
      <c r="BV442" s="3">
        <f ca="1">IF(Tabla1[[#This Row],[FALLECIDO_COD]]=0,TODAY()-Tabla1[[#This Row],[FECHA_TRASPLANTE]],Tabla1[[#This Row],[FECHA DE DEFUNCIÓN]]-Tabla1[[#This Row],[FECHA_TRASPLANTE]])</f>
        <v>1190</v>
      </c>
      <c r="BW442" s="3">
        <f ca="1">IF(Tabla1[[#This Row],[FALLECIDO_COD]]=0,TODAY()-Tabla1[[#This Row],[FECHA_TRASPLANTE]],Tabla1[[#This Row],[FECHA DE DEFUNCIÓN]]-Tabla1[[#This Row],[FECHA_TRASPLANTE]])/30.4375</f>
        <v>39.096509240246405</v>
      </c>
      <c r="BX442" s="3">
        <f ca="1">IF(Tabla1[[#This Row],[FALLECIDO_COD]]=0,TODAY()-Tabla1[[#This Row],[FECHA_TRASPLANTE]],Tabla1[[#This Row],[FECHA DE DEFUNCIÓN]]-Tabla1[[#This Row],[FECHA_TRASPLANTE]])/365.25</f>
        <v>3.2580424366872007</v>
      </c>
      <c r="BY442"/>
      <c r="BZ442"/>
    </row>
    <row r="443" spans="1:78" hidden="1" x14ac:dyDescent="0.35">
      <c r="A443" t="s">
        <v>377</v>
      </c>
      <c r="D443" t="s">
        <v>1129</v>
      </c>
      <c r="E443" t="s">
        <v>375</v>
      </c>
      <c r="J443" t="s">
        <v>1180</v>
      </c>
      <c r="K443" t="s">
        <v>1863</v>
      </c>
      <c r="L443" t="s">
        <v>348</v>
      </c>
      <c r="M443" t="s">
        <v>145</v>
      </c>
      <c r="N443" s="11">
        <v>503020730</v>
      </c>
      <c r="O443" s="2">
        <v>44699</v>
      </c>
      <c r="P443" t="s">
        <v>81</v>
      </c>
      <c r="Q443" s="2">
        <v>28463</v>
      </c>
      <c r="R443" s="3">
        <f>(Tabla1[[#This Row],[FECHA_TRASPLANTE]]-Tabla1[[#This Row],[FECHA_NAC]])/365.25</f>
        <v>44.451745379876797</v>
      </c>
      <c r="T443"/>
      <c r="W443" t="s">
        <v>82</v>
      </c>
      <c r="X443" t="s">
        <v>125</v>
      </c>
      <c r="Y443" t="s">
        <v>423</v>
      </c>
      <c r="Z443" t="s">
        <v>1864</v>
      </c>
      <c r="AM443" t="s">
        <v>106</v>
      </c>
      <c r="AO443"/>
      <c r="AV443" s="2"/>
      <c r="AZ443"/>
      <c r="BT443" s="2">
        <f>Tabla1[[#This Row],[FECHA_TRASPLANTE]]</f>
        <v>44699</v>
      </c>
      <c r="BU443">
        <f>IF(Tabla1[[#This Row],[FALLECIDO SI/NO]]="NO",0,1)</f>
        <v>0</v>
      </c>
      <c r="BV443" s="3">
        <f ca="1">IF(Tabla1[[#This Row],[FALLECIDO_COD]]=0,TODAY()-Tabla1[[#This Row],[FECHA_TRASPLANTE]],Tabla1[[#This Row],[FECHA DE DEFUNCIÓN]]-Tabla1[[#This Row],[FECHA_TRASPLANTE]])</f>
        <v>1176</v>
      </c>
      <c r="BW443" s="3">
        <f ca="1">IF(Tabla1[[#This Row],[FALLECIDO_COD]]=0,TODAY()-Tabla1[[#This Row],[FECHA_TRASPLANTE]],Tabla1[[#This Row],[FECHA DE DEFUNCIÓN]]-Tabla1[[#This Row],[FECHA_TRASPLANTE]])/30.4375</f>
        <v>38.636550308008211</v>
      </c>
      <c r="BX443" s="3">
        <f ca="1">IF(Tabla1[[#This Row],[FALLECIDO_COD]]=0,TODAY()-Tabla1[[#This Row],[FECHA_TRASPLANTE]],Tabla1[[#This Row],[FECHA DE DEFUNCIÓN]]-Tabla1[[#This Row],[FECHA_TRASPLANTE]])/365.25</f>
        <v>3.2197125256673513</v>
      </c>
      <c r="BY443"/>
      <c r="BZ443"/>
    </row>
    <row r="444" spans="1:78" hidden="1" x14ac:dyDescent="0.35">
      <c r="A444" t="s">
        <v>75</v>
      </c>
      <c r="B444" t="s">
        <v>1828</v>
      </c>
      <c r="C444" t="s">
        <v>1865</v>
      </c>
      <c r="D444" t="s">
        <v>1129</v>
      </c>
      <c r="E444" t="s">
        <v>77</v>
      </c>
      <c r="H444" s="2">
        <v>27077</v>
      </c>
      <c r="I444">
        <v>48</v>
      </c>
      <c r="K444" t="s">
        <v>1866</v>
      </c>
      <c r="L444" t="s">
        <v>239</v>
      </c>
      <c r="M444" t="s">
        <v>239</v>
      </c>
      <c r="N444" s="11">
        <v>603660221</v>
      </c>
      <c r="O444" s="16">
        <v>44700</v>
      </c>
      <c r="P444" t="s">
        <v>90</v>
      </c>
      <c r="Q444" s="2">
        <v>31994</v>
      </c>
      <c r="R444" s="3">
        <f>(Tabla1[[#This Row],[FECHA_TRASPLANTE]]-Tabla1[[#This Row],[FECHA_NAC]])/365.25</f>
        <v>34.787132101300479</v>
      </c>
      <c r="S444" t="s">
        <v>210</v>
      </c>
      <c r="T444"/>
      <c r="U444" t="s">
        <v>1830</v>
      </c>
      <c r="V444" t="s">
        <v>1824</v>
      </c>
      <c r="W444" t="s">
        <v>82</v>
      </c>
      <c r="X444" t="s">
        <v>91</v>
      </c>
      <c r="Y444" t="s">
        <v>157</v>
      </c>
      <c r="Z444" t="s">
        <v>527</v>
      </c>
      <c r="AD444">
        <v>6</v>
      </c>
      <c r="AF444" t="s">
        <v>978</v>
      </c>
      <c r="AG444" t="s">
        <v>978</v>
      </c>
      <c r="AH444" t="s">
        <v>978</v>
      </c>
      <c r="AI444" t="s">
        <v>978</v>
      </c>
      <c r="AJ444" t="s">
        <v>978</v>
      </c>
      <c r="AM444" t="s">
        <v>106</v>
      </c>
      <c r="AO444"/>
      <c r="AQ444" t="s">
        <v>358</v>
      </c>
      <c r="AV444" s="2"/>
      <c r="AY444" t="s">
        <v>106</v>
      </c>
      <c r="AZ444"/>
      <c r="BJ444" s="2"/>
      <c r="BO444">
        <v>109080585</v>
      </c>
      <c r="BP444" t="s">
        <v>90</v>
      </c>
      <c r="BQ444" t="s">
        <v>82</v>
      </c>
      <c r="BT444" s="2">
        <f>Tabla1[[#This Row],[FECHA_TRASPLANTE]]</f>
        <v>44700</v>
      </c>
      <c r="BU444">
        <f>IF(Tabla1[[#This Row],[FALLECIDO SI/NO]]="NO",0,1)</f>
        <v>0</v>
      </c>
      <c r="BV444" s="3">
        <f ca="1">IF(Tabla1[[#This Row],[FALLECIDO_COD]]=0,TODAY()-Tabla1[[#This Row],[FECHA_TRASPLANTE]],Tabla1[[#This Row],[FECHA DE DEFUNCIÓN]]-Tabla1[[#This Row],[FECHA_TRASPLANTE]])</f>
        <v>1175</v>
      </c>
      <c r="BW444" s="3">
        <f ca="1">IF(Tabla1[[#This Row],[FALLECIDO_COD]]=0,TODAY()-Tabla1[[#This Row],[FECHA_TRASPLANTE]],Tabla1[[#This Row],[FECHA DE DEFUNCIÓN]]-Tabla1[[#This Row],[FECHA_TRASPLANTE]])/30.4375</f>
        <v>38.603696098562629</v>
      </c>
      <c r="BX444" s="3">
        <f ca="1">IF(Tabla1[[#This Row],[FALLECIDO_COD]]=0,TODAY()-Tabla1[[#This Row],[FECHA_TRASPLANTE]],Tabla1[[#This Row],[FECHA DE DEFUNCIÓN]]-Tabla1[[#This Row],[FECHA_TRASPLANTE]])/365.25</f>
        <v>3.2169746748802188</v>
      </c>
      <c r="BY444"/>
      <c r="BZ444"/>
    </row>
    <row r="445" spans="1:78" hidden="1" x14ac:dyDescent="0.35">
      <c r="A445" t="s">
        <v>1125</v>
      </c>
      <c r="B445" t="s">
        <v>1125</v>
      </c>
      <c r="C445" t="s">
        <v>1867</v>
      </c>
      <c r="D445" t="s">
        <v>1129</v>
      </c>
      <c r="E445" t="s">
        <v>77</v>
      </c>
      <c r="F445" t="s">
        <v>106</v>
      </c>
      <c r="G445" t="s">
        <v>210</v>
      </c>
      <c r="H445" s="2">
        <v>27077</v>
      </c>
      <c r="I445">
        <v>48.249144421629019</v>
      </c>
      <c r="K445" t="s">
        <v>1868</v>
      </c>
      <c r="L445" t="s">
        <v>149</v>
      </c>
      <c r="M445" t="s">
        <v>909</v>
      </c>
      <c r="N445" s="11">
        <v>601220067</v>
      </c>
      <c r="O445" s="2">
        <v>44700</v>
      </c>
      <c r="R445" s="3">
        <f>(Tabla1[[#This Row],[FECHA_TRASPLANTE]]-Tabla1[[#This Row],[FECHA_NAC]])/365.25</f>
        <v>122.38193018480493</v>
      </c>
      <c r="T445"/>
      <c r="U445" t="s">
        <v>1348</v>
      </c>
      <c r="W445" t="s">
        <v>82</v>
      </c>
      <c r="X445" t="s">
        <v>91</v>
      </c>
      <c r="Y445" t="s">
        <v>215</v>
      </c>
      <c r="Z445" t="s">
        <v>215</v>
      </c>
      <c r="AM445" t="s">
        <v>106</v>
      </c>
      <c r="AO445"/>
      <c r="AV445" s="2"/>
      <c r="AZ445"/>
      <c r="BT445" s="2">
        <f>Tabla1[[#This Row],[FECHA_TRASPLANTE]]</f>
        <v>44700</v>
      </c>
      <c r="BU445">
        <f>IF(Tabla1[[#This Row],[FALLECIDO SI/NO]]="NO",0,1)</f>
        <v>0</v>
      </c>
      <c r="BV445" s="3">
        <f ca="1">IF(Tabla1[[#This Row],[FALLECIDO_COD]]=0,TODAY()-Tabla1[[#This Row],[FECHA_TRASPLANTE]],Tabla1[[#This Row],[FECHA DE DEFUNCIÓN]]-Tabla1[[#This Row],[FECHA_TRASPLANTE]])</f>
        <v>1175</v>
      </c>
      <c r="BW445" s="3">
        <f ca="1">IF(Tabla1[[#This Row],[FALLECIDO_COD]]=0,TODAY()-Tabla1[[#This Row],[FECHA_TRASPLANTE]],Tabla1[[#This Row],[FECHA DE DEFUNCIÓN]]-Tabla1[[#This Row],[FECHA_TRASPLANTE]])/30.4375</f>
        <v>38.603696098562629</v>
      </c>
      <c r="BX445" s="3">
        <f ca="1">IF(Tabla1[[#This Row],[FALLECIDO_COD]]=0,TODAY()-Tabla1[[#This Row],[FECHA_TRASPLANTE]],Tabla1[[#This Row],[FECHA DE DEFUNCIÓN]]-Tabla1[[#This Row],[FECHA_TRASPLANTE]])/365.25</f>
        <v>3.2169746748802188</v>
      </c>
      <c r="BY445"/>
      <c r="BZ445"/>
    </row>
    <row r="446" spans="1:78" hidden="1" x14ac:dyDescent="0.35">
      <c r="A446" t="s">
        <v>377</v>
      </c>
      <c r="D446" t="s">
        <v>1129</v>
      </c>
      <c r="E446" t="s">
        <v>77</v>
      </c>
      <c r="J446" t="s">
        <v>1869</v>
      </c>
      <c r="K446" t="s">
        <v>1870</v>
      </c>
      <c r="L446" t="s">
        <v>1158</v>
      </c>
      <c r="M446" t="s">
        <v>178</v>
      </c>
      <c r="N446" s="11">
        <v>501950396</v>
      </c>
      <c r="O446" s="2">
        <v>44700</v>
      </c>
      <c r="P446" t="s">
        <v>81</v>
      </c>
      <c r="Q446" s="2">
        <v>22499</v>
      </c>
      <c r="R446" s="3">
        <f>(Tabla1[[#This Row],[FECHA_TRASPLANTE]]-Tabla1[[#This Row],[FECHA_NAC]])/365.25</f>
        <v>60.78302532511978</v>
      </c>
      <c r="T446"/>
      <c r="W446" t="s">
        <v>82</v>
      </c>
      <c r="X446" t="s">
        <v>125</v>
      </c>
      <c r="Y446" t="s">
        <v>667</v>
      </c>
      <c r="Z446" t="s">
        <v>667</v>
      </c>
      <c r="AM446" t="s">
        <v>86</v>
      </c>
      <c r="AN446" s="2">
        <v>44706</v>
      </c>
      <c r="AO446"/>
      <c r="AV446" s="2"/>
      <c r="BT446" s="2">
        <f>Tabla1[[#This Row],[FECHA_TRASPLANTE]]</f>
        <v>44700</v>
      </c>
      <c r="BU446">
        <f>IF(Tabla1[[#This Row],[FALLECIDO SI/NO]]="NO",0,1)</f>
        <v>1</v>
      </c>
      <c r="BV446" s="3">
        <f ca="1">IF(Tabla1[[#This Row],[FALLECIDO_COD]]=0,TODAY()-Tabla1[[#This Row],[FECHA_TRASPLANTE]],Tabla1[[#This Row],[FECHA DE DEFUNCIÓN]]-Tabla1[[#This Row],[FECHA_TRASPLANTE]])</f>
        <v>6</v>
      </c>
      <c r="BW446" s="3">
        <f ca="1">IF(Tabla1[[#This Row],[FALLECIDO_COD]]=0,TODAY()-Tabla1[[#This Row],[FECHA_TRASPLANTE]],Tabla1[[#This Row],[FECHA DE DEFUNCIÓN]]-Tabla1[[#This Row],[FECHA_TRASPLANTE]])/30.4375</f>
        <v>0.1971252566735113</v>
      </c>
      <c r="BX446" s="3">
        <f ca="1">IF(Tabla1[[#This Row],[FALLECIDO_COD]]=0,TODAY()-Tabla1[[#This Row],[FECHA_TRASPLANTE]],Tabla1[[#This Row],[FECHA DE DEFUNCIÓN]]-Tabla1[[#This Row],[FECHA_TRASPLANTE]])/365.25</f>
        <v>1.6427104722792608E-2</v>
      </c>
      <c r="BY446"/>
      <c r="BZ446"/>
    </row>
    <row r="447" spans="1:78" hidden="1" x14ac:dyDescent="0.35">
      <c r="A447" t="s">
        <v>377</v>
      </c>
      <c r="D447" t="s">
        <v>1129</v>
      </c>
      <c r="E447" t="s">
        <v>375</v>
      </c>
      <c r="J447" t="s">
        <v>1871</v>
      </c>
      <c r="K447" t="s">
        <v>1872</v>
      </c>
      <c r="L447" t="s">
        <v>188</v>
      </c>
      <c r="M447" t="s">
        <v>109</v>
      </c>
      <c r="N447" s="11">
        <v>603950850</v>
      </c>
      <c r="O447" s="2">
        <v>44706</v>
      </c>
      <c r="P447" t="s">
        <v>90</v>
      </c>
      <c r="Q447" s="2">
        <v>33452</v>
      </c>
      <c r="R447" s="3">
        <f>(Tabla1[[#This Row],[FECHA_TRASPLANTE]]-Tabla1[[#This Row],[FECHA_NAC]])/365.25</f>
        <v>30.811772758384667</v>
      </c>
      <c r="T447"/>
      <c r="W447" t="s">
        <v>82</v>
      </c>
      <c r="X447" t="s">
        <v>115</v>
      </c>
      <c r="Y447" t="s">
        <v>1059</v>
      </c>
      <c r="Z447" t="s">
        <v>1059</v>
      </c>
      <c r="AM447" t="s">
        <v>106</v>
      </c>
      <c r="AO447"/>
      <c r="AV447" s="2"/>
      <c r="AZ447"/>
      <c r="BT447" s="2">
        <f>Tabla1[[#This Row],[FECHA_TRASPLANTE]]</f>
        <v>44706</v>
      </c>
      <c r="BU447">
        <f>IF(Tabla1[[#This Row],[FALLECIDO SI/NO]]="NO",0,1)</f>
        <v>0</v>
      </c>
      <c r="BV447" s="3">
        <f ca="1">IF(Tabla1[[#This Row],[FALLECIDO_COD]]=0,TODAY()-Tabla1[[#This Row],[FECHA_TRASPLANTE]],Tabla1[[#This Row],[FECHA DE DEFUNCIÓN]]-Tabla1[[#This Row],[FECHA_TRASPLANTE]])</f>
        <v>1169</v>
      </c>
      <c r="BW447" s="3">
        <f ca="1">IF(Tabla1[[#This Row],[FALLECIDO_COD]]=0,TODAY()-Tabla1[[#This Row],[FECHA_TRASPLANTE]],Tabla1[[#This Row],[FECHA DE DEFUNCIÓN]]-Tabla1[[#This Row],[FECHA_TRASPLANTE]])/30.4375</f>
        <v>38.406570841889121</v>
      </c>
      <c r="BX447" s="3">
        <f ca="1">IF(Tabla1[[#This Row],[FALLECIDO_COD]]=0,TODAY()-Tabla1[[#This Row],[FECHA_TRASPLANTE]],Tabla1[[#This Row],[FECHA DE DEFUNCIÓN]]-Tabla1[[#This Row],[FECHA_TRASPLANTE]])/365.25</f>
        <v>3.2005475701574264</v>
      </c>
      <c r="BY447"/>
      <c r="BZ447"/>
    </row>
    <row r="448" spans="1:78" hidden="1" x14ac:dyDescent="0.35">
      <c r="A448" t="s">
        <v>75</v>
      </c>
      <c r="B448" t="s">
        <v>1828</v>
      </c>
      <c r="C448" t="s">
        <v>1873</v>
      </c>
      <c r="D448" t="s">
        <v>1129</v>
      </c>
      <c r="E448" t="s">
        <v>77</v>
      </c>
      <c r="H448" s="2">
        <v>32731</v>
      </c>
      <c r="I448">
        <v>32</v>
      </c>
      <c r="K448" t="s">
        <v>1874</v>
      </c>
      <c r="L448" t="s">
        <v>94</v>
      </c>
      <c r="M448" t="s">
        <v>800</v>
      </c>
      <c r="N448" s="11">
        <v>114430591</v>
      </c>
      <c r="O448" s="16">
        <v>44713</v>
      </c>
      <c r="P448" t="s">
        <v>81</v>
      </c>
      <c r="Q448" s="2">
        <v>33141</v>
      </c>
      <c r="R448" s="3">
        <f>(Tabla1[[#This Row],[FECHA_TRASPLANTE]]-Tabla1[[#This Row],[FECHA_NAC]])/365.25</f>
        <v>31.682409308692677</v>
      </c>
      <c r="S448" t="s">
        <v>200</v>
      </c>
      <c r="T448"/>
      <c r="U448" t="s">
        <v>1830</v>
      </c>
      <c r="V448" t="s">
        <v>1824</v>
      </c>
      <c r="W448" t="s">
        <v>82</v>
      </c>
      <c r="X448" t="s">
        <v>91</v>
      </c>
      <c r="Y448" t="s">
        <v>157</v>
      </c>
      <c r="Z448" t="s">
        <v>777</v>
      </c>
      <c r="AD448">
        <v>6</v>
      </c>
      <c r="AF448" t="s">
        <v>978</v>
      </c>
      <c r="AG448" t="s">
        <v>978</v>
      </c>
      <c r="AH448" t="s">
        <v>978</v>
      </c>
      <c r="AI448" t="s">
        <v>978</v>
      </c>
      <c r="AJ448" t="s">
        <v>978</v>
      </c>
      <c r="AM448" t="s">
        <v>106</v>
      </c>
      <c r="AO448"/>
      <c r="AQ448" t="s">
        <v>358</v>
      </c>
      <c r="AV448" s="2"/>
      <c r="AY448" t="s">
        <v>106</v>
      </c>
      <c r="AZ448"/>
      <c r="BJ448" s="2"/>
      <c r="BO448">
        <v>113990540</v>
      </c>
      <c r="BP448" t="s">
        <v>90</v>
      </c>
      <c r="BQ448" t="s">
        <v>82</v>
      </c>
      <c r="BT448" s="2">
        <f>Tabla1[[#This Row],[FECHA_TRASPLANTE]]</f>
        <v>44713</v>
      </c>
      <c r="BU448">
        <f>IF(Tabla1[[#This Row],[FALLECIDO SI/NO]]="NO",0,1)</f>
        <v>0</v>
      </c>
      <c r="BV448" s="3">
        <f ca="1">IF(Tabla1[[#This Row],[FALLECIDO_COD]]=0,TODAY()-Tabla1[[#This Row],[FECHA_TRASPLANTE]],Tabla1[[#This Row],[FECHA DE DEFUNCIÓN]]-Tabla1[[#This Row],[FECHA_TRASPLANTE]])</f>
        <v>1162</v>
      </c>
      <c r="BW448" s="3">
        <f ca="1">IF(Tabla1[[#This Row],[FALLECIDO_COD]]=0,TODAY()-Tabla1[[#This Row],[FECHA_TRASPLANTE]],Tabla1[[#This Row],[FECHA DE DEFUNCIÓN]]-Tabla1[[#This Row],[FECHA_TRASPLANTE]])/30.4375</f>
        <v>38.176591375770023</v>
      </c>
      <c r="BX448" s="3">
        <f ca="1">IF(Tabla1[[#This Row],[FALLECIDO_COD]]=0,TODAY()-Tabla1[[#This Row],[FECHA_TRASPLANTE]],Tabla1[[#This Row],[FECHA DE DEFUNCIÓN]]-Tabla1[[#This Row],[FECHA_TRASPLANTE]])/365.25</f>
        <v>3.1813826146475015</v>
      </c>
      <c r="BY448"/>
      <c r="BZ448"/>
    </row>
    <row r="449" spans="1:78" hidden="1" x14ac:dyDescent="0.35">
      <c r="A449" t="s">
        <v>376</v>
      </c>
      <c r="B449" t="s">
        <v>376</v>
      </c>
      <c r="C449" t="s">
        <v>1873</v>
      </c>
      <c r="D449" t="s">
        <v>1129</v>
      </c>
      <c r="E449" t="s">
        <v>77</v>
      </c>
      <c r="G449" t="s">
        <v>200</v>
      </c>
      <c r="H449" s="2" t="s">
        <v>1819</v>
      </c>
      <c r="I449">
        <v>32</v>
      </c>
      <c r="J449" t="s">
        <v>1820</v>
      </c>
      <c r="K449" t="s">
        <v>1875</v>
      </c>
      <c r="L449" t="s">
        <v>233</v>
      </c>
      <c r="M449" t="s">
        <v>156</v>
      </c>
      <c r="N449" s="11">
        <v>119820408</v>
      </c>
      <c r="O449" s="2">
        <v>44713</v>
      </c>
      <c r="P449" t="s">
        <v>90</v>
      </c>
      <c r="Q449" s="2">
        <v>39046</v>
      </c>
      <c r="R449" s="3">
        <f>(Tabla1[[#This Row],[FECHA_TRASPLANTE]]-Tabla1[[#This Row],[FECHA_NAC]])/365.25</f>
        <v>15.515400410677618</v>
      </c>
      <c r="S449" t="s">
        <v>200</v>
      </c>
      <c r="T449"/>
      <c r="U449" t="s">
        <v>1876</v>
      </c>
      <c r="V449" t="s">
        <v>1838</v>
      </c>
      <c r="W449" t="s">
        <v>82</v>
      </c>
      <c r="X449" t="s">
        <v>91</v>
      </c>
      <c r="Y449" t="s">
        <v>357</v>
      </c>
      <c r="Z449" t="s">
        <v>311</v>
      </c>
      <c r="AD449">
        <v>0</v>
      </c>
      <c r="AF449" t="s">
        <v>816</v>
      </c>
      <c r="AG449" t="s">
        <v>816</v>
      </c>
      <c r="AH449" t="s">
        <v>1877</v>
      </c>
      <c r="AI449" t="s">
        <v>816</v>
      </c>
      <c r="AJ449" t="s">
        <v>816</v>
      </c>
      <c r="AK449" t="s">
        <v>1878</v>
      </c>
      <c r="AM449" t="s">
        <v>106</v>
      </c>
      <c r="AO449"/>
      <c r="AQ449" t="s">
        <v>358</v>
      </c>
      <c r="AV449" s="2"/>
      <c r="AY449" t="s">
        <v>106</v>
      </c>
      <c r="AZ449"/>
      <c r="BO449" t="s">
        <v>1879</v>
      </c>
      <c r="BP449" t="s">
        <v>90</v>
      </c>
      <c r="BQ449" t="s">
        <v>82</v>
      </c>
      <c r="BS449" t="s">
        <v>1827</v>
      </c>
      <c r="BT449" s="2">
        <f>Tabla1[[#This Row],[FECHA_TRASPLANTE]]</f>
        <v>44713</v>
      </c>
      <c r="BU449">
        <f>IF(Tabla1[[#This Row],[FALLECIDO SI/NO]]="NO",0,1)</f>
        <v>0</v>
      </c>
      <c r="BV449" s="3">
        <f ca="1">IF(Tabla1[[#This Row],[FALLECIDO_COD]]=0,TODAY()-Tabla1[[#This Row],[FECHA_TRASPLANTE]],Tabla1[[#This Row],[FECHA DE DEFUNCIÓN]]-Tabla1[[#This Row],[FECHA_TRASPLANTE]])</f>
        <v>1162</v>
      </c>
      <c r="BW449" s="3">
        <f ca="1">IF(Tabla1[[#This Row],[FALLECIDO_COD]]=0,TODAY()-Tabla1[[#This Row],[FECHA_TRASPLANTE]],Tabla1[[#This Row],[FECHA DE DEFUNCIÓN]]-Tabla1[[#This Row],[FECHA_TRASPLANTE]])/30.4375</f>
        <v>38.176591375770023</v>
      </c>
      <c r="BX449" s="3">
        <f ca="1">IF(Tabla1[[#This Row],[FALLECIDO_COD]]=0,TODAY()-Tabla1[[#This Row],[FECHA_TRASPLANTE]],Tabla1[[#This Row],[FECHA DE DEFUNCIÓN]]-Tabla1[[#This Row],[FECHA_TRASPLANTE]])/365.25</f>
        <v>3.1813826146475015</v>
      </c>
      <c r="BY449"/>
      <c r="BZ449"/>
    </row>
    <row r="450" spans="1:78" hidden="1" x14ac:dyDescent="0.35">
      <c r="A450" t="s">
        <v>377</v>
      </c>
      <c r="D450" t="s">
        <v>1129</v>
      </c>
      <c r="E450" t="s">
        <v>375</v>
      </c>
      <c r="J450" t="s">
        <v>1180</v>
      </c>
      <c r="K450" t="s">
        <v>1880</v>
      </c>
      <c r="L450" t="s">
        <v>233</v>
      </c>
      <c r="M450" t="s">
        <v>1881</v>
      </c>
      <c r="N450" s="11">
        <v>603340069</v>
      </c>
      <c r="O450" s="2">
        <v>44713</v>
      </c>
      <c r="P450" t="s">
        <v>81</v>
      </c>
      <c r="Q450" s="2">
        <v>30675</v>
      </c>
      <c r="R450" s="3">
        <f>(Tabla1[[#This Row],[FECHA_TRASPLANTE]]-Tabla1[[#This Row],[FECHA_NAC]])/365.25</f>
        <v>38.433949349760439</v>
      </c>
      <c r="T450"/>
      <c r="W450" t="s">
        <v>82</v>
      </c>
      <c r="X450" t="s">
        <v>261</v>
      </c>
      <c r="Y450" t="s">
        <v>88</v>
      </c>
      <c r="Z450" t="s">
        <v>1882</v>
      </c>
      <c r="AM450" t="s">
        <v>106</v>
      </c>
      <c r="AO450"/>
      <c r="AV450" s="2"/>
      <c r="AZ450"/>
      <c r="BT450" s="2">
        <f>Tabla1[[#This Row],[FECHA_TRASPLANTE]]</f>
        <v>44713</v>
      </c>
      <c r="BU450">
        <f>IF(Tabla1[[#This Row],[FALLECIDO SI/NO]]="NO",0,1)</f>
        <v>0</v>
      </c>
      <c r="BV450" s="3">
        <f ca="1">IF(Tabla1[[#This Row],[FALLECIDO_COD]]=0,TODAY()-Tabla1[[#This Row],[FECHA_TRASPLANTE]],Tabla1[[#This Row],[FECHA DE DEFUNCIÓN]]-Tabla1[[#This Row],[FECHA_TRASPLANTE]])</f>
        <v>1162</v>
      </c>
      <c r="BW450" s="3">
        <f ca="1">IF(Tabla1[[#This Row],[FALLECIDO_COD]]=0,TODAY()-Tabla1[[#This Row],[FECHA_TRASPLANTE]],Tabla1[[#This Row],[FECHA DE DEFUNCIÓN]]-Tabla1[[#This Row],[FECHA_TRASPLANTE]])/30.4375</f>
        <v>38.176591375770023</v>
      </c>
      <c r="BX450" s="3">
        <f ca="1">IF(Tabla1[[#This Row],[FALLECIDO_COD]]=0,TODAY()-Tabla1[[#This Row],[FECHA_TRASPLANTE]],Tabla1[[#This Row],[FECHA DE DEFUNCIÓN]]-Tabla1[[#This Row],[FECHA_TRASPLANTE]])/365.25</f>
        <v>3.1813826146475015</v>
      </c>
      <c r="BY450"/>
      <c r="BZ450"/>
    </row>
    <row r="451" spans="1:78" hidden="1" x14ac:dyDescent="0.35">
      <c r="A451" t="s">
        <v>377</v>
      </c>
      <c r="D451" t="s">
        <v>1129</v>
      </c>
      <c r="E451" t="s">
        <v>375</v>
      </c>
      <c r="J451" t="s">
        <v>1777</v>
      </c>
      <c r="K451" t="s">
        <v>1883</v>
      </c>
      <c r="L451" t="s">
        <v>239</v>
      </c>
      <c r="M451" t="s">
        <v>103</v>
      </c>
      <c r="N451" s="11">
        <v>205920206</v>
      </c>
      <c r="O451" s="2">
        <v>44720</v>
      </c>
      <c r="P451" t="s">
        <v>81</v>
      </c>
      <c r="Q451" s="2">
        <v>30716</v>
      </c>
      <c r="R451" s="3">
        <f>(Tabla1[[#This Row],[FECHA_TRASPLANTE]]-Tabla1[[#This Row],[FECHA_NAC]])/365.25</f>
        <v>38.340862422997944</v>
      </c>
      <c r="T451"/>
      <c r="W451" t="s">
        <v>82</v>
      </c>
      <c r="X451" t="s">
        <v>115</v>
      </c>
      <c r="Y451" t="s">
        <v>426</v>
      </c>
      <c r="Z451" t="s">
        <v>1167</v>
      </c>
      <c r="AM451" t="s">
        <v>106</v>
      </c>
      <c r="AO451"/>
      <c r="AV451" s="2"/>
      <c r="AZ451"/>
      <c r="BT451" s="2">
        <f>Tabla1[[#This Row],[FECHA_TRASPLANTE]]</f>
        <v>44720</v>
      </c>
      <c r="BU451">
        <f>IF(Tabla1[[#This Row],[FALLECIDO SI/NO]]="NO",0,1)</f>
        <v>0</v>
      </c>
      <c r="BV451" s="3">
        <f ca="1">IF(Tabla1[[#This Row],[FALLECIDO_COD]]=0,TODAY()-Tabla1[[#This Row],[FECHA_TRASPLANTE]],Tabla1[[#This Row],[FECHA DE DEFUNCIÓN]]-Tabla1[[#This Row],[FECHA_TRASPLANTE]])</f>
        <v>1155</v>
      </c>
      <c r="BW451" s="3">
        <f ca="1">IF(Tabla1[[#This Row],[FALLECIDO_COD]]=0,TODAY()-Tabla1[[#This Row],[FECHA_TRASPLANTE]],Tabla1[[#This Row],[FECHA DE DEFUNCIÓN]]-Tabla1[[#This Row],[FECHA_TRASPLANTE]])/30.4375</f>
        <v>37.946611909650926</v>
      </c>
      <c r="BX451" s="3">
        <f ca="1">IF(Tabla1[[#This Row],[FALLECIDO_COD]]=0,TODAY()-Tabla1[[#This Row],[FECHA_TRASPLANTE]],Tabla1[[#This Row],[FECHA DE DEFUNCIÓN]]-Tabla1[[#This Row],[FECHA_TRASPLANTE]])/365.25</f>
        <v>3.162217659137577</v>
      </c>
      <c r="BY451"/>
      <c r="BZ451"/>
    </row>
    <row r="452" spans="1:78" hidden="1" x14ac:dyDescent="0.35">
      <c r="A452" t="s">
        <v>75</v>
      </c>
      <c r="B452" t="s">
        <v>1828</v>
      </c>
      <c r="C452" t="s">
        <v>790</v>
      </c>
      <c r="D452" t="s">
        <v>1129</v>
      </c>
      <c r="E452" t="s">
        <v>77</v>
      </c>
      <c r="H452" s="2">
        <v>36109</v>
      </c>
      <c r="I452">
        <v>23</v>
      </c>
      <c r="K452" t="s">
        <v>1884</v>
      </c>
      <c r="L452" t="s">
        <v>260</v>
      </c>
      <c r="M452" t="s">
        <v>753</v>
      </c>
      <c r="N452" s="11">
        <v>110630700</v>
      </c>
      <c r="O452" s="16">
        <v>44731</v>
      </c>
      <c r="P452" t="s">
        <v>81</v>
      </c>
      <c r="Q452" s="2">
        <v>29294</v>
      </c>
      <c r="R452" s="3">
        <f>(Tabla1[[#This Row],[FECHA_TRASPLANTE]]-Tabla1[[#This Row],[FECHA_NAC]])/365.25</f>
        <v>42.264202600958249</v>
      </c>
      <c r="S452" t="s">
        <v>200</v>
      </c>
      <c r="T452"/>
      <c r="U452" t="s">
        <v>1830</v>
      </c>
      <c r="V452" t="s">
        <v>1824</v>
      </c>
      <c r="W452" t="s">
        <v>82</v>
      </c>
      <c r="X452" t="s">
        <v>261</v>
      </c>
      <c r="Y452" t="s">
        <v>84</v>
      </c>
      <c r="Z452" t="s">
        <v>585</v>
      </c>
      <c r="AD452">
        <v>6</v>
      </c>
      <c r="AF452" t="s">
        <v>978</v>
      </c>
      <c r="AG452" t="s">
        <v>978</v>
      </c>
      <c r="AH452" t="s">
        <v>978</v>
      </c>
      <c r="AI452" t="s">
        <v>978</v>
      </c>
      <c r="AJ452" t="s">
        <v>978</v>
      </c>
      <c r="AM452" t="s">
        <v>106</v>
      </c>
      <c r="AO452"/>
      <c r="AQ452" t="s">
        <v>358</v>
      </c>
      <c r="AV452" s="2"/>
      <c r="AY452" t="s">
        <v>106</v>
      </c>
      <c r="AZ452"/>
      <c r="BJ452" s="2"/>
      <c r="BO452">
        <v>702640605</v>
      </c>
      <c r="BP452" t="s">
        <v>81</v>
      </c>
      <c r="BQ452" t="s">
        <v>82</v>
      </c>
      <c r="BT452" s="2">
        <f>Tabla1[[#This Row],[FECHA_TRASPLANTE]]</f>
        <v>44731</v>
      </c>
      <c r="BU452">
        <f>IF(Tabla1[[#This Row],[FALLECIDO SI/NO]]="NO",0,1)</f>
        <v>0</v>
      </c>
      <c r="BV452" s="3">
        <f ca="1">IF(Tabla1[[#This Row],[FALLECIDO_COD]]=0,TODAY()-Tabla1[[#This Row],[FECHA_TRASPLANTE]],Tabla1[[#This Row],[FECHA DE DEFUNCIÓN]]-Tabla1[[#This Row],[FECHA_TRASPLANTE]])</f>
        <v>1144</v>
      </c>
      <c r="BW452" s="3">
        <f ca="1">IF(Tabla1[[#This Row],[FALLECIDO_COD]]=0,TODAY()-Tabla1[[#This Row],[FECHA_TRASPLANTE]],Tabla1[[#This Row],[FECHA DE DEFUNCIÓN]]-Tabla1[[#This Row],[FECHA_TRASPLANTE]])/30.4375</f>
        <v>37.585215605749489</v>
      </c>
      <c r="BX452" s="3">
        <f ca="1">IF(Tabla1[[#This Row],[FALLECIDO_COD]]=0,TODAY()-Tabla1[[#This Row],[FECHA_TRASPLANTE]],Tabla1[[#This Row],[FECHA DE DEFUNCIÓN]]-Tabla1[[#This Row],[FECHA_TRASPLANTE]])/365.25</f>
        <v>3.1321013004791238</v>
      </c>
      <c r="BY452"/>
      <c r="BZ452"/>
    </row>
    <row r="453" spans="1:78" hidden="1" x14ac:dyDescent="0.35">
      <c r="A453" t="s">
        <v>376</v>
      </c>
      <c r="B453" t="s">
        <v>376</v>
      </c>
      <c r="C453" t="s">
        <v>790</v>
      </c>
      <c r="D453" t="s">
        <v>1129</v>
      </c>
      <c r="E453" t="s">
        <v>77</v>
      </c>
      <c r="G453" t="s">
        <v>200</v>
      </c>
      <c r="H453" s="2" t="s">
        <v>1819</v>
      </c>
      <c r="I453">
        <v>23</v>
      </c>
      <c r="J453" t="s">
        <v>1820</v>
      </c>
      <c r="K453" t="s">
        <v>1885</v>
      </c>
      <c r="L453" t="s">
        <v>99</v>
      </c>
      <c r="M453" t="s">
        <v>88</v>
      </c>
      <c r="N453" s="11">
        <v>505110899</v>
      </c>
      <c r="O453" s="2">
        <v>44731</v>
      </c>
      <c r="P453" t="s">
        <v>81</v>
      </c>
      <c r="Q453" s="2">
        <v>41654</v>
      </c>
      <c r="R453" s="3">
        <f>(Tabla1[[#This Row],[FECHA_TRASPLANTE]]-Tabla1[[#This Row],[FECHA_NAC]])/365.25</f>
        <v>8.424366872005475</v>
      </c>
      <c r="S453" t="s">
        <v>200</v>
      </c>
      <c r="T453"/>
      <c r="U453" t="s">
        <v>1876</v>
      </c>
      <c r="V453" t="s">
        <v>1838</v>
      </c>
      <c r="W453" t="s">
        <v>82</v>
      </c>
      <c r="X453" t="s">
        <v>83</v>
      </c>
      <c r="Y453" t="s">
        <v>83</v>
      </c>
      <c r="Z453" t="s">
        <v>1886</v>
      </c>
      <c r="AD453">
        <v>0</v>
      </c>
      <c r="AF453" t="s">
        <v>816</v>
      </c>
      <c r="AG453" t="s">
        <v>816</v>
      </c>
      <c r="AH453" t="s">
        <v>816</v>
      </c>
      <c r="AI453" t="s">
        <v>816</v>
      </c>
      <c r="AJ453" t="s">
        <v>816</v>
      </c>
      <c r="AK453" t="s">
        <v>816</v>
      </c>
      <c r="AM453" t="s">
        <v>106</v>
      </c>
      <c r="AO453"/>
      <c r="AQ453" t="s">
        <v>358</v>
      </c>
      <c r="AV453" s="2"/>
      <c r="AY453" t="s">
        <v>106</v>
      </c>
      <c r="AZ453"/>
      <c r="BO453" t="s">
        <v>1887</v>
      </c>
      <c r="BP453" t="s">
        <v>81</v>
      </c>
      <c r="BQ453" t="s">
        <v>82</v>
      </c>
      <c r="BS453" t="s">
        <v>1888</v>
      </c>
      <c r="BT453" s="2">
        <f>Tabla1[[#This Row],[FECHA_TRASPLANTE]]</f>
        <v>44731</v>
      </c>
      <c r="BU453">
        <f>IF(Tabla1[[#This Row],[FALLECIDO SI/NO]]="NO",0,1)</f>
        <v>0</v>
      </c>
      <c r="BV453" s="3">
        <f ca="1">IF(Tabla1[[#This Row],[FALLECIDO_COD]]=0,TODAY()-Tabla1[[#This Row],[FECHA_TRASPLANTE]],Tabla1[[#This Row],[FECHA DE DEFUNCIÓN]]-Tabla1[[#This Row],[FECHA_TRASPLANTE]])</f>
        <v>1144</v>
      </c>
      <c r="BW453" s="3">
        <f ca="1">IF(Tabla1[[#This Row],[FALLECIDO_COD]]=0,TODAY()-Tabla1[[#This Row],[FECHA_TRASPLANTE]],Tabla1[[#This Row],[FECHA DE DEFUNCIÓN]]-Tabla1[[#This Row],[FECHA_TRASPLANTE]])/30.4375</f>
        <v>37.585215605749489</v>
      </c>
      <c r="BX453" s="3">
        <f ca="1">IF(Tabla1[[#This Row],[FALLECIDO_COD]]=0,TODAY()-Tabla1[[#This Row],[FECHA_TRASPLANTE]],Tabla1[[#This Row],[FECHA DE DEFUNCIÓN]]-Tabla1[[#This Row],[FECHA_TRASPLANTE]])/365.25</f>
        <v>3.1321013004791238</v>
      </c>
      <c r="BY453"/>
      <c r="BZ453"/>
    </row>
    <row r="454" spans="1:78" hidden="1" x14ac:dyDescent="0.35">
      <c r="A454" t="s">
        <v>75</v>
      </c>
      <c r="B454" t="s">
        <v>1828</v>
      </c>
      <c r="C454" t="s">
        <v>795</v>
      </c>
      <c r="D454" t="s">
        <v>1129</v>
      </c>
      <c r="E454" t="s">
        <v>77</v>
      </c>
      <c r="H454" s="2">
        <v>36657</v>
      </c>
      <c r="I454">
        <v>22</v>
      </c>
      <c r="K454" t="s">
        <v>1889</v>
      </c>
      <c r="L454" t="s">
        <v>408</v>
      </c>
      <c r="M454" t="s">
        <v>80</v>
      </c>
      <c r="N454" s="11">
        <v>109050565</v>
      </c>
      <c r="O454" s="16">
        <v>44734</v>
      </c>
      <c r="P454" t="s">
        <v>81</v>
      </c>
      <c r="Q454" s="2">
        <v>27474</v>
      </c>
      <c r="R454" s="3">
        <f>(Tabla1[[#This Row],[FECHA_TRASPLANTE]]-Tabla1[[#This Row],[FECHA_NAC]])/365.25</f>
        <v>47.25530458590007</v>
      </c>
      <c r="S454" t="s">
        <v>210</v>
      </c>
      <c r="T454"/>
      <c r="U454" t="s">
        <v>1830</v>
      </c>
      <c r="V454" t="s">
        <v>1824</v>
      </c>
      <c r="W454" t="s">
        <v>82</v>
      </c>
      <c r="X454" t="s">
        <v>91</v>
      </c>
      <c r="Y454" t="s">
        <v>176</v>
      </c>
      <c r="Z454" t="s">
        <v>311</v>
      </c>
      <c r="AD454">
        <v>6</v>
      </c>
      <c r="AF454" t="s">
        <v>978</v>
      </c>
      <c r="AG454" t="s">
        <v>978</v>
      </c>
      <c r="AH454" t="s">
        <v>978</v>
      </c>
      <c r="AI454" t="s">
        <v>978</v>
      </c>
      <c r="AJ454" t="s">
        <v>978</v>
      </c>
      <c r="AM454" t="s">
        <v>106</v>
      </c>
      <c r="AO454"/>
      <c r="AQ454" t="s">
        <v>358</v>
      </c>
      <c r="AV454" s="2"/>
      <c r="AY454" t="s">
        <v>106</v>
      </c>
      <c r="AZ454"/>
      <c r="BJ454" s="2"/>
      <c r="BO454">
        <v>402470179</v>
      </c>
      <c r="BP454" t="s">
        <v>81</v>
      </c>
      <c r="BQ454" t="s">
        <v>82</v>
      </c>
      <c r="BT454" s="2">
        <f>Tabla1[[#This Row],[FECHA_TRASPLANTE]]</f>
        <v>44734</v>
      </c>
      <c r="BU454">
        <f>IF(Tabla1[[#This Row],[FALLECIDO SI/NO]]="NO",0,1)</f>
        <v>0</v>
      </c>
      <c r="BV454" s="3">
        <f ca="1">IF(Tabla1[[#This Row],[FALLECIDO_COD]]=0,TODAY()-Tabla1[[#This Row],[FECHA_TRASPLANTE]],Tabla1[[#This Row],[FECHA DE DEFUNCIÓN]]-Tabla1[[#This Row],[FECHA_TRASPLANTE]])</f>
        <v>1141</v>
      </c>
      <c r="BW454" s="3">
        <f ca="1">IF(Tabla1[[#This Row],[FALLECIDO_COD]]=0,TODAY()-Tabla1[[#This Row],[FECHA_TRASPLANTE]],Tabla1[[#This Row],[FECHA DE DEFUNCIÓN]]-Tabla1[[#This Row],[FECHA_TRASPLANTE]])/30.4375</f>
        <v>37.486652977412732</v>
      </c>
      <c r="BX454" s="3">
        <f ca="1">IF(Tabla1[[#This Row],[FALLECIDO_COD]]=0,TODAY()-Tabla1[[#This Row],[FECHA_TRASPLANTE]],Tabla1[[#This Row],[FECHA DE DEFUNCIÓN]]-Tabla1[[#This Row],[FECHA_TRASPLANTE]])/365.25</f>
        <v>3.1238877481177276</v>
      </c>
      <c r="BY454"/>
      <c r="BZ454"/>
    </row>
    <row r="455" spans="1:78" hidden="1" x14ac:dyDescent="0.35">
      <c r="A455" t="s">
        <v>376</v>
      </c>
      <c r="B455" t="s">
        <v>376</v>
      </c>
      <c r="C455" t="s">
        <v>795</v>
      </c>
      <c r="D455" t="s">
        <v>1129</v>
      </c>
      <c r="E455" t="s">
        <v>77</v>
      </c>
      <c r="G455" t="s">
        <v>210</v>
      </c>
      <c r="H455" s="2" t="s">
        <v>1819</v>
      </c>
      <c r="I455">
        <v>22</v>
      </c>
      <c r="J455" t="s">
        <v>1820</v>
      </c>
      <c r="K455" t="s">
        <v>1890</v>
      </c>
      <c r="L455" t="s">
        <v>441</v>
      </c>
      <c r="M455" t="s">
        <v>1144</v>
      </c>
      <c r="N455" s="11">
        <v>120330282</v>
      </c>
      <c r="O455" s="2">
        <v>44734</v>
      </c>
      <c r="P455" t="s">
        <v>81</v>
      </c>
      <c r="Q455" s="2">
        <v>39688</v>
      </c>
      <c r="R455" s="3">
        <f>(Tabla1[[#This Row],[FECHA_TRASPLANTE]]-Tabla1[[#This Row],[FECHA_NAC]])/365.25</f>
        <v>13.815195071868583</v>
      </c>
      <c r="S455" t="s">
        <v>210</v>
      </c>
      <c r="T455"/>
      <c r="U455" t="s">
        <v>1876</v>
      </c>
      <c r="V455" t="s">
        <v>1838</v>
      </c>
      <c r="W455" t="s">
        <v>82</v>
      </c>
      <c r="X455" t="s">
        <v>261</v>
      </c>
      <c r="Y455" t="s">
        <v>261</v>
      </c>
      <c r="Z455" t="s">
        <v>302</v>
      </c>
      <c r="AD455">
        <v>0</v>
      </c>
      <c r="AF455" t="s">
        <v>816</v>
      </c>
      <c r="AG455" t="s">
        <v>816</v>
      </c>
      <c r="AH455" t="s">
        <v>1891</v>
      </c>
      <c r="AI455" t="s">
        <v>816</v>
      </c>
      <c r="AJ455" t="s">
        <v>816</v>
      </c>
      <c r="AK455" t="s">
        <v>816</v>
      </c>
      <c r="AM455" t="s">
        <v>106</v>
      </c>
      <c r="AO455"/>
      <c r="AQ455" t="s">
        <v>358</v>
      </c>
      <c r="AV455" s="2"/>
      <c r="AY455" t="s">
        <v>106</v>
      </c>
      <c r="AZ455"/>
      <c r="BO455" t="s">
        <v>1892</v>
      </c>
      <c r="BP455" t="s">
        <v>81</v>
      </c>
      <c r="BQ455" t="s">
        <v>82</v>
      </c>
      <c r="BS455" t="s">
        <v>1888</v>
      </c>
      <c r="BT455" s="2">
        <f>Tabla1[[#This Row],[FECHA_TRASPLANTE]]</f>
        <v>44734</v>
      </c>
      <c r="BU455">
        <f>IF(Tabla1[[#This Row],[FALLECIDO SI/NO]]="NO",0,1)</f>
        <v>0</v>
      </c>
      <c r="BV455" s="3">
        <f ca="1">IF(Tabla1[[#This Row],[FALLECIDO_COD]]=0,TODAY()-Tabla1[[#This Row],[FECHA_TRASPLANTE]],Tabla1[[#This Row],[FECHA DE DEFUNCIÓN]]-Tabla1[[#This Row],[FECHA_TRASPLANTE]])</f>
        <v>1141</v>
      </c>
      <c r="BW455" s="3">
        <f ca="1">IF(Tabla1[[#This Row],[FALLECIDO_COD]]=0,TODAY()-Tabla1[[#This Row],[FECHA_TRASPLANTE]],Tabla1[[#This Row],[FECHA DE DEFUNCIÓN]]-Tabla1[[#This Row],[FECHA_TRASPLANTE]])/30.4375</f>
        <v>37.486652977412732</v>
      </c>
      <c r="BX455" s="3">
        <f ca="1">IF(Tabla1[[#This Row],[FALLECIDO_COD]]=0,TODAY()-Tabla1[[#This Row],[FECHA_TRASPLANTE]],Tabla1[[#This Row],[FECHA DE DEFUNCIÓN]]-Tabla1[[#This Row],[FECHA_TRASPLANTE]])/365.25</f>
        <v>3.1238877481177276</v>
      </c>
      <c r="BY455"/>
      <c r="BZ455"/>
    </row>
    <row r="456" spans="1:78" hidden="1" x14ac:dyDescent="0.35">
      <c r="A456" t="s">
        <v>377</v>
      </c>
      <c r="D456" t="s">
        <v>1129</v>
      </c>
      <c r="E456" t="s">
        <v>77</v>
      </c>
      <c r="J456" t="s">
        <v>1869</v>
      </c>
      <c r="K456" t="s">
        <v>1893</v>
      </c>
      <c r="L456" t="s">
        <v>1894</v>
      </c>
      <c r="M456" t="s">
        <v>1894</v>
      </c>
      <c r="N456" s="11">
        <v>504160334</v>
      </c>
      <c r="O456" s="2">
        <v>44735</v>
      </c>
      <c r="P456" t="s">
        <v>81</v>
      </c>
      <c r="Q456" s="2">
        <v>35570</v>
      </c>
      <c r="R456" s="3">
        <f>(Tabla1[[#This Row],[FECHA_TRASPLANTE]]-Tabla1[[#This Row],[FECHA_NAC]])/365.25</f>
        <v>25.09240246406571</v>
      </c>
      <c r="T456"/>
      <c r="W456" t="s">
        <v>82</v>
      </c>
      <c r="X456" t="s">
        <v>1895</v>
      </c>
      <c r="AM456" t="s">
        <v>106</v>
      </c>
      <c r="AO456"/>
      <c r="AV456" s="2"/>
      <c r="AZ456"/>
      <c r="BT456" s="2">
        <f>Tabla1[[#This Row],[FECHA_TRASPLANTE]]</f>
        <v>44735</v>
      </c>
      <c r="BU456">
        <f>IF(Tabla1[[#This Row],[FALLECIDO SI/NO]]="NO",0,1)</f>
        <v>0</v>
      </c>
      <c r="BV456" s="3">
        <f ca="1">IF(Tabla1[[#This Row],[FALLECIDO_COD]]=0,TODAY()-Tabla1[[#This Row],[FECHA_TRASPLANTE]],Tabla1[[#This Row],[FECHA DE DEFUNCIÓN]]-Tabla1[[#This Row],[FECHA_TRASPLANTE]])</f>
        <v>1140</v>
      </c>
      <c r="BW456" s="3">
        <f ca="1">IF(Tabla1[[#This Row],[FALLECIDO_COD]]=0,TODAY()-Tabla1[[#This Row],[FECHA_TRASPLANTE]],Tabla1[[#This Row],[FECHA DE DEFUNCIÓN]]-Tabla1[[#This Row],[FECHA_TRASPLANTE]])/30.4375</f>
        <v>37.453798767967143</v>
      </c>
      <c r="BX456" s="3">
        <f ca="1">IF(Tabla1[[#This Row],[FALLECIDO_COD]]=0,TODAY()-Tabla1[[#This Row],[FECHA_TRASPLANTE]],Tabla1[[#This Row],[FECHA DE DEFUNCIÓN]]-Tabla1[[#This Row],[FECHA_TRASPLANTE]])/365.25</f>
        <v>3.1211498973305956</v>
      </c>
      <c r="BY456"/>
      <c r="BZ456"/>
    </row>
    <row r="457" spans="1:78" hidden="1" x14ac:dyDescent="0.35">
      <c r="A457" t="s">
        <v>1125</v>
      </c>
      <c r="B457" t="s">
        <v>1125</v>
      </c>
      <c r="C457" t="s">
        <v>1896</v>
      </c>
      <c r="D457" t="s">
        <v>1129</v>
      </c>
      <c r="E457" t="s">
        <v>77</v>
      </c>
      <c r="F457" t="s">
        <v>106</v>
      </c>
      <c r="G457" t="s">
        <v>200</v>
      </c>
      <c r="H457" s="2">
        <v>37297</v>
      </c>
      <c r="I457">
        <v>20.364134154688571</v>
      </c>
      <c r="K457" t="s">
        <v>1263</v>
      </c>
      <c r="L457" t="s">
        <v>440</v>
      </c>
      <c r="M457" t="s">
        <v>274</v>
      </c>
      <c r="N457" s="11">
        <v>502490687</v>
      </c>
      <c r="O457" s="2">
        <v>44735</v>
      </c>
      <c r="R457" s="3">
        <f>(Tabla1[[#This Row],[FECHA_TRASPLANTE]]-Tabla1[[#This Row],[FECHA_NAC]])/365.25</f>
        <v>122.47775496235455</v>
      </c>
      <c r="T457"/>
      <c r="U457" t="s">
        <v>1348</v>
      </c>
      <c r="W457" t="s">
        <v>82</v>
      </c>
      <c r="X457" t="s">
        <v>91</v>
      </c>
      <c r="Y457" t="s">
        <v>84</v>
      </c>
      <c r="Z457" t="s">
        <v>598</v>
      </c>
      <c r="AM457" t="s">
        <v>106</v>
      </c>
      <c r="AO457"/>
      <c r="AV457" s="2"/>
      <c r="AZ457"/>
      <c r="BT457" s="2">
        <f>Tabla1[[#This Row],[FECHA_TRASPLANTE]]</f>
        <v>44735</v>
      </c>
      <c r="BU457">
        <f>IF(Tabla1[[#This Row],[FALLECIDO SI/NO]]="NO",0,1)</f>
        <v>0</v>
      </c>
      <c r="BV457" s="3">
        <f ca="1">IF(Tabla1[[#This Row],[FALLECIDO_COD]]=0,TODAY()-Tabla1[[#This Row],[FECHA_TRASPLANTE]],Tabla1[[#This Row],[FECHA DE DEFUNCIÓN]]-Tabla1[[#This Row],[FECHA_TRASPLANTE]])</f>
        <v>1140</v>
      </c>
      <c r="BW457" s="3">
        <f ca="1">IF(Tabla1[[#This Row],[FALLECIDO_COD]]=0,TODAY()-Tabla1[[#This Row],[FECHA_TRASPLANTE]],Tabla1[[#This Row],[FECHA DE DEFUNCIÓN]]-Tabla1[[#This Row],[FECHA_TRASPLANTE]])/30.4375</f>
        <v>37.453798767967143</v>
      </c>
      <c r="BX457" s="3">
        <f ca="1">IF(Tabla1[[#This Row],[FALLECIDO_COD]]=0,TODAY()-Tabla1[[#This Row],[FECHA_TRASPLANTE]],Tabla1[[#This Row],[FECHA DE DEFUNCIÓN]]-Tabla1[[#This Row],[FECHA_TRASPLANTE]])/365.25</f>
        <v>3.1211498973305956</v>
      </c>
      <c r="BY457"/>
      <c r="BZ457"/>
    </row>
    <row r="458" spans="1:78" hidden="1" x14ac:dyDescent="0.35">
      <c r="A458" t="s">
        <v>377</v>
      </c>
      <c r="B458" t="s">
        <v>1897</v>
      </c>
      <c r="D458" t="s">
        <v>1129</v>
      </c>
      <c r="E458" t="s">
        <v>77</v>
      </c>
      <c r="J458" t="s">
        <v>1834</v>
      </c>
      <c r="K458" t="s">
        <v>719</v>
      </c>
      <c r="L458" t="s">
        <v>474</v>
      </c>
      <c r="M458" t="s">
        <v>145</v>
      </c>
      <c r="N458" s="11">
        <v>17714251</v>
      </c>
      <c r="O458" s="2">
        <v>44741</v>
      </c>
      <c r="P458" t="s">
        <v>81</v>
      </c>
      <c r="Q458" s="2">
        <v>28350</v>
      </c>
      <c r="R458" s="3">
        <f>(Tabla1[[#This Row],[FECHA_TRASPLANTE]]-Tabla1[[#This Row],[FECHA_NAC]])/365.25</f>
        <v>44.876112251882276</v>
      </c>
      <c r="T458"/>
      <c r="W458" t="s">
        <v>597</v>
      </c>
      <c r="X458" t="s">
        <v>125</v>
      </c>
      <c r="Y458" t="s">
        <v>1186</v>
      </c>
      <c r="Z458" t="s">
        <v>1186</v>
      </c>
      <c r="AM458" t="s">
        <v>106</v>
      </c>
      <c r="AO458"/>
      <c r="AV458" s="2"/>
      <c r="AZ458"/>
      <c r="BT458" s="2">
        <f>Tabla1[[#This Row],[FECHA_TRASPLANTE]]</f>
        <v>44741</v>
      </c>
      <c r="BU458">
        <f>IF(Tabla1[[#This Row],[FALLECIDO SI/NO]]="NO",0,1)</f>
        <v>0</v>
      </c>
      <c r="BV458" s="3">
        <f ca="1">IF(Tabla1[[#This Row],[FALLECIDO_COD]]=0,TODAY()-Tabla1[[#This Row],[FECHA_TRASPLANTE]],Tabla1[[#This Row],[FECHA DE DEFUNCIÓN]]-Tabla1[[#This Row],[FECHA_TRASPLANTE]])</f>
        <v>1134</v>
      </c>
      <c r="BW458" s="3">
        <f ca="1">IF(Tabla1[[#This Row],[FALLECIDO_COD]]=0,TODAY()-Tabla1[[#This Row],[FECHA_TRASPLANTE]],Tabla1[[#This Row],[FECHA DE DEFUNCIÓN]]-Tabla1[[#This Row],[FECHA_TRASPLANTE]])/30.4375</f>
        <v>37.256673511293634</v>
      </c>
      <c r="BX458" s="3">
        <f ca="1">IF(Tabla1[[#This Row],[FALLECIDO_COD]]=0,TODAY()-Tabla1[[#This Row],[FECHA_TRASPLANTE]],Tabla1[[#This Row],[FECHA DE DEFUNCIÓN]]-Tabla1[[#This Row],[FECHA_TRASPLANTE]])/365.25</f>
        <v>3.1047227926078027</v>
      </c>
      <c r="BY458"/>
      <c r="BZ458"/>
    </row>
    <row r="459" spans="1:78" hidden="1" x14ac:dyDescent="0.35">
      <c r="A459" t="s">
        <v>1125</v>
      </c>
      <c r="B459" t="s">
        <v>1125</v>
      </c>
      <c r="C459" t="s">
        <v>1334</v>
      </c>
      <c r="D459" t="s">
        <v>1129</v>
      </c>
      <c r="E459" t="s">
        <v>375</v>
      </c>
      <c r="G459" t="s">
        <v>200</v>
      </c>
      <c r="H459" s="2">
        <v>29531</v>
      </c>
      <c r="I459">
        <v>41.642710472279262</v>
      </c>
      <c r="J459" t="s">
        <v>1898</v>
      </c>
      <c r="K459" t="s">
        <v>608</v>
      </c>
      <c r="L459" t="s">
        <v>1535</v>
      </c>
      <c r="M459" t="s">
        <v>260</v>
      </c>
      <c r="N459" s="11">
        <v>109030201</v>
      </c>
      <c r="O459" s="2">
        <v>44741</v>
      </c>
      <c r="P459" t="s">
        <v>81</v>
      </c>
      <c r="Q459" s="2">
        <v>45043</v>
      </c>
      <c r="R459" s="3">
        <f>(Tabla1[[#This Row],[FECHA_TRASPLANTE]]-Tabla1[[#This Row],[FECHA_NAC]])/365.25</f>
        <v>-0.8268309377138946</v>
      </c>
      <c r="S459" t="s">
        <v>200</v>
      </c>
      <c r="T459"/>
      <c r="U459" t="s">
        <v>1348</v>
      </c>
      <c r="V459" t="s">
        <v>1566</v>
      </c>
      <c r="W459" t="s">
        <v>82</v>
      </c>
      <c r="X459" t="s">
        <v>91</v>
      </c>
      <c r="Y459" t="s">
        <v>580</v>
      </c>
      <c r="Z459" t="s">
        <v>454</v>
      </c>
      <c r="AD459">
        <v>0</v>
      </c>
      <c r="AF459" t="s">
        <v>816</v>
      </c>
      <c r="AG459" t="s">
        <v>1803</v>
      </c>
      <c r="AH459" t="s">
        <v>1803</v>
      </c>
      <c r="AI459" t="s">
        <v>1803</v>
      </c>
      <c r="AM459" t="s">
        <v>106</v>
      </c>
      <c r="AO459" t="s">
        <v>1334</v>
      </c>
      <c r="AQ459" t="s">
        <v>358</v>
      </c>
      <c r="AV459" s="2" t="s">
        <v>1334</v>
      </c>
      <c r="AY459" t="s">
        <v>106</v>
      </c>
      <c r="AZ459"/>
      <c r="BO459" t="s">
        <v>1899</v>
      </c>
      <c r="BP459" t="s">
        <v>90</v>
      </c>
      <c r="BQ459" t="s">
        <v>1849</v>
      </c>
      <c r="BR459" t="s">
        <v>1900</v>
      </c>
      <c r="BS459" t="s">
        <v>1901</v>
      </c>
      <c r="BT459" s="2">
        <f>Tabla1[[#This Row],[FECHA_TRASPLANTE]]</f>
        <v>44741</v>
      </c>
      <c r="BU459">
        <f>IF(Tabla1[[#This Row],[FALLECIDO SI/NO]]="NO",0,1)</f>
        <v>0</v>
      </c>
      <c r="BV459" s="3">
        <f ca="1">IF(Tabla1[[#This Row],[FALLECIDO_COD]]=0,TODAY()-Tabla1[[#This Row],[FECHA_TRASPLANTE]],Tabla1[[#This Row],[FECHA DE DEFUNCIÓN]]-Tabla1[[#This Row],[FECHA_TRASPLANTE]])</f>
        <v>1134</v>
      </c>
      <c r="BW459" s="3">
        <f ca="1">IF(Tabla1[[#This Row],[FALLECIDO_COD]]=0,TODAY()-Tabla1[[#This Row],[FECHA_TRASPLANTE]],Tabla1[[#This Row],[FECHA DE DEFUNCIÓN]]-Tabla1[[#This Row],[FECHA_TRASPLANTE]])/30.4375</f>
        <v>37.256673511293634</v>
      </c>
      <c r="BX459" s="3">
        <f ca="1">IF(Tabla1[[#This Row],[FALLECIDO_COD]]=0,TODAY()-Tabla1[[#This Row],[FECHA_TRASPLANTE]],Tabla1[[#This Row],[FECHA DE DEFUNCIÓN]]-Tabla1[[#This Row],[FECHA_TRASPLANTE]])/365.25</f>
        <v>3.1047227926078027</v>
      </c>
      <c r="BY459"/>
      <c r="BZ459"/>
    </row>
    <row r="460" spans="1:78" hidden="1" x14ac:dyDescent="0.35">
      <c r="A460" t="s">
        <v>1126</v>
      </c>
      <c r="B460" t="s">
        <v>1126</v>
      </c>
      <c r="D460" t="s">
        <v>1333</v>
      </c>
      <c r="E460" t="s">
        <v>375</v>
      </c>
      <c r="F460" t="s">
        <v>106</v>
      </c>
      <c r="G460" t="s">
        <v>200</v>
      </c>
      <c r="H460" s="2">
        <v>32785</v>
      </c>
      <c r="I460">
        <v>32.747433264887064</v>
      </c>
      <c r="J460" t="s">
        <v>746</v>
      </c>
      <c r="N460" s="11">
        <v>109270725</v>
      </c>
      <c r="O460" s="2">
        <v>44746</v>
      </c>
      <c r="P460" t="s">
        <v>81</v>
      </c>
      <c r="Q460" s="2">
        <v>27733</v>
      </c>
      <c r="R460" s="3">
        <f>(Tabla1[[#This Row],[FECHA_TRASPLANTE]]-Tabla1[[#This Row],[FECHA_NAC]])/365.25</f>
        <v>46.579055441478438</v>
      </c>
      <c r="S460" t="s">
        <v>200</v>
      </c>
      <c r="U460" t="s">
        <v>1902</v>
      </c>
      <c r="V460" t="s">
        <v>1551</v>
      </c>
      <c r="W460" t="s">
        <v>82</v>
      </c>
      <c r="X460" t="s">
        <v>91</v>
      </c>
      <c r="Y460" t="s">
        <v>116</v>
      </c>
      <c r="Z460" t="s">
        <v>1903</v>
      </c>
      <c r="AD460">
        <v>0</v>
      </c>
      <c r="AF460" t="s">
        <v>375</v>
      </c>
      <c r="AG460" t="s">
        <v>375</v>
      </c>
      <c r="AH460" t="s">
        <v>375</v>
      </c>
      <c r="AI460" t="s">
        <v>375</v>
      </c>
      <c r="AJ460" t="s">
        <v>375</v>
      </c>
      <c r="AM460" t="s">
        <v>106</v>
      </c>
      <c r="AN460" s="2" t="s">
        <v>762</v>
      </c>
      <c r="AO460" s="2" t="s">
        <v>762</v>
      </c>
      <c r="AQ460" t="s">
        <v>772</v>
      </c>
      <c r="AR460" s="2" t="s">
        <v>772</v>
      </c>
      <c r="AS460" s="2" t="s">
        <v>772</v>
      </c>
      <c r="AV460" s="2">
        <v>44747</v>
      </c>
      <c r="AW460" t="s">
        <v>1904</v>
      </c>
      <c r="AX460" t="s">
        <v>1569</v>
      </c>
      <c r="AY460" t="s">
        <v>106</v>
      </c>
      <c r="AZ460"/>
      <c r="BA460" t="s">
        <v>1812</v>
      </c>
      <c r="BB460">
        <v>8</v>
      </c>
      <c r="BD460" t="s">
        <v>86</v>
      </c>
      <c r="BE460">
        <v>44747</v>
      </c>
      <c r="BF460" t="s">
        <v>1905</v>
      </c>
      <c r="BG460" t="s">
        <v>1906</v>
      </c>
      <c r="BH460" t="s">
        <v>86</v>
      </c>
      <c r="BI460" t="s">
        <v>106</v>
      </c>
      <c r="BL460" t="s">
        <v>106</v>
      </c>
      <c r="BT460" s="2">
        <f>Tabla1[[#This Row],[FECHA_TRASPLANTE]]</f>
        <v>44746</v>
      </c>
      <c r="BU460">
        <f>IF(Tabla1[[#This Row],[FALLECIDO SI/NO]]="NO",0,1)</f>
        <v>0</v>
      </c>
      <c r="BV460" s="3">
        <f ca="1">IF(Tabla1[[#This Row],[FALLECIDO_COD]]=0,TODAY()-Tabla1[[#This Row],[FECHA_TRASPLANTE]],Tabla1[[#This Row],[FECHA DE DEFUNCIÓN]]-Tabla1[[#This Row],[FECHA_TRASPLANTE]])</f>
        <v>1129</v>
      </c>
      <c r="BW460" s="3">
        <f ca="1">IF(Tabla1[[#This Row],[FALLECIDO_COD]]=0,TODAY()-Tabla1[[#This Row],[FECHA_TRASPLANTE]],Tabla1[[#This Row],[FECHA DE DEFUNCIÓN]]-Tabla1[[#This Row],[FECHA_TRASPLANTE]])/30.4375</f>
        <v>37.092402464065707</v>
      </c>
      <c r="BX460" s="3">
        <f ca="1">IF(Tabla1[[#This Row],[FALLECIDO_COD]]=0,TODAY()-Tabla1[[#This Row],[FECHA_TRASPLANTE]],Tabla1[[#This Row],[FECHA DE DEFUNCIÓN]]-Tabla1[[#This Row],[FECHA_TRASPLANTE]])/365.25</f>
        <v>3.0910335386721424</v>
      </c>
      <c r="BY460"/>
      <c r="BZ460"/>
    </row>
    <row r="461" spans="1:78" hidden="1" x14ac:dyDescent="0.35">
      <c r="A461" t="s">
        <v>1126</v>
      </c>
      <c r="B461" t="s">
        <v>1126</v>
      </c>
      <c r="D461" t="s">
        <v>1333</v>
      </c>
      <c r="E461" t="s">
        <v>375</v>
      </c>
      <c r="F461" t="s">
        <v>106</v>
      </c>
      <c r="G461" t="s">
        <v>200</v>
      </c>
      <c r="H461" s="2">
        <v>34355</v>
      </c>
      <c r="I461">
        <v>28.544832306639289</v>
      </c>
      <c r="J461" t="s">
        <v>746</v>
      </c>
      <c r="N461" s="11">
        <v>303630341</v>
      </c>
      <c r="O461" s="2">
        <v>44781</v>
      </c>
      <c r="P461" t="s">
        <v>81</v>
      </c>
      <c r="Q461" s="2">
        <v>29206</v>
      </c>
      <c r="R461" s="3">
        <f>(Tabla1[[#This Row],[FECHA_TRASPLANTE]]-Tabla1[[#This Row],[FECHA_NAC]])/365.25</f>
        <v>42.64202600958248</v>
      </c>
      <c r="S461" t="s">
        <v>200</v>
      </c>
      <c r="U461" t="s">
        <v>1907</v>
      </c>
      <c r="V461" t="s">
        <v>1566</v>
      </c>
      <c r="W461" t="s">
        <v>82</v>
      </c>
      <c r="X461" t="s">
        <v>110</v>
      </c>
      <c r="Y461" t="s">
        <v>801</v>
      </c>
      <c r="Z461" t="s">
        <v>1908</v>
      </c>
      <c r="AD461">
        <v>0</v>
      </c>
      <c r="AF461" t="s">
        <v>375</v>
      </c>
      <c r="AG461" t="s">
        <v>375</v>
      </c>
      <c r="AH461" t="s">
        <v>375</v>
      </c>
      <c r="AI461" t="s">
        <v>375</v>
      </c>
      <c r="AJ461" t="s">
        <v>375</v>
      </c>
      <c r="AM461" t="s">
        <v>106</v>
      </c>
      <c r="AN461" s="2" t="s">
        <v>762</v>
      </c>
      <c r="AO461" s="2" t="s">
        <v>762</v>
      </c>
      <c r="AQ461" t="s">
        <v>358</v>
      </c>
      <c r="AR461" s="2" t="s">
        <v>358</v>
      </c>
      <c r="AS461" s="2" t="s">
        <v>358</v>
      </c>
      <c r="AV461" s="2" t="s">
        <v>762</v>
      </c>
      <c r="AY461" t="s">
        <v>106</v>
      </c>
      <c r="AZ461"/>
      <c r="BA461" t="s">
        <v>1812</v>
      </c>
      <c r="BB461">
        <v>1.1000000000000001</v>
      </c>
      <c r="BC461">
        <v>84</v>
      </c>
      <c r="BD461" t="s">
        <v>106</v>
      </c>
      <c r="BI461" t="s">
        <v>106</v>
      </c>
      <c r="BL461" t="s">
        <v>106</v>
      </c>
      <c r="BT461" s="2">
        <f>Tabla1[[#This Row],[FECHA_TRASPLANTE]]</f>
        <v>44781</v>
      </c>
      <c r="BU461">
        <f>IF(Tabla1[[#This Row],[FALLECIDO SI/NO]]="NO",0,1)</f>
        <v>0</v>
      </c>
      <c r="BV461" s="3">
        <f ca="1">IF(Tabla1[[#This Row],[FALLECIDO_COD]]=0,TODAY()-Tabla1[[#This Row],[FECHA_TRASPLANTE]],Tabla1[[#This Row],[FECHA DE DEFUNCIÓN]]-Tabla1[[#This Row],[FECHA_TRASPLANTE]])</f>
        <v>1094</v>
      </c>
      <c r="BW461" s="3">
        <f ca="1">IF(Tabla1[[#This Row],[FALLECIDO_COD]]=0,TODAY()-Tabla1[[#This Row],[FECHA_TRASPLANTE]],Tabla1[[#This Row],[FECHA DE DEFUNCIÓN]]-Tabla1[[#This Row],[FECHA_TRASPLANTE]])/30.4375</f>
        <v>35.942505133470227</v>
      </c>
      <c r="BX461" s="3">
        <f ca="1">IF(Tabla1[[#This Row],[FALLECIDO_COD]]=0,TODAY()-Tabla1[[#This Row],[FECHA_TRASPLANTE]],Tabla1[[#This Row],[FECHA DE DEFUNCIÓN]]-Tabla1[[#This Row],[FECHA_TRASPLANTE]])/365.25</f>
        <v>2.9952087611225187</v>
      </c>
      <c r="BY461"/>
      <c r="BZ461"/>
    </row>
    <row r="462" spans="1:78" hidden="1" x14ac:dyDescent="0.35">
      <c r="A462" t="s">
        <v>75</v>
      </c>
      <c r="B462" t="s">
        <v>1828</v>
      </c>
      <c r="C462" t="s">
        <v>1909</v>
      </c>
      <c r="D462" t="s">
        <v>1129</v>
      </c>
      <c r="E462" t="s">
        <v>77</v>
      </c>
      <c r="H462" s="2">
        <v>23821</v>
      </c>
      <c r="I462">
        <v>57</v>
      </c>
      <c r="K462" t="s">
        <v>1910</v>
      </c>
      <c r="L462" t="s">
        <v>901</v>
      </c>
      <c r="M462" t="s">
        <v>109</v>
      </c>
      <c r="N462" s="11">
        <v>304210027</v>
      </c>
      <c r="O462" s="16">
        <v>44786</v>
      </c>
      <c r="P462" t="s">
        <v>81</v>
      </c>
      <c r="Q462" s="2">
        <v>31965</v>
      </c>
      <c r="R462" s="3">
        <f>(Tabla1[[#This Row],[FECHA_TRASPLANTE]]-Tabla1[[#This Row],[FECHA_NAC]])/365.25</f>
        <v>35.101984941820668</v>
      </c>
      <c r="S462" t="s">
        <v>200</v>
      </c>
      <c r="T462"/>
      <c r="U462" t="s">
        <v>1911</v>
      </c>
      <c r="V462" t="s">
        <v>1824</v>
      </c>
      <c r="W462" t="s">
        <v>82</v>
      </c>
      <c r="X462" t="s">
        <v>110</v>
      </c>
      <c r="Y462" t="s">
        <v>84</v>
      </c>
      <c r="Z462" t="s">
        <v>182</v>
      </c>
      <c r="AD462">
        <v>6</v>
      </c>
      <c r="AF462" t="s">
        <v>978</v>
      </c>
      <c r="AG462" t="s">
        <v>978</v>
      </c>
      <c r="AH462" t="s">
        <v>978</v>
      </c>
      <c r="AI462" t="s">
        <v>978</v>
      </c>
      <c r="AM462" t="s">
        <v>106</v>
      </c>
      <c r="AO462"/>
      <c r="AQ462" t="s">
        <v>358</v>
      </c>
      <c r="AV462" s="2"/>
      <c r="AY462" t="s">
        <v>106</v>
      </c>
      <c r="AZ462"/>
      <c r="BJ462" s="2"/>
      <c r="BO462">
        <v>106470983</v>
      </c>
      <c r="BP462" t="s">
        <v>90</v>
      </c>
      <c r="BQ462" t="s">
        <v>82</v>
      </c>
      <c r="BT462" s="2">
        <f>Tabla1[[#This Row],[FECHA_TRASPLANTE]]</f>
        <v>44786</v>
      </c>
      <c r="BU462">
        <f>IF(Tabla1[[#This Row],[FALLECIDO SI/NO]]="NO",0,1)</f>
        <v>0</v>
      </c>
      <c r="BV462" s="3">
        <f ca="1">IF(Tabla1[[#This Row],[FALLECIDO_COD]]=0,TODAY()-Tabla1[[#This Row],[FECHA_TRASPLANTE]],Tabla1[[#This Row],[FECHA DE DEFUNCIÓN]]-Tabla1[[#This Row],[FECHA_TRASPLANTE]])</f>
        <v>1089</v>
      </c>
      <c r="BW462" s="3">
        <f ca="1">IF(Tabla1[[#This Row],[FALLECIDO_COD]]=0,TODAY()-Tabla1[[#This Row],[FECHA_TRASPLANTE]],Tabla1[[#This Row],[FECHA DE DEFUNCIÓN]]-Tabla1[[#This Row],[FECHA_TRASPLANTE]])/30.4375</f>
        <v>35.7782340862423</v>
      </c>
      <c r="BX462" s="3">
        <f ca="1">IF(Tabla1[[#This Row],[FALLECIDO_COD]]=0,TODAY()-Tabla1[[#This Row],[FECHA_TRASPLANTE]],Tabla1[[#This Row],[FECHA DE DEFUNCIÓN]]-Tabla1[[#This Row],[FECHA_TRASPLANTE]])/365.25</f>
        <v>2.9815195071868583</v>
      </c>
      <c r="BY462"/>
      <c r="BZ462"/>
    </row>
    <row r="463" spans="1:78" hidden="1" x14ac:dyDescent="0.35">
      <c r="A463" t="s">
        <v>377</v>
      </c>
      <c r="D463" t="s">
        <v>1129</v>
      </c>
      <c r="E463" t="s">
        <v>77</v>
      </c>
      <c r="J463" t="s">
        <v>1834</v>
      </c>
      <c r="K463" t="s">
        <v>1912</v>
      </c>
      <c r="L463" t="s">
        <v>167</v>
      </c>
      <c r="M463" t="s">
        <v>592</v>
      </c>
      <c r="N463" s="11">
        <v>502650394</v>
      </c>
      <c r="O463" s="2">
        <v>44786</v>
      </c>
      <c r="P463" t="s">
        <v>81</v>
      </c>
      <c r="Q463" s="2">
        <v>26010</v>
      </c>
      <c r="R463" s="3">
        <f>(Tabla1[[#This Row],[FECHA_TRASPLANTE]]-Tabla1[[#This Row],[FECHA_NAC]])/365.25</f>
        <v>51.405886379192332</v>
      </c>
      <c r="T463"/>
      <c r="W463" t="s">
        <v>82</v>
      </c>
      <c r="X463" t="s">
        <v>125</v>
      </c>
      <c r="Y463" t="s">
        <v>168</v>
      </c>
      <c r="Z463" t="s">
        <v>168</v>
      </c>
      <c r="AM463" t="s">
        <v>106</v>
      </c>
      <c r="AO463"/>
      <c r="AV463" s="2"/>
      <c r="AZ463"/>
      <c r="BT463" s="2">
        <f>Tabla1[[#This Row],[FECHA_TRASPLANTE]]</f>
        <v>44786</v>
      </c>
      <c r="BU463">
        <f>IF(Tabla1[[#This Row],[FALLECIDO SI/NO]]="NO",0,1)</f>
        <v>0</v>
      </c>
      <c r="BV463" s="3">
        <f ca="1">IF(Tabla1[[#This Row],[FALLECIDO_COD]]=0,TODAY()-Tabla1[[#This Row],[FECHA_TRASPLANTE]],Tabla1[[#This Row],[FECHA DE DEFUNCIÓN]]-Tabla1[[#This Row],[FECHA_TRASPLANTE]])</f>
        <v>1089</v>
      </c>
      <c r="BW463" s="3">
        <f ca="1">IF(Tabla1[[#This Row],[FALLECIDO_COD]]=0,TODAY()-Tabla1[[#This Row],[FECHA_TRASPLANTE]],Tabla1[[#This Row],[FECHA DE DEFUNCIÓN]]-Tabla1[[#This Row],[FECHA_TRASPLANTE]])/30.4375</f>
        <v>35.7782340862423</v>
      </c>
      <c r="BX463" s="3">
        <f ca="1">IF(Tabla1[[#This Row],[FALLECIDO_COD]]=0,TODAY()-Tabla1[[#This Row],[FECHA_TRASPLANTE]],Tabla1[[#This Row],[FECHA DE DEFUNCIÓN]]-Tabla1[[#This Row],[FECHA_TRASPLANTE]])/365.25</f>
        <v>2.9815195071868583</v>
      </c>
      <c r="BY463"/>
      <c r="BZ463"/>
    </row>
    <row r="464" spans="1:78" hidden="1" x14ac:dyDescent="0.35">
      <c r="A464" t="s">
        <v>1125</v>
      </c>
      <c r="B464" t="s">
        <v>1125</v>
      </c>
      <c r="C464" t="s">
        <v>1334</v>
      </c>
      <c r="D464" t="s">
        <v>1129</v>
      </c>
      <c r="E464" t="s">
        <v>375</v>
      </c>
      <c r="G464" t="s">
        <v>200</v>
      </c>
      <c r="H464" s="2">
        <v>31945</v>
      </c>
      <c r="I464">
        <v>35.167693360711844</v>
      </c>
      <c r="J464" t="s">
        <v>1800</v>
      </c>
      <c r="K464" t="s">
        <v>1913</v>
      </c>
      <c r="L464" t="s">
        <v>280</v>
      </c>
      <c r="M464" t="s">
        <v>386</v>
      </c>
      <c r="N464" s="11">
        <v>111070589</v>
      </c>
      <c r="O464" s="2">
        <v>44790</v>
      </c>
      <c r="P464" t="s">
        <v>81</v>
      </c>
      <c r="Q464" s="2">
        <v>23221</v>
      </c>
      <c r="R464" s="3">
        <f>(Tabla1[[#This Row],[FECHA_TRASPLANTE]]-Tabla1[[#This Row],[FECHA_NAC]])/365.25</f>
        <v>59.052703627652292</v>
      </c>
      <c r="S464" t="s">
        <v>210</v>
      </c>
      <c r="T464"/>
      <c r="U464" t="s">
        <v>1348</v>
      </c>
      <c r="V464" t="s">
        <v>1566</v>
      </c>
      <c r="W464" t="s">
        <v>82</v>
      </c>
      <c r="X464" t="s">
        <v>261</v>
      </c>
      <c r="Y464" t="s">
        <v>84</v>
      </c>
      <c r="Z464" t="s">
        <v>261</v>
      </c>
      <c r="AD464">
        <v>0</v>
      </c>
      <c r="AF464" t="s">
        <v>816</v>
      </c>
      <c r="AG464" t="s">
        <v>1803</v>
      </c>
      <c r="AH464" t="s">
        <v>1803</v>
      </c>
      <c r="AI464" t="s">
        <v>1803</v>
      </c>
      <c r="AM464" t="s">
        <v>106</v>
      </c>
      <c r="AO464" t="s">
        <v>1334</v>
      </c>
      <c r="AQ464" t="s">
        <v>358</v>
      </c>
      <c r="AV464" s="2" t="s">
        <v>1334</v>
      </c>
      <c r="AY464" t="s">
        <v>106</v>
      </c>
      <c r="AZ464"/>
      <c r="BO464" t="s">
        <v>1914</v>
      </c>
      <c r="BP464" t="s">
        <v>90</v>
      </c>
      <c r="BQ464" t="s">
        <v>1849</v>
      </c>
      <c r="BR464" t="s">
        <v>1854</v>
      </c>
      <c r="BS464" t="s">
        <v>1855</v>
      </c>
      <c r="BT464" s="2">
        <f>Tabla1[[#This Row],[FECHA_TRASPLANTE]]</f>
        <v>44790</v>
      </c>
      <c r="BU464">
        <f>IF(Tabla1[[#This Row],[FALLECIDO SI/NO]]="NO",0,1)</f>
        <v>0</v>
      </c>
      <c r="BV464" s="3">
        <f ca="1">IF(Tabla1[[#This Row],[FALLECIDO_COD]]=0,TODAY()-Tabla1[[#This Row],[FECHA_TRASPLANTE]],Tabla1[[#This Row],[FECHA DE DEFUNCIÓN]]-Tabla1[[#This Row],[FECHA_TRASPLANTE]])</f>
        <v>1085</v>
      </c>
      <c r="BW464" s="3">
        <f ca="1">IF(Tabla1[[#This Row],[FALLECIDO_COD]]=0,TODAY()-Tabla1[[#This Row],[FECHA_TRASPLANTE]],Tabla1[[#This Row],[FECHA DE DEFUNCIÓN]]-Tabla1[[#This Row],[FECHA_TRASPLANTE]])/30.4375</f>
        <v>35.646817248459961</v>
      </c>
      <c r="BX464" s="3">
        <f ca="1">IF(Tabla1[[#This Row],[FALLECIDO_COD]]=0,TODAY()-Tabla1[[#This Row],[FECHA_TRASPLANTE]],Tabla1[[#This Row],[FECHA DE DEFUNCIÓN]]-Tabla1[[#This Row],[FECHA_TRASPLANTE]])/365.25</f>
        <v>2.97056810403833</v>
      </c>
      <c r="BY464"/>
      <c r="BZ464"/>
    </row>
    <row r="465" spans="1:78" hidden="1" x14ac:dyDescent="0.35">
      <c r="A465" t="s">
        <v>1126</v>
      </c>
      <c r="B465" t="s">
        <v>1126</v>
      </c>
      <c r="D465" t="s">
        <v>1333</v>
      </c>
      <c r="E465" t="s">
        <v>375</v>
      </c>
      <c r="F465" t="s">
        <v>106</v>
      </c>
      <c r="G465" t="s">
        <v>200</v>
      </c>
      <c r="H465" s="2">
        <v>36964</v>
      </c>
      <c r="I465">
        <v>21.459274469541409</v>
      </c>
      <c r="J465" t="s">
        <v>746</v>
      </c>
      <c r="N465" s="11">
        <v>2970088939</v>
      </c>
      <c r="O465" s="2">
        <v>44802</v>
      </c>
      <c r="P465" t="s">
        <v>1669</v>
      </c>
      <c r="Q465" s="2">
        <v>35668</v>
      </c>
      <c r="R465" s="3">
        <f>(Tabla1[[#This Row],[FECHA_TRASPLANTE]]-Tabla1[[#This Row],[FECHA_NAC]])/365.25</f>
        <v>25.007529089664612</v>
      </c>
      <c r="S465" t="s">
        <v>200</v>
      </c>
      <c r="U465" t="s">
        <v>1915</v>
      </c>
      <c r="V465" t="s">
        <v>1566</v>
      </c>
      <c r="W465" t="s">
        <v>146</v>
      </c>
      <c r="X465" t="s">
        <v>110</v>
      </c>
      <c r="Y465" t="s">
        <v>340</v>
      </c>
      <c r="Z465" t="s">
        <v>676</v>
      </c>
      <c r="AD465">
        <v>0</v>
      </c>
      <c r="AF465" t="s">
        <v>375</v>
      </c>
      <c r="AG465" t="s">
        <v>375</v>
      </c>
      <c r="AH465" t="s">
        <v>375</v>
      </c>
      <c r="AI465" t="s">
        <v>375</v>
      </c>
      <c r="AJ465" t="s">
        <v>375</v>
      </c>
      <c r="AM465" t="s">
        <v>106</v>
      </c>
      <c r="AN465" s="2" t="s">
        <v>762</v>
      </c>
      <c r="AO465" s="2" t="s">
        <v>762</v>
      </c>
      <c r="AQ465" t="s">
        <v>358</v>
      </c>
      <c r="AR465" s="2" t="s">
        <v>358</v>
      </c>
      <c r="AS465" s="2" t="s">
        <v>358</v>
      </c>
      <c r="AV465" s="2" t="s">
        <v>762</v>
      </c>
      <c r="AY465" t="s">
        <v>106</v>
      </c>
      <c r="AZ465"/>
      <c r="BA465" t="s">
        <v>1812</v>
      </c>
      <c r="BB465">
        <v>0.88</v>
      </c>
      <c r="BC465">
        <v>122</v>
      </c>
      <c r="BD465" t="s">
        <v>106</v>
      </c>
      <c r="BI465" t="s">
        <v>106</v>
      </c>
      <c r="BL465" t="s">
        <v>106</v>
      </c>
      <c r="BT465" s="2">
        <f>Tabla1[[#This Row],[FECHA_TRASPLANTE]]</f>
        <v>44802</v>
      </c>
      <c r="BU465">
        <f>IF(Tabla1[[#This Row],[FALLECIDO SI/NO]]="NO",0,1)</f>
        <v>0</v>
      </c>
      <c r="BV465" s="3">
        <f ca="1">IF(Tabla1[[#This Row],[FALLECIDO_COD]]=0,TODAY()-Tabla1[[#This Row],[FECHA_TRASPLANTE]],Tabla1[[#This Row],[FECHA DE DEFUNCIÓN]]-Tabla1[[#This Row],[FECHA_TRASPLANTE]])</f>
        <v>1073</v>
      </c>
      <c r="BW465" s="3">
        <f ca="1">IF(Tabla1[[#This Row],[FALLECIDO_COD]]=0,TODAY()-Tabla1[[#This Row],[FECHA_TRASPLANTE]],Tabla1[[#This Row],[FECHA DE DEFUNCIÓN]]-Tabla1[[#This Row],[FECHA_TRASPLANTE]])/30.4375</f>
        <v>35.252566735112936</v>
      </c>
      <c r="BX465" s="3">
        <f ca="1">IF(Tabla1[[#This Row],[FALLECIDO_COD]]=0,TODAY()-Tabla1[[#This Row],[FECHA_TRASPLANTE]],Tabla1[[#This Row],[FECHA DE DEFUNCIÓN]]-Tabla1[[#This Row],[FECHA_TRASPLANTE]])/365.25</f>
        <v>2.9377138945927448</v>
      </c>
      <c r="BY465"/>
      <c r="BZ465"/>
    </row>
    <row r="466" spans="1:78" hidden="1" x14ac:dyDescent="0.35">
      <c r="A466" t="s">
        <v>1125</v>
      </c>
      <c r="B466" t="s">
        <v>1125</v>
      </c>
      <c r="C466" t="s">
        <v>1334</v>
      </c>
      <c r="D466" t="s">
        <v>1129</v>
      </c>
      <c r="E466" t="s">
        <v>375</v>
      </c>
      <c r="I466">
        <v>122.68583162217659</v>
      </c>
      <c r="J466" t="s">
        <v>1800</v>
      </c>
      <c r="K466" t="s">
        <v>1916</v>
      </c>
      <c r="L466" t="s">
        <v>203</v>
      </c>
      <c r="M466" t="s">
        <v>156</v>
      </c>
      <c r="N466" s="11">
        <v>112590726</v>
      </c>
      <c r="O466" s="2">
        <v>44811</v>
      </c>
      <c r="P466" t="s">
        <v>81</v>
      </c>
      <c r="R466" s="3">
        <f>(Tabla1[[#This Row],[FECHA_TRASPLANTE]]-Tabla1[[#This Row],[FECHA_NAC]])/365.25</f>
        <v>122.68583162217659</v>
      </c>
      <c r="T466"/>
      <c r="U466" t="s">
        <v>1348</v>
      </c>
      <c r="V466" t="s">
        <v>1566</v>
      </c>
      <c r="W466" t="s">
        <v>82</v>
      </c>
      <c r="X466" t="s">
        <v>91</v>
      </c>
      <c r="Y466" t="s">
        <v>580</v>
      </c>
      <c r="Z466" t="s">
        <v>454</v>
      </c>
      <c r="AA466">
        <v>1.5</v>
      </c>
      <c r="AD466">
        <v>0</v>
      </c>
      <c r="AF466" t="s">
        <v>375</v>
      </c>
      <c r="AG466" t="s">
        <v>375</v>
      </c>
      <c r="AH466" t="s">
        <v>375</v>
      </c>
      <c r="AI466" t="s">
        <v>375</v>
      </c>
      <c r="AM466" t="s">
        <v>106</v>
      </c>
      <c r="AO466"/>
      <c r="AQ466" t="s">
        <v>358</v>
      </c>
      <c r="AR466" t="s">
        <v>358</v>
      </c>
      <c r="AV466" s="2"/>
      <c r="AY466" t="s">
        <v>106</v>
      </c>
      <c r="AZ466"/>
      <c r="BA466" t="s">
        <v>1917</v>
      </c>
      <c r="BB466" t="s">
        <v>1918</v>
      </c>
      <c r="BC466">
        <v>84</v>
      </c>
      <c r="BD466" t="s">
        <v>106</v>
      </c>
      <c r="BH466" t="s">
        <v>106</v>
      </c>
      <c r="BI466" t="s">
        <v>106</v>
      </c>
      <c r="BJ466" t="s">
        <v>1334</v>
      </c>
      <c r="BL466" t="s">
        <v>106</v>
      </c>
      <c r="BM466" t="s">
        <v>1334</v>
      </c>
      <c r="BN466" t="s">
        <v>1334</v>
      </c>
      <c r="BT466" s="2">
        <f>Tabla1[[#This Row],[FECHA_TRASPLANTE]]</f>
        <v>44811</v>
      </c>
      <c r="BU466">
        <f>IF(Tabla1[[#This Row],[FALLECIDO SI/NO]]="NO",0,1)</f>
        <v>0</v>
      </c>
      <c r="BV466" s="3">
        <f ca="1">IF(Tabla1[[#This Row],[FALLECIDO_COD]]=0,TODAY()-Tabla1[[#This Row],[FECHA_TRASPLANTE]],Tabla1[[#This Row],[FECHA DE DEFUNCIÓN]]-Tabla1[[#This Row],[FECHA_TRASPLANTE]])</f>
        <v>1064</v>
      </c>
      <c r="BW466" s="3">
        <f ca="1">IF(Tabla1[[#This Row],[FALLECIDO_COD]]=0,TODAY()-Tabla1[[#This Row],[FECHA_TRASPLANTE]],Tabla1[[#This Row],[FECHA DE DEFUNCIÓN]]-Tabla1[[#This Row],[FECHA_TRASPLANTE]])/30.4375</f>
        <v>34.956878850102669</v>
      </c>
      <c r="BX466" s="3">
        <f ca="1">IF(Tabla1[[#This Row],[FALLECIDO_COD]]=0,TODAY()-Tabla1[[#This Row],[FECHA_TRASPLANTE]],Tabla1[[#This Row],[FECHA DE DEFUNCIÓN]]-Tabla1[[#This Row],[FECHA_TRASPLANTE]])/365.25</f>
        <v>2.9130732375085557</v>
      </c>
      <c r="BY466"/>
      <c r="BZ466"/>
    </row>
    <row r="467" spans="1:78" hidden="1" x14ac:dyDescent="0.35">
      <c r="A467" t="s">
        <v>1126</v>
      </c>
      <c r="B467" t="s">
        <v>1126</v>
      </c>
      <c r="D467" t="s">
        <v>1333</v>
      </c>
      <c r="E467" t="s">
        <v>77</v>
      </c>
      <c r="F467" t="s">
        <v>86</v>
      </c>
      <c r="I467">
        <v>122.69678302532512</v>
      </c>
      <c r="J467" t="s">
        <v>1919</v>
      </c>
      <c r="K467" t="s">
        <v>1920</v>
      </c>
      <c r="L467" t="s">
        <v>452</v>
      </c>
      <c r="M467" t="s">
        <v>1684</v>
      </c>
      <c r="N467" s="11">
        <v>303130725</v>
      </c>
      <c r="O467" s="2">
        <v>44815</v>
      </c>
      <c r="P467" t="s">
        <v>81</v>
      </c>
      <c r="Q467" s="2">
        <v>25983</v>
      </c>
      <c r="R467" s="3">
        <f>(Tabla1[[#This Row],[FECHA_TRASPLANTE]]-Tabla1[[#This Row],[FECHA_NAC]])/365.25</f>
        <v>51.559206023271734</v>
      </c>
      <c r="S467" t="s">
        <v>344</v>
      </c>
      <c r="U467" t="s">
        <v>1907</v>
      </c>
      <c r="V467" t="s">
        <v>1551</v>
      </c>
      <c r="W467" t="s">
        <v>82</v>
      </c>
      <c r="X467" t="s">
        <v>110</v>
      </c>
      <c r="Y467" t="s">
        <v>111</v>
      </c>
      <c r="Z467" t="s">
        <v>454</v>
      </c>
      <c r="AD467">
        <v>0</v>
      </c>
      <c r="AF467" t="s">
        <v>375</v>
      </c>
      <c r="AG467" t="s">
        <v>375</v>
      </c>
      <c r="AH467" t="s">
        <v>1676</v>
      </c>
      <c r="AI467" t="s">
        <v>1676</v>
      </c>
      <c r="AM467" t="s">
        <v>86</v>
      </c>
      <c r="AN467" s="2">
        <v>44874</v>
      </c>
      <c r="AO467" s="2" t="s">
        <v>1921</v>
      </c>
      <c r="AP467" t="s">
        <v>106</v>
      </c>
      <c r="AQ467" t="s">
        <v>358</v>
      </c>
      <c r="AR467" s="2"/>
      <c r="AS467" s="2"/>
      <c r="AV467" s="2" t="s">
        <v>762</v>
      </c>
      <c r="AY467" t="s">
        <v>106</v>
      </c>
      <c r="BA467" t="s">
        <v>1552</v>
      </c>
      <c r="BB467" t="s">
        <v>762</v>
      </c>
      <c r="BC467" t="s">
        <v>762</v>
      </c>
      <c r="BD467" t="s">
        <v>106</v>
      </c>
      <c r="BI467" t="s">
        <v>106</v>
      </c>
      <c r="BL467" t="s">
        <v>106</v>
      </c>
      <c r="BT467" s="2">
        <f>Tabla1[[#This Row],[FECHA_TRASPLANTE]]</f>
        <v>44815</v>
      </c>
      <c r="BU467">
        <f>IF(Tabla1[[#This Row],[FALLECIDO SI/NO]]="NO",0,1)</f>
        <v>1</v>
      </c>
      <c r="BV467" s="3">
        <f ca="1">IF(Tabla1[[#This Row],[FALLECIDO_COD]]=0,TODAY()-Tabla1[[#This Row],[FECHA_TRASPLANTE]],Tabla1[[#This Row],[FECHA DE DEFUNCIÓN]]-Tabla1[[#This Row],[FECHA_TRASPLANTE]])</f>
        <v>59</v>
      </c>
      <c r="BW467" s="3">
        <f ca="1">IF(Tabla1[[#This Row],[FALLECIDO_COD]]=0,TODAY()-Tabla1[[#This Row],[FECHA_TRASPLANTE]],Tabla1[[#This Row],[FECHA DE DEFUNCIÓN]]-Tabla1[[#This Row],[FECHA_TRASPLANTE]])/30.4375</f>
        <v>1.9383983572895278</v>
      </c>
      <c r="BX467" s="3">
        <f ca="1">IF(Tabla1[[#This Row],[FALLECIDO_COD]]=0,TODAY()-Tabla1[[#This Row],[FECHA_TRASPLANTE]],Tabla1[[#This Row],[FECHA DE DEFUNCIÓN]]-Tabla1[[#This Row],[FECHA_TRASPLANTE]])/365.25</f>
        <v>0.16153319644079397</v>
      </c>
      <c r="BY467"/>
      <c r="BZ467"/>
    </row>
    <row r="468" spans="1:78" hidden="1" x14ac:dyDescent="0.35">
      <c r="A468" t="s">
        <v>1126</v>
      </c>
      <c r="B468" t="s">
        <v>1126</v>
      </c>
      <c r="D468" t="s">
        <v>1333</v>
      </c>
      <c r="E468" t="s">
        <v>375</v>
      </c>
      <c r="F468" t="s">
        <v>106</v>
      </c>
      <c r="G468" t="s">
        <v>210</v>
      </c>
      <c r="H468" s="2">
        <v>32837</v>
      </c>
      <c r="I468">
        <v>32.854209445585212</v>
      </c>
      <c r="J468" t="s">
        <v>746</v>
      </c>
      <c r="N468" s="11">
        <v>304250685</v>
      </c>
      <c r="O468" s="2">
        <v>44837</v>
      </c>
      <c r="P468" t="s">
        <v>81</v>
      </c>
      <c r="Q468" s="2">
        <v>32174</v>
      </c>
      <c r="R468" s="3">
        <f>(Tabla1[[#This Row],[FECHA_TRASPLANTE]]-Tabla1[[#This Row],[FECHA_NAC]])/365.25</f>
        <v>34.669404517453799</v>
      </c>
      <c r="S468" t="s">
        <v>210</v>
      </c>
      <c r="U468" t="s">
        <v>1922</v>
      </c>
      <c r="V468" t="s">
        <v>1551</v>
      </c>
      <c r="W468" t="s">
        <v>82</v>
      </c>
      <c r="X468" t="s">
        <v>110</v>
      </c>
      <c r="Y468" t="s">
        <v>110</v>
      </c>
      <c r="Z468" t="s">
        <v>307</v>
      </c>
      <c r="AD468">
        <v>0</v>
      </c>
      <c r="AF468" t="s">
        <v>375</v>
      </c>
      <c r="AG468" t="s">
        <v>375</v>
      </c>
      <c r="AH468" t="s">
        <v>375</v>
      </c>
      <c r="AI468" t="s">
        <v>375</v>
      </c>
      <c r="AM468" t="s">
        <v>106</v>
      </c>
      <c r="AN468" s="2" t="s">
        <v>762</v>
      </c>
      <c r="AO468" s="2" t="s">
        <v>762</v>
      </c>
      <c r="AQ468" t="s">
        <v>358</v>
      </c>
      <c r="AR468" s="2" t="s">
        <v>358</v>
      </c>
      <c r="AS468" s="2" t="s">
        <v>358</v>
      </c>
      <c r="AV468" s="2" t="s">
        <v>762</v>
      </c>
      <c r="AY468" t="s">
        <v>106</v>
      </c>
      <c r="AZ468"/>
      <c r="BA468" t="s">
        <v>1812</v>
      </c>
      <c r="BB468">
        <v>0.95</v>
      </c>
      <c r="BC468">
        <v>106</v>
      </c>
      <c r="BD468" t="s">
        <v>86</v>
      </c>
      <c r="BE468" t="s">
        <v>1923</v>
      </c>
      <c r="BF468" t="s">
        <v>1816</v>
      </c>
      <c r="BG468" t="s">
        <v>1924</v>
      </c>
      <c r="BH468" t="s">
        <v>86</v>
      </c>
      <c r="BI468" t="s">
        <v>106</v>
      </c>
      <c r="BL468" t="s">
        <v>106</v>
      </c>
      <c r="BT468" s="2">
        <f>Tabla1[[#This Row],[FECHA_TRASPLANTE]]</f>
        <v>44837</v>
      </c>
      <c r="BU468">
        <f>IF(Tabla1[[#This Row],[FALLECIDO SI/NO]]="NO",0,1)</f>
        <v>0</v>
      </c>
      <c r="BV468" s="3">
        <f ca="1">IF(Tabla1[[#This Row],[FALLECIDO_COD]]=0,TODAY()-Tabla1[[#This Row],[FECHA_TRASPLANTE]],Tabla1[[#This Row],[FECHA DE DEFUNCIÓN]]-Tabla1[[#This Row],[FECHA_TRASPLANTE]])</f>
        <v>1038</v>
      </c>
      <c r="BW468" s="3">
        <f ca="1">IF(Tabla1[[#This Row],[FALLECIDO_COD]]=0,TODAY()-Tabla1[[#This Row],[FECHA_TRASPLANTE]],Tabla1[[#This Row],[FECHA DE DEFUNCIÓN]]-Tabla1[[#This Row],[FECHA_TRASPLANTE]])/30.4375</f>
        <v>34.102669404517457</v>
      </c>
      <c r="BX468" s="3">
        <f ca="1">IF(Tabla1[[#This Row],[FALLECIDO_COD]]=0,TODAY()-Tabla1[[#This Row],[FECHA_TRASPLANTE]],Tabla1[[#This Row],[FECHA DE DEFUNCIÓN]]-Tabla1[[#This Row],[FECHA_TRASPLANTE]])/365.25</f>
        <v>2.8418891170431211</v>
      </c>
      <c r="BY468"/>
      <c r="BZ468"/>
    </row>
    <row r="469" spans="1:78" hidden="1" x14ac:dyDescent="0.35">
      <c r="A469" t="s">
        <v>1126</v>
      </c>
      <c r="B469" t="s">
        <v>1126</v>
      </c>
      <c r="D469" t="s">
        <v>1333</v>
      </c>
      <c r="E469" t="s">
        <v>375</v>
      </c>
      <c r="F469" t="s">
        <v>106</v>
      </c>
      <c r="G469" t="s">
        <v>210</v>
      </c>
      <c r="H469" s="2">
        <v>31763</v>
      </c>
      <c r="I469">
        <v>35.832991101984945</v>
      </c>
      <c r="J469" t="s">
        <v>746</v>
      </c>
      <c r="N469" s="11">
        <v>303700780</v>
      </c>
      <c r="O469" s="2">
        <v>44851</v>
      </c>
      <c r="P469" t="s">
        <v>1669</v>
      </c>
      <c r="Q469" s="2">
        <v>29594</v>
      </c>
      <c r="R469" s="3">
        <f>(Tabla1[[#This Row],[FECHA_TRASPLANTE]]-Tabla1[[#This Row],[FECHA_NAC]])/365.25</f>
        <v>41.771389459274467</v>
      </c>
      <c r="S469" t="s">
        <v>200</v>
      </c>
      <c r="U469" t="s">
        <v>1925</v>
      </c>
      <c r="V469" t="s">
        <v>1566</v>
      </c>
      <c r="W469" t="s">
        <v>82</v>
      </c>
      <c r="X469" t="s">
        <v>110</v>
      </c>
      <c r="Y469" t="s">
        <v>110</v>
      </c>
      <c r="Z469" t="s">
        <v>182</v>
      </c>
      <c r="AD469">
        <v>0</v>
      </c>
      <c r="AF469" t="s">
        <v>375</v>
      </c>
      <c r="AG469" t="s">
        <v>375</v>
      </c>
      <c r="AH469" t="s">
        <v>375</v>
      </c>
      <c r="AI469" t="s">
        <v>375</v>
      </c>
      <c r="AM469" t="s">
        <v>106</v>
      </c>
      <c r="AN469" s="2" t="s">
        <v>762</v>
      </c>
      <c r="AO469" s="2" t="s">
        <v>762</v>
      </c>
      <c r="AQ469" t="s">
        <v>358</v>
      </c>
      <c r="AR469" s="2" t="s">
        <v>358</v>
      </c>
      <c r="AS469" s="2" t="s">
        <v>358</v>
      </c>
      <c r="AV469" s="2" t="s">
        <v>762</v>
      </c>
      <c r="AY469" t="s">
        <v>106</v>
      </c>
      <c r="AZ469"/>
      <c r="BA469" t="s">
        <v>1812</v>
      </c>
      <c r="BB469">
        <v>1.01</v>
      </c>
      <c r="BC469">
        <v>94</v>
      </c>
      <c r="BD469" t="s">
        <v>106</v>
      </c>
      <c r="BI469" t="s">
        <v>106</v>
      </c>
      <c r="BL469" t="s">
        <v>106</v>
      </c>
      <c r="BT469" s="2">
        <f>Tabla1[[#This Row],[FECHA_TRASPLANTE]]</f>
        <v>44851</v>
      </c>
      <c r="BU469">
        <f>IF(Tabla1[[#This Row],[FALLECIDO SI/NO]]="NO",0,1)</f>
        <v>0</v>
      </c>
      <c r="BV469" s="3">
        <f ca="1">IF(Tabla1[[#This Row],[FALLECIDO_COD]]=0,TODAY()-Tabla1[[#This Row],[FECHA_TRASPLANTE]],Tabla1[[#This Row],[FECHA DE DEFUNCIÓN]]-Tabla1[[#This Row],[FECHA_TRASPLANTE]])</f>
        <v>1024</v>
      </c>
      <c r="BW469" s="3">
        <f ca="1">IF(Tabla1[[#This Row],[FALLECIDO_COD]]=0,TODAY()-Tabla1[[#This Row],[FECHA_TRASPLANTE]],Tabla1[[#This Row],[FECHA DE DEFUNCIÓN]]-Tabla1[[#This Row],[FECHA_TRASPLANTE]])/30.4375</f>
        <v>33.642710472279262</v>
      </c>
      <c r="BX469" s="3">
        <f ca="1">IF(Tabla1[[#This Row],[FALLECIDO_COD]]=0,TODAY()-Tabla1[[#This Row],[FECHA_TRASPLANTE]],Tabla1[[#This Row],[FECHA DE DEFUNCIÓN]]-Tabla1[[#This Row],[FECHA_TRASPLANTE]])/365.25</f>
        <v>2.8035592060232717</v>
      </c>
      <c r="BY469"/>
      <c r="BZ469"/>
    </row>
    <row r="470" spans="1:78" hidden="1" x14ac:dyDescent="0.35">
      <c r="A470" t="s">
        <v>377</v>
      </c>
      <c r="D470" t="s">
        <v>1129</v>
      </c>
      <c r="E470" t="s">
        <v>77</v>
      </c>
      <c r="J470" t="s">
        <v>1834</v>
      </c>
      <c r="K470" t="s">
        <v>1861</v>
      </c>
      <c r="L470" t="s">
        <v>1926</v>
      </c>
      <c r="M470" t="s">
        <v>1090</v>
      </c>
      <c r="N470" s="11">
        <v>110760008</v>
      </c>
      <c r="O470" s="2">
        <v>44857</v>
      </c>
      <c r="P470" t="s">
        <v>81</v>
      </c>
      <c r="Q470" s="2">
        <v>29421</v>
      </c>
      <c r="R470" s="3">
        <f>(Tabla1[[#This Row],[FECHA_TRASPLANTE]]-Tabla1[[#This Row],[FECHA_NAC]])/365.25</f>
        <v>42.261464750171115</v>
      </c>
      <c r="T470"/>
      <c r="W470" t="s">
        <v>82</v>
      </c>
      <c r="X470" t="s">
        <v>261</v>
      </c>
      <c r="Y470" t="s">
        <v>84</v>
      </c>
      <c r="Z470" t="s">
        <v>302</v>
      </c>
      <c r="AM470" t="s">
        <v>106</v>
      </c>
      <c r="AO470"/>
      <c r="AV470" s="2"/>
      <c r="AZ470"/>
      <c r="BT470" s="2">
        <f>Tabla1[[#This Row],[FECHA_TRASPLANTE]]</f>
        <v>44857</v>
      </c>
      <c r="BU470">
        <f>IF(Tabla1[[#This Row],[FALLECIDO SI/NO]]="NO",0,1)</f>
        <v>0</v>
      </c>
      <c r="BV470" s="3">
        <f ca="1">IF(Tabla1[[#This Row],[FALLECIDO_COD]]=0,TODAY()-Tabla1[[#This Row],[FECHA_TRASPLANTE]],Tabla1[[#This Row],[FECHA DE DEFUNCIÓN]]-Tabla1[[#This Row],[FECHA_TRASPLANTE]])</f>
        <v>1018</v>
      </c>
      <c r="BW470" s="3">
        <f ca="1">IF(Tabla1[[#This Row],[FALLECIDO_COD]]=0,TODAY()-Tabla1[[#This Row],[FECHA_TRASPLANTE]],Tabla1[[#This Row],[FECHA DE DEFUNCIÓN]]-Tabla1[[#This Row],[FECHA_TRASPLANTE]])/30.4375</f>
        <v>33.445585215605746</v>
      </c>
      <c r="BX470" s="3">
        <f ca="1">IF(Tabla1[[#This Row],[FALLECIDO_COD]]=0,TODAY()-Tabla1[[#This Row],[FECHA_TRASPLANTE]],Tabla1[[#This Row],[FECHA DE DEFUNCIÓN]]-Tabla1[[#This Row],[FECHA_TRASPLANTE]])/365.25</f>
        <v>2.7871321013004793</v>
      </c>
      <c r="BY470"/>
      <c r="BZ470"/>
    </row>
    <row r="471" spans="1:78" hidden="1" x14ac:dyDescent="0.35">
      <c r="A471" t="s">
        <v>1125</v>
      </c>
      <c r="B471" t="s">
        <v>1125</v>
      </c>
      <c r="C471" t="s">
        <v>1927</v>
      </c>
      <c r="D471" t="s">
        <v>1129</v>
      </c>
      <c r="E471" t="s">
        <v>77</v>
      </c>
      <c r="F471" t="s">
        <v>106</v>
      </c>
      <c r="G471" t="s">
        <v>205</v>
      </c>
      <c r="H471" s="2">
        <v>25842</v>
      </c>
      <c r="I471">
        <v>52.062970568104035</v>
      </c>
      <c r="J471" t="s">
        <v>1928</v>
      </c>
      <c r="K471" t="s">
        <v>1929</v>
      </c>
      <c r="L471" t="s">
        <v>670</v>
      </c>
      <c r="M471" t="s">
        <v>108</v>
      </c>
      <c r="N471" s="11">
        <v>105450635</v>
      </c>
      <c r="O471" s="2">
        <v>44858</v>
      </c>
      <c r="P471" t="s">
        <v>1549</v>
      </c>
      <c r="Q471" s="2">
        <v>21189</v>
      </c>
      <c r="R471" s="3">
        <f>(Tabla1[[#This Row],[FECHA_TRASPLANTE]]-Tabla1[[#This Row],[FECHA_NAC]])/365.25</f>
        <v>64.802190280629702</v>
      </c>
      <c r="T471">
        <v>43134</v>
      </c>
      <c r="U471" t="s">
        <v>1348</v>
      </c>
      <c r="V471" t="s">
        <v>1551</v>
      </c>
      <c r="W471" t="s">
        <v>82</v>
      </c>
      <c r="X471" t="s">
        <v>91</v>
      </c>
      <c r="Y471" t="s">
        <v>84</v>
      </c>
      <c r="Z471" t="s">
        <v>307</v>
      </c>
      <c r="AA471">
        <v>17.170000000000002</v>
      </c>
      <c r="AD471">
        <v>0</v>
      </c>
      <c r="AF471" t="s">
        <v>375</v>
      </c>
      <c r="AG471" t="s">
        <v>375</v>
      </c>
      <c r="AH471" t="s">
        <v>375</v>
      </c>
      <c r="AI471" t="s">
        <v>375</v>
      </c>
      <c r="AJ471" t="s">
        <v>770</v>
      </c>
      <c r="AK471" t="s">
        <v>770</v>
      </c>
      <c r="AL471" t="s">
        <v>770</v>
      </c>
      <c r="AM471" t="s">
        <v>86</v>
      </c>
      <c r="AN471" s="2">
        <v>45276</v>
      </c>
      <c r="AO471" t="s">
        <v>1930</v>
      </c>
      <c r="AP471" t="s">
        <v>106</v>
      </c>
      <c r="AQ471" t="s">
        <v>772</v>
      </c>
      <c r="AR471" t="s">
        <v>772</v>
      </c>
      <c r="AS471" t="s">
        <v>772</v>
      </c>
      <c r="AT471" t="s">
        <v>772</v>
      </c>
      <c r="AU471" t="s">
        <v>772</v>
      </c>
      <c r="AV471" s="2">
        <v>44858</v>
      </c>
      <c r="AW471" t="s">
        <v>1931</v>
      </c>
      <c r="AX471" t="s">
        <v>1569</v>
      </c>
      <c r="AY471" t="s">
        <v>86</v>
      </c>
      <c r="AZ471" s="2">
        <v>44858</v>
      </c>
      <c r="BA471" t="s">
        <v>1917</v>
      </c>
      <c r="BB471" t="s">
        <v>1932</v>
      </c>
      <c r="BC471">
        <v>10.92</v>
      </c>
      <c r="BD471" t="s">
        <v>86</v>
      </c>
      <c r="BE471">
        <v>44860</v>
      </c>
      <c r="BF471" t="s">
        <v>1816</v>
      </c>
      <c r="BG471" t="s">
        <v>1933</v>
      </c>
      <c r="BH471" t="s">
        <v>86</v>
      </c>
      <c r="BI471" t="s">
        <v>106</v>
      </c>
      <c r="BL471" t="s">
        <v>106</v>
      </c>
      <c r="BM471" t="s">
        <v>1334</v>
      </c>
      <c r="BN471" t="s">
        <v>1334</v>
      </c>
      <c r="BT471" s="2">
        <f>Tabla1[[#This Row],[FECHA_TRASPLANTE]]</f>
        <v>44858</v>
      </c>
      <c r="BU471">
        <f>IF(Tabla1[[#This Row],[FALLECIDO SI/NO]]="NO",0,1)</f>
        <v>1</v>
      </c>
      <c r="BV471" s="3">
        <f ca="1">IF(Tabla1[[#This Row],[FALLECIDO_COD]]=0,TODAY()-Tabla1[[#This Row],[FECHA_TRASPLANTE]],Tabla1[[#This Row],[FECHA DE DEFUNCIÓN]]-Tabla1[[#This Row],[FECHA_TRASPLANTE]])</f>
        <v>418</v>
      </c>
      <c r="BW471" s="3">
        <f ca="1">IF(Tabla1[[#This Row],[FALLECIDO_COD]]=0,TODAY()-Tabla1[[#This Row],[FECHA_TRASPLANTE]],Tabla1[[#This Row],[FECHA DE DEFUNCIÓN]]-Tabla1[[#This Row],[FECHA_TRASPLANTE]])/30.4375</f>
        <v>13.733059548254619</v>
      </c>
      <c r="BX471" s="3">
        <f ca="1">IF(Tabla1[[#This Row],[FALLECIDO_COD]]=0,TODAY()-Tabla1[[#This Row],[FECHA_TRASPLANTE]],Tabla1[[#This Row],[FECHA DE DEFUNCIÓN]]-Tabla1[[#This Row],[FECHA_TRASPLANTE]])/365.25</f>
        <v>1.1444216290212184</v>
      </c>
      <c r="BY471"/>
      <c r="BZ471"/>
    </row>
    <row r="472" spans="1:78" hidden="1" x14ac:dyDescent="0.35">
      <c r="A472" t="s">
        <v>376</v>
      </c>
      <c r="B472" t="s">
        <v>376</v>
      </c>
      <c r="C472" t="s">
        <v>818</v>
      </c>
      <c r="D472" t="s">
        <v>1129</v>
      </c>
      <c r="E472" t="s">
        <v>77</v>
      </c>
      <c r="G472" t="s">
        <v>200</v>
      </c>
      <c r="H472" s="2">
        <v>34755</v>
      </c>
      <c r="I472">
        <v>27</v>
      </c>
      <c r="J472" t="s">
        <v>1820</v>
      </c>
      <c r="K472" t="s">
        <v>1934</v>
      </c>
      <c r="L472" t="s">
        <v>1200</v>
      </c>
      <c r="M472" t="s">
        <v>652</v>
      </c>
      <c r="N472" s="11">
        <v>403110205</v>
      </c>
      <c r="O472" s="2">
        <v>44858</v>
      </c>
      <c r="P472" t="s">
        <v>90</v>
      </c>
      <c r="Q472" s="2">
        <v>42060</v>
      </c>
      <c r="R472" s="3">
        <f>(Tabla1[[#This Row],[FECHA_TRASPLANTE]]-Tabla1[[#This Row],[FECHA_NAC]])/365.25</f>
        <v>7.6605065023956191</v>
      </c>
      <c r="S472" t="s">
        <v>200</v>
      </c>
      <c r="T472"/>
      <c r="U472" t="s">
        <v>1876</v>
      </c>
      <c r="V472" t="s">
        <v>1838</v>
      </c>
      <c r="W472" t="s">
        <v>82</v>
      </c>
      <c r="X472" t="s">
        <v>261</v>
      </c>
      <c r="Y472" t="s">
        <v>261</v>
      </c>
      <c r="Z472" t="s">
        <v>585</v>
      </c>
      <c r="AD472">
        <v>0</v>
      </c>
      <c r="AF472" t="s">
        <v>816</v>
      </c>
      <c r="AG472" t="s">
        <v>816</v>
      </c>
      <c r="AH472" t="s">
        <v>816</v>
      </c>
      <c r="AI472" t="s">
        <v>816</v>
      </c>
      <c r="AJ472" t="s">
        <v>816</v>
      </c>
      <c r="AK472" t="s">
        <v>816</v>
      </c>
      <c r="AM472" t="s">
        <v>106</v>
      </c>
      <c r="AO472"/>
      <c r="AQ472" t="s">
        <v>358</v>
      </c>
      <c r="AV472" s="2"/>
      <c r="AY472" t="s">
        <v>106</v>
      </c>
      <c r="AZ472"/>
      <c r="BO472" t="s">
        <v>825</v>
      </c>
      <c r="BP472" t="s">
        <v>90</v>
      </c>
      <c r="BQ472" t="s">
        <v>82</v>
      </c>
      <c r="BS472" t="s">
        <v>1888</v>
      </c>
      <c r="BT472" s="2">
        <f>Tabla1[[#This Row],[FECHA_TRASPLANTE]]</f>
        <v>44858</v>
      </c>
      <c r="BU472">
        <f>IF(Tabla1[[#This Row],[FALLECIDO SI/NO]]="NO",0,1)</f>
        <v>0</v>
      </c>
      <c r="BV472" s="3">
        <f ca="1">IF(Tabla1[[#This Row],[FALLECIDO_COD]]=0,TODAY()-Tabla1[[#This Row],[FECHA_TRASPLANTE]],Tabla1[[#This Row],[FECHA DE DEFUNCIÓN]]-Tabla1[[#This Row],[FECHA_TRASPLANTE]])</f>
        <v>1017</v>
      </c>
      <c r="BW472" s="3">
        <f ca="1">IF(Tabla1[[#This Row],[FALLECIDO_COD]]=0,TODAY()-Tabla1[[#This Row],[FECHA_TRASPLANTE]],Tabla1[[#This Row],[FECHA DE DEFUNCIÓN]]-Tabla1[[#This Row],[FECHA_TRASPLANTE]])/30.4375</f>
        <v>33.412731006160165</v>
      </c>
      <c r="BX472" s="3">
        <f ca="1">IF(Tabla1[[#This Row],[FALLECIDO_COD]]=0,TODAY()-Tabla1[[#This Row],[FECHA_TRASPLANTE]],Tabla1[[#This Row],[FECHA DE DEFUNCIÓN]]-Tabla1[[#This Row],[FECHA_TRASPLANTE]])/365.25</f>
        <v>2.7843942505133472</v>
      </c>
      <c r="BY472"/>
      <c r="BZ472"/>
    </row>
    <row r="473" spans="1:78" hidden="1" x14ac:dyDescent="0.35">
      <c r="A473" t="s">
        <v>75</v>
      </c>
      <c r="B473" t="s">
        <v>1828</v>
      </c>
      <c r="C473" t="s">
        <v>818</v>
      </c>
      <c r="D473" t="s">
        <v>1129</v>
      </c>
      <c r="E473" t="s">
        <v>77</v>
      </c>
      <c r="H473" s="2">
        <v>34755</v>
      </c>
      <c r="I473">
        <v>27</v>
      </c>
      <c r="K473" t="s">
        <v>1935</v>
      </c>
      <c r="L473" t="s">
        <v>108</v>
      </c>
      <c r="M473" t="s">
        <v>233</v>
      </c>
      <c r="N473" s="11">
        <v>115240499</v>
      </c>
      <c r="O473" s="16">
        <v>44858</v>
      </c>
      <c r="P473" t="s">
        <v>81</v>
      </c>
      <c r="Q473" s="2">
        <v>33960</v>
      </c>
      <c r="R473" s="3">
        <f>(Tabla1[[#This Row],[FECHA_TRASPLANTE]]-Tabla1[[#This Row],[FECHA_NAC]])/365.25</f>
        <v>29.83709787816564</v>
      </c>
      <c r="S473" t="s">
        <v>200</v>
      </c>
      <c r="T473"/>
      <c r="U473" t="s">
        <v>1911</v>
      </c>
      <c r="V473" t="s">
        <v>1838</v>
      </c>
      <c r="W473" t="s">
        <v>82</v>
      </c>
      <c r="X473" t="s">
        <v>91</v>
      </c>
      <c r="Y473" t="s">
        <v>193</v>
      </c>
      <c r="Z473" t="s">
        <v>193</v>
      </c>
      <c r="AD473">
        <v>14</v>
      </c>
      <c r="AF473" t="s">
        <v>1936</v>
      </c>
      <c r="AG473" t="s">
        <v>1937</v>
      </c>
      <c r="AH473" t="s">
        <v>770</v>
      </c>
      <c r="AM473" t="s">
        <v>86</v>
      </c>
      <c r="AN473" s="2">
        <v>44871</v>
      </c>
      <c r="AO473" t="s">
        <v>1677</v>
      </c>
      <c r="AP473" t="s">
        <v>106</v>
      </c>
      <c r="AQ473" t="s">
        <v>358</v>
      </c>
      <c r="AV473" s="2"/>
      <c r="AY473" t="s">
        <v>106</v>
      </c>
      <c r="BJ473" s="2"/>
      <c r="BO473">
        <v>702340152</v>
      </c>
      <c r="BP473" t="s">
        <v>90</v>
      </c>
      <c r="BQ473" t="s">
        <v>82</v>
      </c>
      <c r="BT473" s="2">
        <f>Tabla1[[#This Row],[FECHA_TRASPLANTE]]</f>
        <v>44858</v>
      </c>
      <c r="BU473">
        <f>IF(Tabla1[[#This Row],[FALLECIDO SI/NO]]="NO",0,1)</f>
        <v>1</v>
      </c>
      <c r="BV473" s="3">
        <f ca="1">IF(Tabla1[[#This Row],[FALLECIDO_COD]]=0,TODAY()-Tabla1[[#This Row],[FECHA_TRASPLANTE]],Tabla1[[#This Row],[FECHA DE DEFUNCIÓN]]-Tabla1[[#This Row],[FECHA_TRASPLANTE]])</f>
        <v>13</v>
      </c>
      <c r="BW473" s="3">
        <f ca="1">IF(Tabla1[[#This Row],[FALLECIDO_COD]]=0,TODAY()-Tabla1[[#This Row],[FECHA_TRASPLANTE]],Tabla1[[#This Row],[FECHA DE DEFUNCIÓN]]-Tabla1[[#This Row],[FECHA_TRASPLANTE]])/30.4375</f>
        <v>0.4271047227926078</v>
      </c>
      <c r="BX473" s="3">
        <f ca="1">IF(Tabla1[[#This Row],[FALLECIDO_COD]]=0,TODAY()-Tabla1[[#This Row],[FECHA_TRASPLANTE]],Tabla1[[#This Row],[FECHA DE DEFUNCIÓN]]-Tabla1[[#This Row],[FECHA_TRASPLANTE]])/365.25</f>
        <v>3.5592060232717319E-2</v>
      </c>
      <c r="BY473"/>
      <c r="BZ473"/>
    </row>
    <row r="474" spans="1:78" hidden="1" x14ac:dyDescent="0.35">
      <c r="A474" t="s">
        <v>75</v>
      </c>
      <c r="B474" t="s">
        <v>1828</v>
      </c>
      <c r="C474" t="s">
        <v>1938</v>
      </c>
      <c r="D474" t="s">
        <v>1129</v>
      </c>
      <c r="E474" t="s">
        <v>77</v>
      </c>
      <c r="H474" s="2">
        <v>32627</v>
      </c>
      <c r="I474">
        <v>33</v>
      </c>
      <c r="K474" t="s">
        <v>1786</v>
      </c>
      <c r="L474" t="s">
        <v>1282</v>
      </c>
      <c r="M474" t="s">
        <v>103</v>
      </c>
      <c r="N474" s="11">
        <v>203050179</v>
      </c>
      <c r="O474" s="16">
        <v>44870</v>
      </c>
      <c r="P474" t="s">
        <v>81</v>
      </c>
      <c r="Q474" s="2">
        <v>20199</v>
      </c>
      <c r="R474" s="3">
        <f>(Tabla1[[#This Row],[FECHA_TRASPLANTE]]-Tabla1[[#This Row],[FECHA_NAC]])/365.25</f>
        <v>67.545516769336075</v>
      </c>
      <c r="S474" t="s">
        <v>205</v>
      </c>
      <c r="T474"/>
      <c r="U474" t="s">
        <v>1911</v>
      </c>
      <c r="V474" t="s">
        <v>1824</v>
      </c>
      <c r="W474" t="s">
        <v>82</v>
      </c>
      <c r="X474" t="s">
        <v>91</v>
      </c>
      <c r="Y474" t="s">
        <v>211</v>
      </c>
      <c r="Z474" t="s">
        <v>454</v>
      </c>
      <c r="AD474">
        <v>10</v>
      </c>
      <c r="AF474" t="s">
        <v>978</v>
      </c>
      <c r="AG474" t="s">
        <v>978</v>
      </c>
      <c r="AH474" t="s">
        <v>978</v>
      </c>
      <c r="AI474" t="s">
        <v>978</v>
      </c>
      <c r="AM474" t="s">
        <v>106</v>
      </c>
      <c r="AO474"/>
      <c r="AQ474" t="s">
        <v>358</v>
      </c>
      <c r="AV474" s="2"/>
      <c r="AY474" t="s">
        <v>106</v>
      </c>
      <c r="AZ474"/>
      <c r="BJ474" s="2"/>
      <c r="BO474">
        <v>503710257</v>
      </c>
      <c r="BP474" t="s">
        <v>81</v>
      </c>
      <c r="BQ474" t="s">
        <v>82</v>
      </c>
      <c r="BT474" s="2">
        <f>Tabla1[[#This Row],[FECHA_TRASPLANTE]]</f>
        <v>44870</v>
      </c>
      <c r="BU474">
        <f>IF(Tabla1[[#This Row],[FALLECIDO SI/NO]]="NO",0,1)</f>
        <v>0</v>
      </c>
      <c r="BV474" s="3">
        <f ca="1">IF(Tabla1[[#This Row],[FALLECIDO_COD]]=0,TODAY()-Tabla1[[#This Row],[FECHA_TRASPLANTE]],Tabla1[[#This Row],[FECHA DE DEFUNCIÓN]]-Tabla1[[#This Row],[FECHA_TRASPLANTE]])</f>
        <v>1005</v>
      </c>
      <c r="BW474" s="3">
        <f ca="1">IF(Tabla1[[#This Row],[FALLECIDO_COD]]=0,TODAY()-Tabla1[[#This Row],[FECHA_TRASPLANTE]],Tabla1[[#This Row],[FECHA DE DEFUNCIÓN]]-Tabla1[[#This Row],[FECHA_TRASPLANTE]])/30.4375</f>
        <v>33.01848049281314</v>
      </c>
      <c r="BX474" s="3">
        <f ca="1">IF(Tabla1[[#This Row],[FALLECIDO_COD]]=0,TODAY()-Tabla1[[#This Row],[FECHA_TRASPLANTE]],Tabla1[[#This Row],[FECHA DE DEFUNCIÓN]]-Tabla1[[#This Row],[FECHA_TRASPLANTE]])/365.25</f>
        <v>2.751540041067762</v>
      </c>
      <c r="BY474"/>
      <c r="BZ474"/>
    </row>
    <row r="475" spans="1:78" hidden="1" x14ac:dyDescent="0.35">
      <c r="A475" t="s">
        <v>75</v>
      </c>
      <c r="B475" t="s">
        <v>1828</v>
      </c>
      <c r="C475" t="s">
        <v>1939</v>
      </c>
      <c r="D475" t="s">
        <v>1129</v>
      </c>
      <c r="E475" t="s">
        <v>77</v>
      </c>
      <c r="H475" s="2">
        <v>32627</v>
      </c>
      <c r="I475">
        <v>33</v>
      </c>
      <c r="K475" t="s">
        <v>1940</v>
      </c>
      <c r="L475" t="s">
        <v>1219</v>
      </c>
      <c r="M475" t="s">
        <v>1941</v>
      </c>
      <c r="N475" s="11">
        <v>800810634</v>
      </c>
      <c r="O475" s="16">
        <v>44870</v>
      </c>
      <c r="P475" t="s">
        <v>90</v>
      </c>
      <c r="Q475" s="2">
        <v>28889</v>
      </c>
      <c r="R475" s="3">
        <f>(Tabla1[[#This Row],[FECHA_TRASPLANTE]]-Tabla1[[#This Row],[FECHA_NAC]])/365.25</f>
        <v>43.753593429158109</v>
      </c>
      <c r="S475" t="s">
        <v>205</v>
      </c>
      <c r="T475"/>
      <c r="U475" t="s">
        <v>1911</v>
      </c>
      <c r="V475" t="s">
        <v>1824</v>
      </c>
      <c r="W475" t="s">
        <v>82</v>
      </c>
      <c r="X475" t="s">
        <v>91</v>
      </c>
      <c r="Y475" t="s">
        <v>116</v>
      </c>
      <c r="Z475" t="s">
        <v>116</v>
      </c>
      <c r="AD475">
        <v>7</v>
      </c>
      <c r="AF475" t="s">
        <v>978</v>
      </c>
      <c r="AG475" t="s">
        <v>978</v>
      </c>
      <c r="AH475" t="s">
        <v>978</v>
      </c>
      <c r="AI475" t="s">
        <v>1942</v>
      </c>
      <c r="AM475" t="s">
        <v>106</v>
      </c>
      <c r="AO475"/>
      <c r="AQ475" t="s">
        <v>358</v>
      </c>
      <c r="AV475" s="2"/>
      <c r="AY475" t="s">
        <v>106</v>
      </c>
      <c r="AZ475"/>
      <c r="BJ475" s="2"/>
      <c r="BO475">
        <v>503710257</v>
      </c>
      <c r="BP475" t="s">
        <v>81</v>
      </c>
      <c r="BQ475" t="s">
        <v>82</v>
      </c>
      <c r="BT475" s="2">
        <f>Tabla1[[#This Row],[FECHA_TRASPLANTE]]</f>
        <v>44870</v>
      </c>
      <c r="BU475">
        <f>IF(Tabla1[[#This Row],[FALLECIDO SI/NO]]="NO",0,1)</f>
        <v>0</v>
      </c>
      <c r="BV475" s="3">
        <f ca="1">IF(Tabla1[[#This Row],[FALLECIDO_COD]]=0,TODAY()-Tabla1[[#This Row],[FECHA_TRASPLANTE]],Tabla1[[#This Row],[FECHA DE DEFUNCIÓN]]-Tabla1[[#This Row],[FECHA_TRASPLANTE]])</f>
        <v>1005</v>
      </c>
      <c r="BW475" s="3">
        <f ca="1">IF(Tabla1[[#This Row],[FALLECIDO_COD]]=0,TODAY()-Tabla1[[#This Row],[FECHA_TRASPLANTE]],Tabla1[[#This Row],[FECHA DE DEFUNCIÓN]]-Tabla1[[#This Row],[FECHA_TRASPLANTE]])/30.4375</f>
        <v>33.01848049281314</v>
      </c>
      <c r="BX475" s="3">
        <f ca="1">IF(Tabla1[[#This Row],[FALLECIDO_COD]]=0,TODAY()-Tabla1[[#This Row],[FECHA_TRASPLANTE]],Tabla1[[#This Row],[FECHA DE DEFUNCIÓN]]-Tabla1[[#This Row],[FECHA_TRASPLANTE]])/365.25</f>
        <v>2.751540041067762</v>
      </c>
      <c r="BY475"/>
      <c r="BZ475"/>
    </row>
    <row r="476" spans="1:78" hidden="1" x14ac:dyDescent="0.35">
      <c r="A476" t="s">
        <v>377</v>
      </c>
      <c r="D476" t="s">
        <v>1129</v>
      </c>
      <c r="E476" t="s">
        <v>375</v>
      </c>
      <c r="J476" t="s">
        <v>1160</v>
      </c>
      <c r="K476" t="s">
        <v>687</v>
      </c>
      <c r="L476" t="s">
        <v>1943</v>
      </c>
      <c r="M476" t="s">
        <v>145</v>
      </c>
      <c r="N476" s="11">
        <v>800980566</v>
      </c>
      <c r="O476" s="2">
        <v>44874</v>
      </c>
      <c r="P476" t="s">
        <v>81</v>
      </c>
      <c r="Q476" s="2">
        <v>33105</v>
      </c>
      <c r="R476" s="3">
        <f>(Tabla1[[#This Row],[FECHA_TRASPLANTE]]-Tabla1[[#This Row],[FECHA_NAC]])/365.25</f>
        <v>32.2217659137577</v>
      </c>
      <c r="T476"/>
      <c r="W476" t="s">
        <v>82</v>
      </c>
      <c r="X476" t="s">
        <v>1944</v>
      </c>
      <c r="AM476" t="s">
        <v>106</v>
      </c>
      <c r="AO476"/>
      <c r="AV476" s="2"/>
      <c r="AZ476"/>
      <c r="BT476" s="2">
        <f>Tabla1[[#This Row],[FECHA_TRASPLANTE]]</f>
        <v>44874</v>
      </c>
      <c r="BU476">
        <f>IF(Tabla1[[#This Row],[FALLECIDO SI/NO]]="NO",0,1)</f>
        <v>0</v>
      </c>
      <c r="BV476" s="3">
        <f ca="1">IF(Tabla1[[#This Row],[FALLECIDO_COD]]=0,TODAY()-Tabla1[[#This Row],[FECHA_TRASPLANTE]],Tabla1[[#This Row],[FECHA DE DEFUNCIÓN]]-Tabla1[[#This Row],[FECHA_TRASPLANTE]])</f>
        <v>1001</v>
      </c>
      <c r="BW476" s="3">
        <f ca="1">IF(Tabla1[[#This Row],[FALLECIDO_COD]]=0,TODAY()-Tabla1[[#This Row],[FECHA_TRASPLANTE]],Tabla1[[#This Row],[FECHA DE DEFUNCIÓN]]-Tabla1[[#This Row],[FECHA_TRASPLANTE]])/30.4375</f>
        <v>32.887063655030801</v>
      </c>
      <c r="BX476" s="3">
        <f ca="1">IF(Tabla1[[#This Row],[FALLECIDO_COD]]=0,TODAY()-Tabla1[[#This Row],[FECHA_TRASPLANTE]],Tabla1[[#This Row],[FECHA DE DEFUNCIÓN]]-Tabla1[[#This Row],[FECHA_TRASPLANTE]])/365.25</f>
        <v>2.7405886379192332</v>
      </c>
      <c r="BY476"/>
      <c r="BZ476"/>
    </row>
    <row r="477" spans="1:78" hidden="1" x14ac:dyDescent="0.35">
      <c r="A477" t="s">
        <v>377</v>
      </c>
      <c r="D477" t="s">
        <v>1129</v>
      </c>
      <c r="E477" t="s">
        <v>77</v>
      </c>
      <c r="J477" t="s">
        <v>1834</v>
      </c>
      <c r="K477" t="s">
        <v>1945</v>
      </c>
      <c r="L477" t="s">
        <v>385</v>
      </c>
      <c r="M477" t="s">
        <v>141</v>
      </c>
      <c r="N477" s="11">
        <v>402040840</v>
      </c>
      <c r="O477" s="2">
        <v>44891</v>
      </c>
      <c r="P477" t="s">
        <v>90</v>
      </c>
      <c r="Q477" s="2">
        <v>32867</v>
      </c>
      <c r="R477" s="3">
        <f>(Tabla1[[#This Row],[FECHA_TRASPLANTE]]-Tabla1[[#This Row],[FECHA_NAC]])/365.25</f>
        <v>32.919917864476389</v>
      </c>
      <c r="T477"/>
      <c r="W477" t="s">
        <v>82</v>
      </c>
      <c r="X477" t="s">
        <v>261</v>
      </c>
      <c r="Y477" t="s">
        <v>454</v>
      </c>
      <c r="Z477" t="s">
        <v>1946</v>
      </c>
      <c r="AM477" t="s">
        <v>106</v>
      </c>
      <c r="AO477"/>
      <c r="AV477" s="2"/>
      <c r="AZ477"/>
      <c r="BT477" s="2">
        <f>Tabla1[[#This Row],[FECHA_TRASPLANTE]]</f>
        <v>44891</v>
      </c>
      <c r="BU477">
        <f>IF(Tabla1[[#This Row],[FALLECIDO SI/NO]]="NO",0,1)</f>
        <v>0</v>
      </c>
      <c r="BV477" s="3">
        <f ca="1">IF(Tabla1[[#This Row],[FALLECIDO_COD]]=0,TODAY()-Tabla1[[#This Row],[FECHA_TRASPLANTE]],Tabla1[[#This Row],[FECHA DE DEFUNCIÓN]]-Tabla1[[#This Row],[FECHA_TRASPLANTE]])</f>
        <v>984</v>
      </c>
      <c r="BW477" s="3">
        <f ca="1">IF(Tabla1[[#This Row],[FALLECIDO_COD]]=0,TODAY()-Tabla1[[#This Row],[FECHA_TRASPLANTE]],Tabla1[[#This Row],[FECHA DE DEFUNCIÓN]]-Tabla1[[#This Row],[FECHA_TRASPLANTE]])/30.4375</f>
        <v>32.328542094455855</v>
      </c>
      <c r="BX477" s="3">
        <f ca="1">IF(Tabla1[[#This Row],[FALLECIDO_COD]]=0,TODAY()-Tabla1[[#This Row],[FECHA_TRASPLANTE]],Tabla1[[#This Row],[FECHA DE DEFUNCIÓN]]-Tabla1[[#This Row],[FECHA_TRASPLANTE]])/365.25</f>
        <v>2.6940451745379876</v>
      </c>
      <c r="BY477"/>
      <c r="BZ477"/>
    </row>
    <row r="478" spans="1:78" hidden="1" x14ac:dyDescent="0.35">
      <c r="A478" t="s">
        <v>75</v>
      </c>
      <c r="B478" t="s">
        <v>1828</v>
      </c>
      <c r="C478" t="s">
        <v>1947</v>
      </c>
      <c r="D478" t="s">
        <v>1129</v>
      </c>
      <c r="E478" t="s">
        <v>77</v>
      </c>
      <c r="H478" s="2">
        <v>27885</v>
      </c>
      <c r="I478">
        <v>46</v>
      </c>
      <c r="K478" t="s">
        <v>166</v>
      </c>
      <c r="L478" t="s">
        <v>496</v>
      </c>
      <c r="M478" t="s">
        <v>453</v>
      </c>
      <c r="N478" s="11">
        <v>702530244</v>
      </c>
      <c r="O478" s="16">
        <v>44891</v>
      </c>
      <c r="P478" t="s">
        <v>81</v>
      </c>
      <c r="Q478" s="2">
        <v>35606</v>
      </c>
      <c r="R478" s="3">
        <f>(Tabla1[[#This Row],[FECHA_TRASPLANTE]]-Tabla1[[#This Row],[FECHA_NAC]])/365.25</f>
        <v>25.420944558521562</v>
      </c>
      <c r="S478" t="s">
        <v>205</v>
      </c>
      <c r="T478"/>
      <c r="U478" t="s">
        <v>1911</v>
      </c>
      <c r="V478" t="s">
        <v>1824</v>
      </c>
      <c r="W478" t="s">
        <v>82</v>
      </c>
      <c r="X478" t="s">
        <v>120</v>
      </c>
      <c r="Y478" t="s">
        <v>755</v>
      </c>
      <c r="Z478" t="s">
        <v>755</v>
      </c>
      <c r="AD478">
        <v>7</v>
      </c>
      <c r="AF478" t="s">
        <v>978</v>
      </c>
      <c r="AG478" t="s">
        <v>978</v>
      </c>
      <c r="AH478" t="s">
        <v>978</v>
      </c>
      <c r="AI478" t="s">
        <v>1942</v>
      </c>
      <c r="AM478" t="s">
        <v>106</v>
      </c>
      <c r="AO478"/>
      <c r="AQ478" t="s">
        <v>358</v>
      </c>
      <c r="AV478" s="2"/>
      <c r="AY478" t="s">
        <v>106</v>
      </c>
      <c r="AZ478"/>
      <c r="BJ478" s="2"/>
      <c r="BO478">
        <v>401640230</v>
      </c>
      <c r="BP478" t="s">
        <v>81</v>
      </c>
      <c r="BQ478" t="s">
        <v>82</v>
      </c>
      <c r="BT478" s="2">
        <f>Tabla1[[#This Row],[FECHA_TRASPLANTE]]</f>
        <v>44891</v>
      </c>
      <c r="BU478">
        <f>IF(Tabla1[[#This Row],[FALLECIDO SI/NO]]="NO",0,1)</f>
        <v>0</v>
      </c>
      <c r="BV478" s="3">
        <f ca="1">IF(Tabla1[[#This Row],[FALLECIDO_COD]]=0,TODAY()-Tabla1[[#This Row],[FECHA_TRASPLANTE]],Tabla1[[#This Row],[FECHA DE DEFUNCIÓN]]-Tabla1[[#This Row],[FECHA_TRASPLANTE]])</f>
        <v>984</v>
      </c>
      <c r="BW478" s="3">
        <f ca="1">IF(Tabla1[[#This Row],[FALLECIDO_COD]]=0,TODAY()-Tabla1[[#This Row],[FECHA_TRASPLANTE]],Tabla1[[#This Row],[FECHA DE DEFUNCIÓN]]-Tabla1[[#This Row],[FECHA_TRASPLANTE]])/30.4375</f>
        <v>32.328542094455855</v>
      </c>
      <c r="BX478" s="3">
        <f ca="1">IF(Tabla1[[#This Row],[FALLECIDO_COD]]=0,TODAY()-Tabla1[[#This Row],[FECHA_TRASPLANTE]],Tabla1[[#This Row],[FECHA DE DEFUNCIÓN]]-Tabla1[[#This Row],[FECHA_TRASPLANTE]])/365.25</f>
        <v>2.6940451745379876</v>
      </c>
      <c r="BY478"/>
      <c r="BZ478"/>
    </row>
    <row r="479" spans="1:78" hidden="1" x14ac:dyDescent="0.35">
      <c r="A479" t="s">
        <v>377</v>
      </c>
      <c r="D479" t="s">
        <v>1129</v>
      </c>
      <c r="E479" t="s">
        <v>375</v>
      </c>
      <c r="J479" t="s">
        <v>1180</v>
      </c>
      <c r="K479" t="s">
        <v>1948</v>
      </c>
      <c r="L479" t="s">
        <v>132</v>
      </c>
      <c r="M479" t="s">
        <v>94</v>
      </c>
      <c r="N479" s="11">
        <v>114090245</v>
      </c>
      <c r="O479" s="2">
        <v>44895</v>
      </c>
      <c r="P479" t="s">
        <v>81</v>
      </c>
      <c r="Q479" s="2">
        <v>32800</v>
      </c>
      <c r="R479" s="3">
        <f>(Tabla1[[#This Row],[FECHA_TRASPLANTE]]-Tabla1[[#This Row],[FECHA_NAC]])/365.25</f>
        <v>33.114305270362763</v>
      </c>
      <c r="T479"/>
      <c r="W479" t="s">
        <v>82</v>
      </c>
      <c r="X479" t="s">
        <v>1949</v>
      </c>
      <c r="AM479" t="s">
        <v>86</v>
      </c>
      <c r="AN479" s="2">
        <v>44917</v>
      </c>
      <c r="AO479" t="s">
        <v>1950</v>
      </c>
      <c r="AP479" t="s">
        <v>106</v>
      </c>
      <c r="AQ479" t="s">
        <v>772</v>
      </c>
      <c r="AV479" s="2"/>
      <c r="BT479" s="2">
        <f>Tabla1[[#This Row],[FECHA_TRASPLANTE]]</f>
        <v>44895</v>
      </c>
      <c r="BU479">
        <f>IF(Tabla1[[#This Row],[FALLECIDO SI/NO]]="NO",0,1)</f>
        <v>1</v>
      </c>
      <c r="BV479" s="3">
        <f ca="1">IF(Tabla1[[#This Row],[FALLECIDO_COD]]=0,TODAY()-Tabla1[[#This Row],[FECHA_TRASPLANTE]],Tabla1[[#This Row],[FECHA DE DEFUNCIÓN]]-Tabla1[[#This Row],[FECHA_TRASPLANTE]])</f>
        <v>22</v>
      </c>
      <c r="BW479" s="3">
        <f ca="1">IF(Tabla1[[#This Row],[FALLECIDO_COD]]=0,TODAY()-Tabla1[[#This Row],[FECHA_TRASPLANTE]],Tabla1[[#This Row],[FECHA DE DEFUNCIÓN]]-Tabla1[[#This Row],[FECHA_TRASPLANTE]])/30.4375</f>
        <v>0.7227926078028748</v>
      </c>
      <c r="BX479" s="3">
        <f ca="1">IF(Tabla1[[#This Row],[FALLECIDO_COD]]=0,TODAY()-Tabla1[[#This Row],[FECHA_TRASPLANTE]],Tabla1[[#This Row],[FECHA DE DEFUNCIÓN]]-Tabla1[[#This Row],[FECHA_TRASPLANTE]])/365.25</f>
        <v>6.0232717316906229E-2</v>
      </c>
      <c r="BY479"/>
      <c r="BZ479"/>
    </row>
    <row r="480" spans="1:78" hidden="1" x14ac:dyDescent="0.35">
      <c r="A480" t="s">
        <v>376</v>
      </c>
      <c r="B480" t="s">
        <v>376</v>
      </c>
      <c r="C480" t="s">
        <v>1951</v>
      </c>
      <c r="D480" t="s">
        <v>1129</v>
      </c>
      <c r="E480" t="s">
        <v>77</v>
      </c>
      <c r="G480" t="s">
        <v>210</v>
      </c>
      <c r="H480" s="2">
        <v>32817</v>
      </c>
      <c r="I480">
        <v>33</v>
      </c>
      <c r="J480" t="s">
        <v>1820</v>
      </c>
      <c r="K480" t="s">
        <v>1952</v>
      </c>
      <c r="L480" t="s">
        <v>482</v>
      </c>
      <c r="M480" t="s">
        <v>267</v>
      </c>
      <c r="N480" s="11">
        <v>305920562</v>
      </c>
      <c r="O480" s="2">
        <v>44896</v>
      </c>
      <c r="P480" t="s">
        <v>81</v>
      </c>
      <c r="Q480" s="2">
        <v>40298</v>
      </c>
      <c r="R480" s="3">
        <f>(Tabla1[[#This Row],[FECHA_TRASPLANTE]]-Tabla1[[#This Row],[FECHA_NAC]])/365.25</f>
        <v>12.588637919233403</v>
      </c>
      <c r="S480" t="s">
        <v>210</v>
      </c>
      <c r="T480"/>
      <c r="U480" t="s">
        <v>1876</v>
      </c>
      <c r="V480" t="s">
        <v>1953</v>
      </c>
      <c r="W480" t="s">
        <v>82</v>
      </c>
      <c r="X480" t="s">
        <v>110</v>
      </c>
      <c r="Y480" t="s">
        <v>110</v>
      </c>
      <c r="Z480" t="s">
        <v>1954</v>
      </c>
      <c r="AD480">
        <v>0</v>
      </c>
      <c r="AF480" t="s">
        <v>816</v>
      </c>
      <c r="AG480" t="s">
        <v>816</v>
      </c>
      <c r="AH480" t="s">
        <v>816</v>
      </c>
      <c r="AI480" t="s">
        <v>816</v>
      </c>
      <c r="AJ480" t="s">
        <v>816</v>
      </c>
      <c r="AK480" t="s">
        <v>816</v>
      </c>
      <c r="AM480" t="s">
        <v>106</v>
      </c>
      <c r="AO480"/>
      <c r="AQ480" t="s">
        <v>358</v>
      </c>
      <c r="AV480" s="2"/>
      <c r="AY480" t="s">
        <v>106</v>
      </c>
      <c r="AZ480"/>
      <c r="BO480" t="s">
        <v>851</v>
      </c>
      <c r="BP480" t="s">
        <v>81</v>
      </c>
      <c r="BQ480" t="s">
        <v>82</v>
      </c>
      <c r="BS480" t="s">
        <v>1888</v>
      </c>
      <c r="BT480" s="2">
        <f>Tabla1[[#This Row],[FECHA_TRASPLANTE]]</f>
        <v>44896</v>
      </c>
      <c r="BU480">
        <f>IF(Tabla1[[#This Row],[FALLECIDO SI/NO]]="NO",0,1)</f>
        <v>0</v>
      </c>
      <c r="BV480" s="3">
        <f ca="1">IF(Tabla1[[#This Row],[FALLECIDO_COD]]=0,TODAY()-Tabla1[[#This Row],[FECHA_TRASPLANTE]],Tabla1[[#This Row],[FECHA DE DEFUNCIÓN]]-Tabla1[[#This Row],[FECHA_TRASPLANTE]])</f>
        <v>979</v>
      </c>
      <c r="BW480" s="3">
        <f ca="1">IF(Tabla1[[#This Row],[FALLECIDO_COD]]=0,TODAY()-Tabla1[[#This Row],[FECHA_TRASPLANTE]],Tabla1[[#This Row],[FECHA DE DEFUNCIÓN]]-Tabla1[[#This Row],[FECHA_TRASPLANTE]])/30.4375</f>
        <v>32.164271047227928</v>
      </c>
      <c r="BX480" s="3">
        <f ca="1">IF(Tabla1[[#This Row],[FALLECIDO_COD]]=0,TODAY()-Tabla1[[#This Row],[FECHA_TRASPLANTE]],Tabla1[[#This Row],[FECHA DE DEFUNCIÓN]]-Tabla1[[#This Row],[FECHA_TRASPLANTE]])/365.25</f>
        <v>2.6803559206023273</v>
      </c>
      <c r="BY480"/>
      <c r="BZ480"/>
    </row>
    <row r="481" spans="1:78" hidden="1" x14ac:dyDescent="0.35">
      <c r="A481" t="s">
        <v>377</v>
      </c>
      <c r="D481" t="s">
        <v>1129</v>
      </c>
      <c r="E481" t="s">
        <v>77</v>
      </c>
      <c r="J481" t="s">
        <v>1834</v>
      </c>
      <c r="K481" t="s">
        <v>550</v>
      </c>
      <c r="L481" t="s">
        <v>1955</v>
      </c>
      <c r="M481" t="s">
        <v>108</v>
      </c>
      <c r="N481" s="11">
        <v>604500807</v>
      </c>
      <c r="O481" s="2">
        <v>44896</v>
      </c>
      <c r="P481" t="s">
        <v>81</v>
      </c>
      <c r="Q481" s="2">
        <v>36206</v>
      </c>
      <c r="R481" s="3">
        <f>(Tabla1[[#This Row],[FECHA_TRASPLANTE]]-Tabla1[[#This Row],[FECHA_NAC]])/365.25</f>
        <v>23.791923340177959</v>
      </c>
      <c r="T481"/>
      <c r="W481" t="s">
        <v>82</v>
      </c>
      <c r="X481" t="s">
        <v>1956</v>
      </c>
      <c r="AM481" t="s">
        <v>106</v>
      </c>
      <c r="AO481"/>
      <c r="AV481" s="2"/>
      <c r="AZ481"/>
      <c r="BT481" s="2">
        <f>Tabla1[[#This Row],[FECHA_TRASPLANTE]]</f>
        <v>44896</v>
      </c>
      <c r="BU481">
        <f>IF(Tabla1[[#This Row],[FALLECIDO SI/NO]]="NO",0,1)</f>
        <v>0</v>
      </c>
      <c r="BV481" s="3">
        <f ca="1">IF(Tabla1[[#This Row],[FALLECIDO_COD]]=0,TODAY()-Tabla1[[#This Row],[FECHA_TRASPLANTE]],Tabla1[[#This Row],[FECHA DE DEFUNCIÓN]]-Tabla1[[#This Row],[FECHA_TRASPLANTE]])</f>
        <v>979</v>
      </c>
      <c r="BW481" s="3">
        <f ca="1">IF(Tabla1[[#This Row],[FALLECIDO_COD]]=0,TODAY()-Tabla1[[#This Row],[FECHA_TRASPLANTE]],Tabla1[[#This Row],[FECHA DE DEFUNCIÓN]]-Tabla1[[#This Row],[FECHA_TRASPLANTE]])/30.4375</f>
        <v>32.164271047227928</v>
      </c>
      <c r="BX481" s="3">
        <f ca="1">IF(Tabla1[[#This Row],[FALLECIDO_COD]]=0,TODAY()-Tabla1[[#This Row],[FECHA_TRASPLANTE]],Tabla1[[#This Row],[FECHA DE DEFUNCIÓN]]-Tabla1[[#This Row],[FECHA_TRASPLANTE]])/365.25</f>
        <v>2.6803559206023273</v>
      </c>
      <c r="BY481"/>
      <c r="BZ481"/>
    </row>
    <row r="482" spans="1:78" hidden="1" x14ac:dyDescent="0.35">
      <c r="A482" t="s">
        <v>377</v>
      </c>
      <c r="D482" t="s">
        <v>1129</v>
      </c>
      <c r="E482" t="s">
        <v>375</v>
      </c>
      <c r="J482" t="s">
        <v>1180</v>
      </c>
      <c r="K482" t="s">
        <v>1957</v>
      </c>
      <c r="L482" t="s">
        <v>118</v>
      </c>
      <c r="M482" t="s">
        <v>1958</v>
      </c>
      <c r="N482" s="11">
        <v>800720108</v>
      </c>
      <c r="O482" s="2">
        <v>44907</v>
      </c>
      <c r="P482" t="s">
        <v>81</v>
      </c>
      <c r="Q482" s="2">
        <v>25257</v>
      </c>
      <c r="R482" s="3">
        <f>(Tabla1[[#This Row],[FECHA_TRASPLANTE]]-Tabla1[[#This Row],[FECHA_NAC]])/365.25</f>
        <v>53.798767967145793</v>
      </c>
      <c r="T482"/>
      <c r="W482" t="s">
        <v>82</v>
      </c>
      <c r="X482" t="s">
        <v>1959</v>
      </c>
      <c r="AM482" t="s">
        <v>106</v>
      </c>
      <c r="AO482"/>
      <c r="AV482" s="2"/>
      <c r="AZ482"/>
      <c r="BT482" s="2">
        <f>Tabla1[[#This Row],[FECHA_TRASPLANTE]]</f>
        <v>44907</v>
      </c>
      <c r="BU482">
        <f>IF(Tabla1[[#This Row],[FALLECIDO SI/NO]]="NO",0,1)</f>
        <v>0</v>
      </c>
      <c r="BV482" s="3">
        <f ca="1">IF(Tabla1[[#This Row],[FALLECIDO_COD]]=0,TODAY()-Tabla1[[#This Row],[FECHA_TRASPLANTE]],Tabla1[[#This Row],[FECHA DE DEFUNCIÓN]]-Tabla1[[#This Row],[FECHA_TRASPLANTE]])</f>
        <v>968</v>
      </c>
      <c r="BW482" s="3">
        <f ca="1">IF(Tabla1[[#This Row],[FALLECIDO_COD]]=0,TODAY()-Tabla1[[#This Row],[FECHA_TRASPLANTE]],Tabla1[[#This Row],[FECHA DE DEFUNCIÓN]]-Tabla1[[#This Row],[FECHA_TRASPLANTE]])/30.4375</f>
        <v>31.802874743326488</v>
      </c>
      <c r="BX482" s="3">
        <f ca="1">IF(Tabla1[[#This Row],[FALLECIDO_COD]]=0,TODAY()-Tabla1[[#This Row],[FECHA_TRASPLANTE]],Tabla1[[#This Row],[FECHA DE DEFUNCIÓN]]-Tabla1[[#This Row],[FECHA_TRASPLANTE]])/365.25</f>
        <v>2.6502395619438741</v>
      </c>
      <c r="BY482"/>
      <c r="BZ482"/>
    </row>
    <row r="483" spans="1:78" hidden="1" x14ac:dyDescent="0.35">
      <c r="A483" t="s">
        <v>1126</v>
      </c>
      <c r="B483" t="s">
        <v>1126</v>
      </c>
      <c r="D483" t="s">
        <v>1333</v>
      </c>
      <c r="E483" t="s">
        <v>375</v>
      </c>
      <c r="F483" t="s">
        <v>106</v>
      </c>
      <c r="G483" t="s">
        <v>210</v>
      </c>
      <c r="H483" s="2">
        <v>33290</v>
      </c>
      <c r="I483">
        <v>31.805612594113622</v>
      </c>
      <c r="J483" t="s">
        <v>746</v>
      </c>
      <c r="N483" s="11">
        <v>304060378</v>
      </c>
      <c r="O483" s="2">
        <v>44907</v>
      </c>
      <c r="P483" t="s">
        <v>81</v>
      </c>
      <c r="Q483" s="2">
        <v>31330</v>
      </c>
      <c r="R483" s="3">
        <f>(Tabla1[[#This Row],[FECHA_TRASPLANTE]]-Tabla1[[#This Row],[FECHA_NAC]])/365.25</f>
        <v>37.171800136892543</v>
      </c>
      <c r="S483" t="s">
        <v>210</v>
      </c>
      <c r="U483" t="s">
        <v>1960</v>
      </c>
      <c r="V483" t="s">
        <v>1566</v>
      </c>
      <c r="W483" t="s">
        <v>82</v>
      </c>
      <c r="X483" t="s">
        <v>110</v>
      </c>
      <c r="Y483" t="s">
        <v>801</v>
      </c>
      <c r="Z483" t="s">
        <v>1908</v>
      </c>
      <c r="AD483">
        <v>0</v>
      </c>
      <c r="AF483" t="s">
        <v>375</v>
      </c>
      <c r="AG483" t="s">
        <v>375</v>
      </c>
      <c r="AH483" t="s">
        <v>375</v>
      </c>
      <c r="AI483" t="s">
        <v>375</v>
      </c>
      <c r="AM483" t="s">
        <v>106</v>
      </c>
      <c r="AN483" s="2" t="s">
        <v>762</v>
      </c>
      <c r="AO483" s="2" t="s">
        <v>762</v>
      </c>
      <c r="AQ483" t="s">
        <v>358</v>
      </c>
      <c r="AR483" s="2" t="s">
        <v>358</v>
      </c>
      <c r="AS483" s="2" t="s">
        <v>358</v>
      </c>
      <c r="AV483" s="2" t="s">
        <v>762</v>
      </c>
      <c r="AY483" t="s">
        <v>106</v>
      </c>
      <c r="AZ483"/>
      <c r="BA483" t="s">
        <v>1812</v>
      </c>
      <c r="BB483">
        <v>1.45</v>
      </c>
      <c r="BC483">
        <v>63</v>
      </c>
      <c r="BD483" t="s">
        <v>106</v>
      </c>
      <c r="BI483" t="s">
        <v>106</v>
      </c>
      <c r="BL483" t="s">
        <v>106</v>
      </c>
      <c r="BT483" s="2">
        <f>Tabla1[[#This Row],[FECHA_TRASPLANTE]]</f>
        <v>44907</v>
      </c>
      <c r="BU483">
        <f>IF(Tabla1[[#This Row],[FALLECIDO SI/NO]]="NO",0,1)</f>
        <v>0</v>
      </c>
      <c r="BV483" s="3">
        <f ca="1">IF(Tabla1[[#This Row],[FALLECIDO_COD]]=0,TODAY()-Tabla1[[#This Row],[FECHA_TRASPLANTE]],Tabla1[[#This Row],[FECHA DE DEFUNCIÓN]]-Tabla1[[#This Row],[FECHA_TRASPLANTE]])</f>
        <v>968</v>
      </c>
      <c r="BW483" s="3">
        <f ca="1">IF(Tabla1[[#This Row],[FALLECIDO_COD]]=0,TODAY()-Tabla1[[#This Row],[FECHA_TRASPLANTE]],Tabla1[[#This Row],[FECHA DE DEFUNCIÓN]]-Tabla1[[#This Row],[FECHA_TRASPLANTE]])/30.4375</f>
        <v>31.802874743326488</v>
      </c>
      <c r="BX483" s="3">
        <f ca="1">IF(Tabla1[[#This Row],[FALLECIDO_COD]]=0,TODAY()-Tabla1[[#This Row],[FECHA_TRASPLANTE]],Tabla1[[#This Row],[FECHA DE DEFUNCIÓN]]-Tabla1[[#This Row],[FECHA_TRASPLANTE]])/365.25</f>
        <v>2.6502395619438741</v>
      </c>
      <c r="BY483"/>
      <c r="BZ483"/>
    </row>
    <row r="484" spans="1:78" hidden="1" x14ac:dyDescent="0.35">
      <c r="A484" t="s">
        <v>75</v>
      </c>
      <c r="B484" t="s">
        <v>1828</v>
      </c>
      <c r="C484" t="s">
        <v>852</v>
      </c>
      <c r="D484" t="s">
        <v>1129</v>
      </c>
      <c r="E484" t="s">
        <v>77</v>
      </c>
      <c r="H484" s="2">
        <v>38138</v>
      </c>
      <c r="I484">
        <v>18</v>
      </c>
      <c r="K484" t="s">
        <v>1961</v>
      </c>
      <c r="L484" t="s">
        <v>79</v>
      </c>
      <c r="M484" t="s">
        <v>717</v>
      </c>
      <c r="N484" s="11">
        <v>104200872</v>
      </c>
      <c r="O484" s="16">
        <v>44911</v>
      </c>
      <c r="P484" t="s">
        <v>81</v>
      </c>
      <c r="Q484" s="2">
        <v>19624</v>
      </c>
      <c r="R484" s="3">
        <f>(Tabla1[[#This Row],[FECHA_TRASPLANTE]]-Tabla1[[#This Row],[FECHA_NAC]])/365.25</f>
        <v>69.23203285420945</v>
      </c>
      <c r="S484" t="s">
        <v>205</v>
      </c>
      <c r="T484"/>
      <c r="U484" t="s">
        <v>1830</v>
      </c>
      <c r="V484" t="s">
        <v>1838</v>
      </c>
      <c r="W484" t="s">
        <v>82</v>
      </c>
      <c r="X484" t="s">
        <v>91</v>
      </c>
      <c r="Y484" t="s">
        <v>161</v>
      </c>
      <c r="Z484" t="s">
        <v>244</v>
      </c>
      <c r="AD484">
        <v>6</v>
      </c>
      <c r="AF484" t="s">
        <v>978</v>
      </c>
      <c r="AG484" t="s">
        <v>978</v>
      </c>
      <c r="AH484" t="s">
        <v>978</v>
      </c>
      <c r="AI484" t="s">
        <v>1942</v>
      </c>
      <c r="AM484" t="s">
        <v>106</v>
      </c>
      <c r="AO484"/>
      <c r="AQ484" t="s">
        <v>358</v>
      </c>
      <c r="AV484" s="2"/>
      <c r="AY484" t="s">
        <v>106</v>
      </c>
      <c r="AZ484"/>
      <c r="BJ484" s="2"/>
      <c r="BO484">
        <v>604860773</v>
      </c>
      <c r="BP484" t="s">
        <v>81</v>
      </c>
      <c r="BQ484" t="s">
        <v>82</v>
      </c>
      <c r="BT484" s="2">
        <f>Tabla1[[#This Row],[FECHA_TRASPLANTE]]</f>
        <v>44911</v>
      </c>
      <c r="BU484">
        <f>IF(Tabla1[[#This Row],[FALLECIDO SI/NO]]="NO",0,1)</f>
        <v>0</v>
      </c>
      <c r="BV484" s="3">
        <f ca="1">IF(Tabla1[[#This Row],[FALLECIDO_COD]]=0,TODAY()-Tabla1[[#This Row],[FECHA_TRASPLANTE]],Tabla1[[#This Row],[FECHA DE DEFUNCIÓN]]-Tabla1[[#This Row],[FECHA_TRASPLANTE]])</f>
        <v>964</v>
      </c>
      <c r="BW484" s="3">
        <f ca="1">IF(Tabla1[[#This Row],[FALLECIDO_COD]]=0,TODAY()-Tabla1[[#This Row],[FECHA_TRASPLANTE]],Tabla1[[#This Row],[FECHA DE DEFUNCIÓN]]-Tabla1[[#This Row],[FECHA_TRASPLANTE]])/30.4375</f>
        <v>31.671457905544148</v>
      </c>
      <c r="BX484" s="3">
        <f ca="1">IF(Tabla1[[#This Row],[FALLECIDO_COD]]=0,TODAY()-Tabla1[[#This Row],[FECHA_TRASPLANTE]],Tabla1[[#This Row],[FECHA DE DEFUNCIÓN]]-Tabla1[[#This Row],[FECHA_TRASPLANTE]])/365.25</f>
        <v>2.6392881587953458</v>
      </c>
      <c r="BY484"/>
      <c r="BZ484"/>
    </row>
    <row r="485" spans="1:78" hidden="1" x14ac:dyDescent="0.35">
      <c r="A485" t="s">
        <v>75</v>
      </c>
      <c r="B485" t="s">
        <v>1828</v>
      </c>
      <c r="C485" t="s">
        <v>852</v>
      </c>
      <c r="D485" t="s">
        <v>1129</v>
      </c>
      <c r="E485" t="s">
        <v>77</v>
      </c>
      <c r="H485" s="2">
        <v>38138</v>
      </c>
      <c r="I485">
        <v>18</v>
      </c>
      <c r="K485" t="s">
        <v>1962</v>
      </c>
      <c r="L485" t="s">
        <v>1963</v>
      </c>
      <c r="M485" t="s">
        <v>108</v>
      </c>
      <c r="N485" s="11">
        <v>109510973</v>
      </c>
      <c r="O485" s="16">
        <v>44911</v>
      </c>
      <c r="P485" t="s">
        <v>81</v>
      </c>
      <c r="Q485" s="2">
        <v>28065</v>
      </c>
      <c r="R485" s="3">
        <f>(Tabla1[[#This Row],[FECHA_TRASPLANTE]]-Tabla1[[#This Row],[FECHA_NAC]])/365.25</f>
        <v>46.121834360027378</v>
      </c>
      <c r="S485" t="s">
        <v>205</v>
      </c>
      <c r="T485"/>
      <c r="U485" t="s">
        <v>1911</v>
      </c>
      <c r="V485" t="s">
        <v>1824</v>
      </c>
      <c r="W485" t="s">
        <v>82</v>
      </c>
      <c r="X485" t="s">
        <v>91</v>
      </c>
      <c r="Y485" t="s">
        <v>84</v>
      </c>
      <c r="Z485" t="s">
        <v>307</v>
      </c>
      <c r="AD485">
        <v>30</v>
      </c>
      <c r="AF485" t="s">
        <v>1964</v>
      </c>
      <c r="AG485" t="s">
        <v>1965</v>
      </c>
      <c r="AM485" t="s">
        <v>106</v>
      </c>
      <c r="AO485"/>
      <c r="AQ485" t="s">
        <v>358</v>
      </c>
      <c r="AV485" s="2"/>
      <c r="AY485" t="s">
        <v>106</v>
      </c>
      <c r="AZ485"/>
      <c r="BJ485" s="2"/>
      <c r="BO485">
        <v>604860773</v>
      </c>
      <c r="BP485" t="s">
        <v>81</v>
      </c>
      <c r="BQ485" t="s">
        <v>82</v>
      </c>
      <c r="BT485" s="2">
        <f>Tabla1[[#This Row],[FECHA_TRASPLANTE]]</f>
        <v>44911</v>
      </c>
      <c r="BU485">
        <f>IF(Tabla1[[#This Row],[FALLECIDO SI/NO]]="NO",0,1)</f>
        <v>0</v>
      </c>
      <c r="BV485" s="3">
        <f ca="1">IF(Tabla1[[#This Row],[FALLECIDO_COD]]=0,TODAY()-Tabla1[[#This Row],[FECHA_TRASPLANTE]],Tabla1[[#This Row],[FECHA DE DEFUNCIÓN]]-Tabla1[[#This Row],[FECHA_TRASPLANTE]])</f>
        <v>964</v>
      </c>
      <c r="BW485" s="3">
        <f ca="1">IF(Tabla1[[#This Row],[FALLECIDO_COD]]=0,TODAY()-Tabla1[[#This Row],[FECHA_TRASPLANTE]],Tabla1[[#This Row],[FECHA DE DEFUNCIÓN]]-Tabla1[[#This Row],[FECHA_TRASPLANTE]])/30.4375</f>
        <v>31.671457905544148</v>
      </c>
      <c r="BX485" s="3">
        <f ca="1">IF(Tabla1[[#This Row],[FALLECIDO_COD]]=0,TODAY()-Tabla1[[#This Row],[FECHA_TRASPLANTE]],Tabla1[[#This Row],[FECHA DE DEFUNCIÓN]]-Tabla1[[#This Row],[FECHA_TRASPLANTE]])/365.25</f>
        <v>2.6392881587953458</v>
      </c>
      <c r="BY485"/>
      <c r="BZ485"/>
    </row>
    <row r="486" spans="1:78" hidden="1" x14ac:dyDescent="0.35">
      <c r="A486" t="s">
        <v>377</v>
      </c>
      <c r="D486" t="s">
        <v>1129</v>
      </c>
      <c r="E486" t="s">
        <v>375</v>
      </c>
      <c r="J486" t="s">
        <v>1160</v>
      </c>
      <c r="K486" t="s">
        <v>1966</v>
      </c>
      <c r="L486" t="s">
        <v>155</v>
      </c>
      <c r="M486" t="s">
        <v>1426</v>
      </c>
      <c r="N486" s="11">
        <v>206560441</v>
      </c>
      <c r="O486" s="2">
        <v>44916</v>
      </c>
      <c r="P486" t="s">
        <v>90</v>
      </c>
      <c r="Q486" s="2">
        <v>32560</v>
      </c>
      <c r="R486" s="3">
        <f>(Tabla1[[#This Row],[FECHA_TRASPLANTE]]-Tabla1[[#This Row],[FECHA_NAC]])/365.25</f>
        <v>33.828884325804246</v>
      </c>
      <c r="T486"/>
      <c r="W486" t="s">
        <v>82</v>
      </c>
      <c r="X486" t="s">
        <v>1967</v>
      </c>
      <c r="AM486" t="s">
        <v>106</v>
      </c>
      <c r="AO486"/>
      <c r="AV486" s="2"/>
      <c r="AZ486"/>
      <c r="BT486" s="2">
        <f>Tabla1[[#This Row],[FECHA_TRASPLANTE]]</f>
        <v>44916</v>
      </c>
      <c r="BU486">
        <f>IF(Tabla1[[#This Row],[FALLECIDO SI/NO]]="NO",0,1)</f>
        <v>0</v>
      </c>
      <c r="BV486" s="3">
        <f ca="1">IF(Tabla1[[#This Row],[FALLECIDO_COD]]=0,TODAY()-Tabla1[[#This Row],[FECHA_TRASPLANTE]],Tabla1[[#This Row],[FECHA DE DEFUNCIÓN]]-Tabla1[[#This Row],[FECHA_TRASPLANTE]])</f>
        <v>959</v>
      </c>
      <c r="BW486" s="3">
        <f ca="1">IF(Tabla1[[#This Row],[FALLECIDO_COD]]=0,TODAY()-Tabla1[[#This Row],[FECHA_TRASPLANTE]],Tabla1[[#This Row],[FECHA DE DEFUNCIÓN]]-Tabla1[[#This Row],[FECHA_TRASPLANTE]])/30.4375</f>
        <v>31.507186858316221</v>
      </c>
      <c r="BX486" s="3">
        <f ca="1">IF(Tabla1[[#This Row],[FALLECIDO_COD]]=0,TODAY()-Tabla1[[#This Row],[FECHA_TRASPLANTE]],Tabla1[[#This Row],[FECHA DE DEFUNCIÓN]]-Tabla1[[#This Row],[FECHA_TRASPLANTE]])/365.25</f>
        <v>2.6255989048596851</v>
      </c>
      <c r="BY486"/>
      <c r="BZ486"/>
    </row>
    <row r="487" spans="1:78" hidden="1" x14ac:dyDescent="0.35">
      <c r="A487" t="s">
        <v>377</v>
      </c>
      <c r="D487" t="s">
        <v>1129</v>
      </c>
      <c r="E487" t="s">
        <v>77</v>
      </c>
      <c r="J487" t="s">
        <v>1834</v>
      </c>
      <c r="K487" t="s">
        <v>1968</v>
      </c>
      <c r="L487" t="s">
        <v>1969</v>
      </c>
      <c r="M487" t="s">
        <v>1330</v>
      </c>
      <c r="N487" s="11">
        <v>502800544</v>
      </c>
      <c r="O487" s="2">
        <v>44920</v>
      </c>
      <c r="P487" t="s">
        <v>81</v>
      </c>
      <c r="Q487" s="2">
        <v>27006</v>
      </c>
      <c r="R487" s="3">
        <f>(Tabla1[[#This Row],[FECHA_TRASPLANTE]]-Tabla1[[#This Row],[FECHA_NAC]])/365.25</f>
        <v>49.045859000684466</v>
      </c>
      <c r="T487"/>
      <c r="W487" t="s">
        <v>82</v>
      </c>
      <c r="X487" t="s">
        <v>125</v>
      </c>
      <c r="Y487" t="s">
        <v>441</v>
      </c>
      <c r="Z487" t="s">
        <v>1434</v>
      </c>
      <c r="AM487" t="s">
        <v>106</v>
      </c>
      <c r="AO487"/>
      <c r="AV487" s="2"/>
      <c r="AZ487"/>
      <c r="BT487" s="2">
        <f>Tabla1[[#This Row],[FECHA_TRASPLANTE]]</f>
        <v>44920</v>
      </c>
      <c r="BU487">
        <f>IF(Tabla1[[#This Row],[FALLECIDO SI/NO]]="NO",0,1)</f>
        <v>0</v>
      </c>
      <c r="BV487" s="3">
        <f ca="1">IF(Tabla1[[#This Row],[FALLECIDO_COD]]=0,TODAY()-Tabla1[[#This Row],[FECHA_TRASPLANTE]],Tabla1[[#This Row],[FECHA DE DEFUNCIÓN]]-Tabla1[[#This Row],[FECHA_TRASPLANTE]])</f>
        <v>955</v>
      </c>
      <c r="BW487" s="3">
        <f ca="1">IF(Tabla1[[#This Row],[FALLECIDO_COD]]=0,TODAY()-Tabla1[[#This Row],[FECHA_TRASPLANTE]],Tabla1[[#This Row],[FECHA DE DEFUNCIÓN]]-Tabla1[[#This Row],[FECHA_TRASPLANTE]])/30.4375</f>
        <v>31.375770020533881</v>
      </c>
      <c r="BX487" s="3">
        <f ca="1">IF(Tabla1[[#This Row],[FALLECIDO_COD]]=0,TODAY()-Tabla1[[#This Row],[FECHA_TRASPLANTE]],Tabla1[[#This Row],[FECHA DE DEFUNCIÓN]]-Tabla1[[#This Row],[FECHA_TRASPLANTE]])/365.25</f>
        <v>2.6146475017111568</v>
      </c>
      <c r="BY487"/>
      <c r="BZ487"/>
    </row>
    <row r="488" spans="1:78" hidden="1" x14ac:dyDescent="0.35">
      <c r="A488" t="s">
        <v>75</v>
      </c>
      <c r="B488" t="s">
        <v>1828</v>
      </c>
      <c r="C488" t="s">
        <v>854</v>
      </c>
      <c r="D488" t="s">
        <v>1129</v>
      </c>
      <c r="E488" t="s">
        <v>77</v>
      </c>
      <c r="H488" s="2">
        <v>34699</v>
      </c>
      <c r="I488">
        <v>27</v>
      </c>
      <c r="K488" t="s">
        <v>242</v>
      </c>
      <c r="L488" t="s">
        <v>496</v>
      </c>
      <c r="M488" t="s">
        <v>1763</v>
      </c>
      <c r="N488" s="12">
        <v>1850103257</v>
      </c>
      <c r="O488" s="16">
        <v>44920</v>
      </c>
      <c r="P488" t="s">
        <v>81</v>
      </c>
      <c r="Q488" s="2">
        <v>31125</v>
      </c>
      <c r="R488" s="3">
        <f>(Tabla1[[#This Row],[FECHA_TRASPLANTE]]-Tabla1[[#This Row],[FECHA_NAC]])/365.25</f>
        <v>37.768651608487339</v>
      </c>
      <c r="S488" t="s">
        <v>200</v>
      </c>
      <c r="T488"/>
      <c r="U488" t="s">
        <v>1830</v>
      </c>
      <c r="V488" t="s">
        <v>1838</v>
      </c>
      <c r="W488" t="s">
        <v>146</v>
      </c>
      <c r="X488" t="s">
        <v>120</v>
      </c>
      <c r="Y488" t="s">
        <v>121</v>
      </c>
      <c r="Z488" t="s">
        <v>1970</v>
      </c>
      <c r="AD488">
        <v>2</v>
      </c>
      <c r="AF488" t="s">
        <v>1971</v>
      </c>
      <c r="AM488" t="s">
        <v>86</v>
      </c>
      <c r="AN488" s="2">
        <v>44922</v>
      </c>
      <c r="AO488" t="s">
        <v>1972</v>
      </c>
      <c r="AQ488" t="s">
        <v>358</v>
      </c>
      <c r="AV488" s="2"/>
      <c r="AY488" t="s">
        <v>106</v>
      </c>
      <c r="BJ488" s="2"/>
      <c r="BO488">
        <v>702330385</v>
      </c>
      <c r="BP488" t="s">
        <v>81</v>
      </c>
      <c r="BQ488" t="s">
        <v>82</v>
      </c>
      <c r="BT488" s="2">
        <f>Tabla1[[#This Row],[FECHA_TRASPLANTE]]</f>
        <v>44920</v>
      </c>
      <c r="BU488">
        <f>IF(Tabla1[[#This Row],[FALLECIDO SI/NO]]="NO",0,1)</f>
        <v>1</v>
      </c>
      <c r="BV488" s="3">
        <f ca="1">IF(Tabla1[[#This Row],[FALLECIDO_COD]]=0,TODAY()-Tabla1[[#This Row],[FECHA_TRASPLANTE]],Tabla1[[#This Row],[FECHA DE DEFUNCIÓN]]-Tabla1[[#This Row],[FECHA_TRASPLANTE]])</f>
        <v>2</v>
      </c>
      <c r="BW488" s="3">
        <f ca="1">IF(Tabla1[[#This Row],[FALLECIDO_COD]]=0,TODAY()-Tabla1[[#This Row],[FECHA_TRASPLANTE]],Tabla1[[#This Row],[FECHA DE DEFUNCIÓN]]-Tabla1[[#This Row],[FECHA_TRASPLANTE]])/30.4375</f>
        <v>6.5708418891170434E-2</v>
      </c>
      <c r="BX488" s="3">
        <f ca="1">IF(Tabla1[[#This Row],[FALLECIDO_COD]]=0,TODAY()-Tabla1[[#This Row],[FECHA_TRASPLANTE]],Tabla1[[#This Row],[FECHA DE DEFUNCIÓN]]-Tabla1[[#This Row],[FECHA_TRASPLANTE]])/365.25</f>
        <v>5.4757015742642025E-3</v>
      </c>
      <c r="BY488"/>
      <c r="BZ488"/>
    </row>
    <row r="489" spans="1:78" hidden="1" x14ac:dyDescent="0.35">
      <c r="A489" t="s">
        <v>376</v>
      </c>
      <c r="B489" t="s">
        <v>376</v>
      </c>
      <c r="C489" t="s">
        <v>1973</v>
      </c>
      <c r="D489" t="s">
        <v>1129</v>
      </c>
      <c r="E489" t="s">
        <v>77</v>
      </c>
      <c r="G489" t="s">
        <v>200</v>
      </c>
      <c r="H489" s="2" t="s">
        <v>1819</v>
      </c>
      <c r="I489">
        <v>6</v>
      </c>
      <c r="J489" t="s">
        <v>1820</v>
      </c>
      <c r="K489" t="s">
        <v>1974</v>
      </c>
      <c r="L489" t="s">
        <v>140</v>
      </c>
      <c r="M489" t="s">
        <v>479</v>
      </c>
      <c r="N489" s="11">
        <v>306160481</v>
      </c>
      <c r="O489" s="2">
        <v>44929.25</v>
      </c>
      <c r="P489" t="s">
        <v>81</v>
      </c>
      <c r="Q489" s="2">
        <v>41608</v>
      </c>
      <c r="R489" s="3">
        <f>(Tabla1[[#This Row],[FECHA_TRASPLANTE]]-Tabla1[[#This Row],[FECHA_NAC]])/365.25</f>
        <v>9.0930869267624921</v>
      </c>
      <c r="S489" t="s">
        <v>200</v>
      </c>
      <c r="T489"/>
      <c r="U489" t="s">
        <v>1876</v>
      </c>
      <c r="V489" t="s">
        <v>1824</v>
      </c>
      <c r="W489" t="s">
        <v>82</v>
      </c>
      <c r="X489" t="s">
        <v>91</v>
      </c>
      <c r="Y489" t="s">
        <v>91</v>
      </c>
      <c r="Z489" t="s">
        <v>247</v>
      </c>
      <c r="AD489">
        <v>1</v>
      </c>
      <c r="AF489" t="s">
        <v>1975</v>
      </c>
      <c r="AG489" t="s">
        <v>1976</v>
      </c>
      <c r="AH489" t="s">
        <v>1820</v>
      </c>
      <c r="AI489" t="s">
        <v>1820</v>
      </c>
      <c r="AJ489" t="s">
        <v>1977</v>
      </c>
      <c r="AK489" t="s">
        <v>1976</v>
      </c>
      <c r="AM489" t="s">
        <v>86</v>
      </c>
      <c r="AN489" s="2">
        <v>45001</v>
      </c>
      <c r="AO489" t="s">
        <v>1978</v>
      </c>
      <c r="AQ489" t="s">
        <v>772</v>
      </c>
      <c r="AV489" s="2">
        <v>44937</v>
      </c>
      <c r="AY489" t="s">
        <v>106</v>
      </c>
      <c r="BO489" t="s">
        <v>1979</v>
      </c>
      <c r="BP489" t="s">
        <v>81</v>
      </c>
      <c r="BQ489" t="s">
        <v>82</v>
      </c>
      <c r="BS489" t="s">
        <v>1980</v>
      </c>
      <c r="BT489" s="2">
        <f>Tabla1[[#This Row],[FECHA_TRASPLANTE]]</f>
        <v>44929.25</v>
      </c>
      <c r="BU489">
        <f>IF(Tabla1[[#This Row],[FALLECIDO SI/NO]]="NO",0,1)</f>
        <v>1</v>
      </c>
      <c r="BV489" s="3">
        <f ca="1">IF(Tabla1[[#This Row],[FALLECIDO_COD]]=0,TODAY()-Tabla1[[#This Row],[FECHA_TRASPLANTE]],Tabla1[[#This Row],[FECHA DE DEFUNCIÓN]]-Tabla1[[#This Row],[FECHA_TRASPLANTE]])</f>
        <v>71.75</v>
      </c>
      <c r="BW489" s="3">
        <f ca="1">IF(Tabla1[[#This Row],[FALLECIDO_COD]]=0,TODAY()-Tabla1[[#This Row],[FECHA_TRASPLANTE]],Tabla1[[#This Row],[FECHA DE DEFUNCIÓN]]-Tabla1[[#This Row],[FECHA_TRASPLANTE]])/30.4375</f>
        <v>2.3572895277207393</v>
      </c>
      <c r="BX489" s="3">
        <f ca="1">IF(Tabla1[[#This Row],[FALLECIDO_COD]]=0,TODAY()-Tabla1[[#This Row],[FECHA_TRASPLANTE]],Tabla1[[#This Row],[FECHA DE DEFUNCIÓN]]-Tabla1[[#This Row],[FECHA_TRASPLANTE]])/365.25</f>
        <v>0.19644079397672826</v>
      </c>
      <c r="BY489"/>
      <c r="BZ489"/>
    </row>
    <row r="490" spans="1:78" hidden="1" x14ac:dyDescent="0.35">
      <c r="A490" t="s">
        <v>376</v>
      </c>
      <c r="B490" t="s">
        <v>376</v>
      </c>
      <c r="C490" t="s">
        <v>1973</v>
      </c>
      <c r="D490" t="s">
        <v>1129</v>
      </c>
      <c r="E490" t="s">
        <v>77</v>
      </c>
      <c r="G490" t="s">
        <v>200</v>
      </c>
      <c r="H490" s="2" t="s">
        <v>1819</v>
      </c>
      <c r="I490">
        <v>6</v>
      </c>
      <c r="J490" t="s">
        <v>1820</v>
      </c>
      <c r="K490" t="s">
        <v>1981</v>
      </c>
      <c r="L490" t="s">
        <v>109</v>
      </c>
      <c r="M490" t="s">
        <v>1730</v>
      </c>
      <c r="N490" s="11">
        <v>122610689</v>
      </c>
      <c r="O490" s="2">
        <v>44930.25</v>
      </c>
      <c r="P490" t="s">
        <v>90</v>
      </c>
      <c r="Q490" s="2">
        <v>42611</v>
      </c>
      <c r="R490" s="3">
        <f>(Tabla1[[#This Row],[FECHA_TRASPLANTE]]-Tabla1[[#This Row],[FECHA_NAC]])/365.25</f>
        <v>6.3497604380561263</v>
      </c>
      <c r="S490" t="s">
        <v>200</v>
      </c>
      <c r="T490"/>
      <c r="U490" t="s">
        <v>1876</v>
      </c>
      <c r="V490" t="s">
        <v>1824</v>
      </c>
      <c r="W490" t="s">
        <v>82</v>
      </c>
      <c r="X490" t="s">
        <v>110</v>
      </c>
      <c r="Y490" t="s">
        <v>196</v>
      </c>
      <c r="Z490" t="s">
        <v>702</v>
      </c>
      <c r="AD490">
        <v>0</v>
      </c>
      <c r="AF490" t="s">
        <v>816</v>
      </c>
      <c r="AG490" t="s">
        <v>816</v>
      </c>
      <c r="AH490" t="s">
        <v>816</v>
      </c>
      <c r="AI490" t="s">
        <v>816</v>
      </c>
      <c r="AJ490" t="s">
        <v>816</v>
      </c>
      <c r="AK490" t="s">
        <v>816</v>
      </c>
      <c r="AM490" t="s">
        <v>106</v>
      </c>
      <c r="AO490"/>
      <c r="AQ490" t="s">
        <v>358</v>
      </c>
      <c r="AV490" s="2"/>
      <c r="AY490" t="s">
        <v>106</v>
      </c>
      <c r="AZ490"/>
      <c r="BO490" t="s">
        <v>1979</v>
      </c>
      <c r="BP490" t="s">
        <v>81</v>
      </c>
      <c r="BQ490" t="s">
        <v>82</v>
      </c>
      <c r="BS490" t="s">
        <v>1888</v>
      </c>
      <c r="BT490" s="2">
        <f>Tabla1[[#This Row],[FECHA_TRASPLANTE]]</f>
        <v>44930.25</v>
      </c>
      <c r="BU490">
        <f>IF(Tabla1[[#This Row],[FALLECIDO SI/NO]]="NO",0,1)</f>
        <v>0</v>
      </c>
      <c r="BV490" s="3">
        <f ca="1">IF(Tabla1[[#This Row],[FALLECIDO_COD]]=0,TODAY()-Tabla1[[#This Row],[FECHA_TRASPLANTE]],Tabla1[[#This Row],[FECHA DE DEFUNCIÓN]]-Tabla1[[#This Row],[FECHA_TRASPLANTE]])</f>
        <v>944.75</v>
      </c>
      <c r="BW490" s="3">
        <f ca="1">IF(Tabla1[[#This Row],[FALLECIDO_COD]]=0,TODAY()-Tabla1[[#This Row],[FECHA_TRASPLANTE]],Tabla1[[#This Row],[FECHA DE DEFUNCIÓN]]-Tabla1[[#This Row],[FECHA_TRASPLANTE]])/30.4375</f>
        <v>31.039014373716633</v>
      </c>
      <c r="BX490" s="3">
        <f ca="1">IF(Tabla1[[#This Row],[FALLECIDO_COD]]=0,TODAY()-Tabla1[[#This Row],[FECHA_TRASPLANTE]],Tabla1[[#This Row],[FECHA DE DEFUNCIÓN]]-Tabla1[[#This Row],[FECHA_TRASPLANTE]])/365.25</f>
        <v>2.5865845311430529</v>
      </c>
      <c r="BY490"/>
      <c r="BZ490"/>
    </row>
    <row r="491" spans="1:78" hidden="1" x14ac:dyDescent="0.35">
      <c r="A491" t="s">
        <v>1126</v>
      </c>
      <c r="B491" t="s">
        <v>1126</v>
      </c>
      <c r="D491" t="s">
        <v>1333</v>
      </c>
      <c r="E491" t="s">
        <v>375</v>
      </c>
      <c r="F491" t="s">
        <v>106</v>
      </c>
      <c r="G491" t="s">
        <v>200</v>
      </c>
      <c r="H491" s="2">
        <v>35873.25</v>
      </c>
      <c r="I491">
        <v>24.810403832991103</v>
      </c>
      <c r="J491" t="s">
        <v>746</v>
      </c>
      <c r="N491" s="11">
        <v>305100101</v>
      </c>
      <c r="O491" s="2">
        <v>44935.25</v>
      </c>
      <c r="P491" t="s">
        <v>81</v>
      </c>
      <c r="Q491" s="2">
        <v>35939.25</v>
      </c>
      <c r="R491" s="3">
        <f>(Tabla1[[#This Row],[FECHA_TRASPLANTE]]-Tabla1[[#This Row],[FECHA_NAC]])/365.25</f>
        <v>24.629705681040384</v>
      </c>
      <c r="S491" t="s">
        <v>210</v>
      </c>
      <c r="U491" t="s">
        <v>1960</v>
      </c>
      <c r="V491" t="s">
        <v>1566</v>
      </c>
      <c r="W491" t="s">
        <v>82</v>
      </c>
      <c r="X491" t="s">
        <v>110</v>
      </c>
      <c r="Y491" t="s">
        <v>196</v>
      </c>
      <c r="Z491" t="s">
        <v>230</v>
      </c>
      <c r="AD491">
        <v>0</v>
      </c>
      <c r="AF491" t="s">
        <v>375</v>
      </c>
      <c r="AG491" t="s">
        <v>375</v>
      </c>
      <c r="AH491" t="s">
        <v>375</v>
      </c>
      <c r="AI491" t="s">
        <v>375</v>
      </c>
      <c r="AM491" t="s">
        <v>106</v>
      </c>
      <c r="AN491" s="2" t="s">
        <v>762</v>
      </c>
      <c r="AO491" s="2" t="s">
        <v>762</v>
      </c>
      <c r="AQ491" t="s">
        <v>358</v>
      </c>
      <c r="AR491" s="2" t="s">
        <v>358</v>
      </c>
      <c r="AS491" s="2" t="s">
        <v>358</v>
      </c>
      <c r="AV491" s="2" t="s">
        <v>762</v>
      </c>
      <c r="AY491" t="s">
        <v>106</v>
      </c>
      <c r="AZ491"/>
      <c r="BA491" t="s">
        <v>1812</v>
      </c>
      <c r="BB491">
        <v>1.27</v>
      </c>
      <c r="BC491">
        <v>80</v>
      </c>
      <c r="BD491" t="s">
        <v>106</v>
      </c>
      <c r="BI491" t="s">
        <v>106</v>
      </c>
      <c r="BL491" t="s">
        <v>106</v>
      </c>
      <c r="BT491" s="2">
        <f>Tabla1[[#This Row],[FECHA_TRASPLANTE]]</f>
        <v>44935.25</v>
      </c>
      <c r="BU491">
        <f>IF(Tabla1[[#This Row],[FALLECIDO SI/NO]]="NO",0,1)</f>
        <v>0</v>
      </c>
      <c r="BV491" s="3">
        <f ca="1">IF(Tabla1[[#This Row],[FALLECIDO_COD]]=0,TODAY()-Tabla1[[#This Row],[FECHA_TRASPLANTE]],Tabla1[[#This Row],[FECHA DE DEFUNCIÓN]]-Tabla1[[#This Row],[FECHA_TRASPLANTE]])</f>
        <v>939.75</v>
      </c>
      <c r="BW491" s="3">
        <f ca="1">IF(Tabla1[[#This Row],[FALLECIDO_COD]]=0,TODAY()-Tabla1[[#This Row],[FECHA_TRASPLANTE]],Tabla1[[#This Row],[FECHA DE DEFUNCIÓN]]-Tabla1[[#This Row],[FECHA_TRASPLANTE]])/30.4375</f>
        <v>30.874743326488705</v>
      </c>
      <c r="BX491" s="3">
        <f ca="1">IF(Tabla1[[#This Row],[FALLECIDO_COD]]=0,TODAY()-Tabla1[[#This Row],[FECHA_TRASPLANTE]],Tabla1[[#This Row],[FECHA DE DEFUNCIÓN]]-Tabla1[[#This Row],[FECHA_TRASPLANTE]])/365.25</f>
        <v>2.5728952772073921</v>
      </c>
      <c r="BY491"/>
      <c r="BZ491"/>
    </row>
    <row r="492" spans="1:78" hidden="1" x14ac:dyDescent="0.35">
      <c r="A492" t="s">
        <v>377</v>
      </c>
      <c r="D492" t="s">
        <v>1129</v>
      </c>
      <c r="E492" t="s">
        <v>77</v>
      </c>
      <c r="J492" t="s">
        <v>1834</v>
      </c>
      <c r="K492" t="s">
        <v>131</v>
      </c>
      <c r="L492" t="s">
        <v>251</v>
      </c>
      <c r="M492" t="s">
        <v>88</v>
      </c>
      <c r="N492" s="11">
        <v>602050149</v>
      </c>
      <c r="O492" s="2">
        <v>44945</v>
      </c>
      <c r="P492" t="s">
        <v>81</v>
      </c>
      <c r="Q492" s="2">
        <v>22810</v>
      </c>
      <c r="R492" s="3">
        <f>(Tabla1[[#This Row],[FECHA_TRASPLANTE]]-Tabla1[[#This Row],[FECHA_NAC]])/365.25</f>
        <v>60.602327173169066</v>
      </c>
      <c r="T492"/>
      <c r="W492" t="s">
        <v>82</v>
      </c>
      <c r="X492" t="s">
        <v>91</v>
      </c>
      <c r="Y492" t="s">
        <v>116</v>
      </c>
      <c r="Z492" t="s">
        <v>142</v>
      </c>
      <c r="AM492" t="s">
        <v>106</v>
      </c>
      <c r="AO492"/>
      <c r="AV492" s="2"/>
      <c r="AZ492"/>
      <c r="BT492" s="2">
        <f>Tabla1[[#This Row],[FECHA_TRASPLANTE]]</f>
        <v>44945</v>
      </c>
      <c r="BU492">
        <f>IF(Tabla1[[#This Row],[FALLECIDO SI/NO]]="NO",0,1)</f>
        <v>0</v>
      </c>
      <c r="BV492" s="3">
        <f ca="1">IF(Tabla1[[#This Row],[FALLECIDO_COD]]=0,TODAY()-Tabla1[[#This Row],[FECHA_TRASPLANTE]],Tabla1[[#This Row],[FECHA DE DEFUNCIÓN]]-Tabla1[[#This Row],[FECHA_TRASPLANTE]])</f>
        <v>930</v>
      </c>
      <c r="BW492" s="3">
        <f ca="1">IF(Tabla1[[#This Row],[FALLECIDO_COD]]=0,TODAY()-Tabla1[[#This Row],[FECHA_TRASPLANTE]],Tabla1[[#This Row],[FECHA DE DEFUNCIÓN]]-Tabla1[[#This Row],[FECHA_TRASPLANTE]])/30.4375</f>
        <v>30.55441478439425</v>
      </c>
      <c r="BX492" s="3">
        <f ca="1">IF(Tabla1[[#This Row],[FALLECIDO_COD]]=0,TODAY()-Tabla1[[#This Row],[FECHA_TRASPLANTE]],Tabla1[[#This Row],[FECHA DE DEFUNCIÓN]]-Tabla1[[#This Row],[FECHA_TRASPLANTE]])/365.25</f>
        <v>2.5462012320328542</v>
      </c>
      <c r="BY492"/>
      <c r="BZ492"/>
    </row>
    <row r="493" spans="1:78" hidden="1" x14ac:dyDescent="0.35">
      <c r="A493" t="s">
        <v>376</v>
      </c>
      <c r="B493" t="s">
        <v>376</v>
      </c>
      <c r="C493" t="s">
        <v>860</v>
      </c>
      <c r="D493" t="s">
        <v>1129</v>
      </c>
      <c r="E493" t="s">
        <v>77</v>
      </c>
      <c r="G493" t="s">
        <v>200</v>
      </c>
      <c r="H493" s="2" t="s">
        <v>1819</v>
      </c>
      <c r="I493">
        <v>28</v>
      </c>
      <c r="J493" t="s">
        <v>1820</v>
      </c>
      <c r="K493" t="s">
        <v>1982</v>
      </c>
      <c r="L493" t="s">
        <v>385</v>
      </c>
      <c r="M493" t="s">
        <v>362</v>
      </c>
      <c r="N493" s="11">
        <v>605140341</v>
      </c>
      <c r="O493" s="2">
        <v>44946.25</v>
      </c>
      <c r="P493" t="s">
        <v>81</v>
      </c>
      <c r="Q493" s="2">
        <v>39666</v>
      </c>
      <c r="R493" s="3">
        <f>(Tabla1[[#This Row],[FECHA_TRASPLANTE]]-Tabla1[[#This Row],[FECHA_NAC]])/365.25</f>
        <v>14.456536618754278</v>
      </c>
      <c r="S493" t="s">
        <v>210</v>
      </c>
      <c r="T493"/>
      <c r="U493" t="s">
        <v>1876</v>
      </c>
      <c r="V493" t="s">
        <v>1838</v>
      </c>
      <c r="W493" t="s">
        <v>82</v>
      </c>
      <c r="X493" t="s">
        <v>83</v>
      </c>
      <c r="Y493" t="s">
        <v>320</v>
      </c>
      <c r="Z493" t="s">
        <v>321</v>
      </c>
      <c r="AD493">
        <v>0</v>
      </c>
      <c r="AF493" t="s">
        <v>816</v>
      </c>
      <c r="AG493" t="s">
        <v>816</v>
      </c>
      <c r="AH493" t="s">
        <v>816</v>
      </c>
      <c r="AI493" t="s">
        <v>816</v>
      </c>
      <c r="AJ493" t="s">
        <v>816</v>
      </c>
      <c r="AK493" t="s">
        <v>816</v>
      </c>
      <c r="AM493" t="s">
        <v>106</v>
      </c>
      <c r="AO493"/>
      <c r="AQ493" t="s">
        <v>358</v>
      </c>
      <c r="AV493" s="2"/>
      <c r="AY493" t="s">
        <v>106</v>
      </c>
      <c r="AZ493"/>
      <c r="BO493" t="s">
        <v>1979</v>
      </c>
      <c r="BP493" t="s">
        <v>81</v>
      </c>
      <c r="BQ493" t="s">
        <v>82</v>
      </c>
      <c r="BS493" t="s">
        <v>1827</v>
      </c>
      <c r="BT493" s="2">
        <f>Tabla1[[#This Row],[FECHA_TRASPLANTE]]</f>
        <v>44946.25</v>
      </c>
      <c r="BU493">
        <f>IF(Tabla1[[#This Row],[FALLECIDO SI/NO]]="NO",0,1)</f>
        <v>0</v>
      </c>
      <c r="BV493" s="3">
        <f ca="1">IF(Tabla1[[#This Row],[FALLECIDO_COD]]=0,TODAY()-Tabla1[[#This Row],[FECHA_TRASPLANTE]],Tabla1[[#This Row],[FECHA DE DEFUNCIÓN]]-Tabla1[[#This Row],[FECHA_TRASPLANTE]])</f>
        <v>928.75</v>
      </c>
      <c r="BW493" s="3">
        <f ca="1">IF(Tabla1[[#This Row],[FALLECIDO_COD]]=0,TODAY()-Tabla1[[#This Row],[FECHA_TRASPLANTE]],Tabla1[[#This Row],[FECHA DE DEFUNCIÓN]]-Tabla1[[#This Row],[FECHA_TRASPLANTE]])/30.4375</f>
        <v>30.513347022587268</v>
      </c>
      <c r="BX493" s="3">
        <f ca="1">IF(Tabla1[[#This Row],[FALLECIDO_COD]]=0,TODAY()-Tabla1[[#This Row],[FECHA_TRASPLANTE]],Tabla1[[#This Row],[FECHA DE DEFUNCIÓN]]-Tabla1[[#This Row],[FECHA_TRASPLANTE]])/365.25</f>
        <v>2.5427789185489389</v>
      </c>
      <c r="BY493"/>
      <c r="BZ493"/>
    </row>
    <row r="494" spans="1:78" hidden="1" x14ac:dyDescent="0.35">
      <c r="A494" t="s">
        <v>1125</v>
      </c>
      <c r="C494" t="s">
        <v>864</v>
      </c>
      <c r="D494" t="s">
        <v>1129</v>
      </c>
      <c r="E494" t="s">
        <v>77</v>
      </c>
      <c r="F494" t="s">
        <v>106</v>
      </c>
      <c r="G494" t="s">
        <v>210</v>
      </c>
      <c r="H494" s="2">
        <v>30867</v>
      </c>
      <c r="I494">
        <v>38.57631759069131</v>
      </c>
      <c r="J494" t="s">
        <v>1928</v>
      </c>
      <c r="K494" t="s">
        <v>1983</v>
      </c>
      <c r="L494" t="s">
        <v>386</v>
      </c>
      <c r="M494" t="s">
        <v>188</v>
      </c>
      <c r="N494" s="11">
        <v>105830916</v>
      </c>
      <c r="O494" s="2">
        <v>44957</v>
      </c>
      <c r="P494" t="s">
        <v>1669</v>
      </c>
      <c r="Q494" s="2">
        <v>22794</v>
      </c>
      <c r="R494" s="3">
        <f>(Tabla1[[#This Row],[FECHA_TRASPLANTE]]-Tabla1[[#This Row],[FECHA_NAC]])/365.25</f>
        <v>60.67898699520876</v>
      </c>
      <c r="S494" t="s">
        <v>210</v>
      </c>
      <c r="T494">
        <v>42894</v>
      </c>
      <c r="U494" t="s">
        <v>1348</v>
      </c>
      <c r="V494" t="s">
        <v>1566</v>
      </c>
      <c r="W494" t="s">
        <v>82</v>
      </c>
      <c r="X494" t="s">
        <v>91</v>
      </c>
      <c r="Y494" t="s">
        <v>553</v>
      </c>
      <c r="Z494" t="s">
        <v>1984</v>
      </c>
      <c r="AA494">
        <v>15</v>
      </c>
      <c r="AD494">
        <v>3</v>
      </c>
      <c r="AF494" t="s">
        <v>375</v>
      </c>
      <c r="AG494" t="s">
        <v>375</v>
      </c>
      <c r="AH494" t="s">
        <v>375</v>
      </c>
      <c r="AI494" t="s">
        <v>770</v>
      </c>
      <c r="AJ494" t="s">
        <v>770</v>
      </c>
      <c r="AK494" t="s">
        <v>770</v>
      </c>
      <c r="AL494" t="s">
        <v>770</v>
      </c>
      <c r="AM494" t="s">
        <v>86</v>
      </c>
      <c r="AN494" s="2">
        <v>45300</v>
      </c>
      <c r="AO494" t="s">
        <v>1677</v>
      </c>
      <c r="AP494" t="s">
        <v>86</v>
      </c>
      <c r="AQ494" t="s">
        <v>358</v>
      </c>
      <c r="AR494" t="s">
        <v>358</v>
      </c>
      <c r="AV494" s="2"/>
      <c r="AY494" t="s">
        <v>106</v>
      </c>
      <c r="BA494" t="s">
        <v>1917</v>
      </c>
      <c r="BB494" t="s">
        <v>1985</v>
      </c>
      <c r="BD494" t="s">
        <v>106</v>
      </c>
      <c r="BH494" t="s">
        <v>106</v>
      </c>
      <c r="BI494" t="s">
        <v>86</v>
      </c>
      <c r="BJ494" s="2">
        <v>45295</v>
      </c>
      <c r="BK494" t="s">
        <v>1986</v>
      </c>
      <c r="BL494" t="s">
        <v>106</v>
      </c>
      <c r="BM494" t="s">
        <v>1334</v>
      </c>
      <c r="BN494" t="s">
        <v>1334</v>
      </c>
      <c r="BT494" s="2">
        <f>Tabla1[[#This Row],[FECHA_TRASPLANTE]]</f>
        <v>44957</v>
      </c>
      <c r="BU494">
        <f>IF(Tabla1[[#This Row],[FALLECIDO SI/NO]]="NO",0,1)</f>
        <v>1</v>
      </c>
      <c r="BV494" s="3">
        <f ca="1">IF(Tabla1[[#This Row],[FALLECIDO_COD]]=0,TODAY()-Tabla1[[#This Row],[FECHA_TRASPLANTE]],Tabla1[[#This Row],[FECHA DE DEFUNCIÓN]]-Tabla1[[#This Row],[FECHA_TRASPLANTE]])</f>
        <v>343</v>
      </c>
      <c r="BW494" s="3">
        <f ca="1">IF(Tabla1[[#This Row],[FALLECIDO_COD]]=0,TODAY()-Tabla1[[#This Row],[FECHA_TRASPLANTE]],Tabla1[[#This Row],[FECHA DE DEFUNCIÓN]]-Tabla1[[#This Row],[FECHA_TRASPLANTE]])/30.4375</f>
        <v>11.268993839835728</v>
      </c>
      <c r="BX494" s="3">
        <f ca="1">IF(Tabla1[[#This Row],[FALLECIDO_COD]]=0,TODAY()-Tabla1[[#This Row],[FECHA_TRASPLANTE]],Tabla1[[#This Row],[FECHA DE DEFUNCIÓN]]-Tabla1[[#This Row],[FECHA_TRASPLANTE]])/365.25</f>
        <v>0.93908281998631071</v>
      </c>
      <c r="BY494"/>
      <c r="BZ494"/>
    </row>
    <row r="495" spans="1:78" hidden="1" x14ac:dyDescent="0.35">
      <c r="A495" t="s">
        <v>75</v>
      </c>
      <c r="B495" t="s">
        <v>1828</v>
      </c>
      <c r="C495" t="s">
        <v>864</v>
      </c>
      <c r="D495" t="s">
        <v>1129</v>
      </c>
      <c r="E495" t="s">
        <v>77</v>
      </c>
      <c r="H495" s="2">
        <v>30867</v>
      </c>
      <c r="I495">
        <v>38</v>
      </c>
      <c r="K495" t="s">
        <v>1987</v>
      </c>
      <c r="L495" t="s">
        <v>324</v>
      </c>
      <c r="M495" t="s">
        <v>1988</v>
      </c>
      <c r="N495" s="11">
        <v>701480382</v>
      </c>
      <c r="O495" s="16">
        <v>44957.25</v>
      </c>
      <c r="P495" t="s">
        <v>81</v>
      </c>
      <c r="Q495" s="2">
        <v>30201</v>
      </c>
      <c r="R495" s="3">
        <f>(Tabla1[[#This Row],[FECHA_TRASPLANTE]]-Tabla1[[#This Row],[FECHA_NAC]])/365.25</f>
        <v>40.400410677618069</v>
      </c>
      <c r="S495" t="s">
        <v>210</v>
      </c>
      <c r="T495"/>
      <c r="U495" t="s">
        <v>1989</v>
      </c>
      <c r="V495" t="s">
        <v>1824</v>
      </c>
      <c r="W495" t="s">
        <v>82</v>
      </c>
      <c r="X495" t="s">
        <v>120</v>
      </c>
      <c r="Y495" t="s">
        <v>755</v>
      </c>
      <c r="Z495" t="s">
        <v>755</v>
      </c>
      <c r="AD495">
        <v>8</v>
      </c>
      <c r="AF495" t="s">
        <v>1990</v>
      </c>
      <c r="AG495" t="s">
        <v>978</v>
      </c>
      <c r="AH495" t="s">
        <v>978</v>
      </c>
      <c r="AI495" t="s">
        <v>1942</v>
      </c>
      <c r="AM495" t="s">
        <v>106</v>
      </c>
      <c r="AO495"/>
      <c r="AQ495" t="s">
        <v>358</v>
      </c>
      <c r="AV495" s="2"/>
      <c r="AY495" t="s">
        <v>106</v>
      </c>
      <c r="AZ495"/>
      <c r="BJ495" s="2"/>
      <c r="BO495">
        <v>112100660</v>
      </c>
      <c r="BP495" t="s">
        <v>81</v>
      </c>
      <c r="BQ495" t="s">
        <v>82</v>
      </c>
      <c r="BT495" s="2">
        <f>Tabla1[[#This Row],[FECHA_TRASPLANTE]]</f>
        <v>44957.25</v>
      </c>
      <c r="BU495">
        <f>IF(Tabla1[[#This Row],[FALLECIDO SI/NO]]="NO",0,1)</f>
        <v>0</v>
      </c>
      <c r="BV495" s="3">
        <f ca="1">IF(Tabla1[[#This Row],[FALLECIDO_COD]]=0,TODAY()-Tabla1[[#This Row],[FECHA_TRASPLANTE]],Tabla1[[#This Row],[FECHA DE DEFUNCIÓN]]-Tabla1[[#This Row],[FECHA_TRASPLANTE]])</f>
        <v>917.75</v>
      </c>
      <c r="BW495" s="3">
        <f ca="1">IF(Tabla1[[#This Row],[FALLECIDO_COD]]=0,TODAY()-Tabla1[[#This Row],[FECHA_TRASPLANTE]],Tabla1[[#This Row],[FECHA DE DEFUNCIÓN]]-Tabla1[[#This Row],[FECHA_TRASPLANTE]])/30.4375</f>
        <v>30.151950718685832</v>
      </c>
      <c r="BX495" s="3">
        <f ca="1">IF(Tabla1[[#This Row],[FALLECIDO_COD]]=0,TODAY()-Tabla1[[#This Row],[FECHA_TRASPLANTE]],Tabla1[[#This Row],[FECHA DE DEFUNCIÓN]]-Tabla1[[#This Row],[FECHA_TRASPLANTE]])/365.25</f>
        <v>2.5126625598904861</v>
      </c>
      <c r="BY495"/>
      <c r="BZ495"/>
    </row>
    <row r="496" spans="1:78" hidden="1" x14ac:dyDescent="0.35">
      <c r="A496" t="s">
        <v>75</v>
      </c>
      <c r="B496" t="s">
        <v>1828</v>
      </c>
      <c r="D496" t="s">
        <v>1129</v>
      </c>
      <c r="E496" t="s">
        <v>375</v>
      </c>
      <c r="G496" t="s">
        <v>200</v>
      </c>
      <c r="H496" s="2">
        <v>29532.25</v>
      </c>
      <c r="I496">
        <v>42.236824093086902</v>
      </c>
      <c r="J496" t="s">
        <v>746</v>
      </c>
      <c r="K496" t="s">
        <v>1991</v>
      </c>
      <c r="L496" t="s">
        <v>449</v>
      </c>
      <c r="M496" t="s">
        <v>561</v>
      </c>
      <c r="N496" s="11">
        <v>703100161</v>
      </c>
      <c r="O496" s="16">
        <v>44959.25</v>
      </c>
      <c r="P496" t="s">
        <v>81</v>
      </c>
      <c r="Q496" s="2">
        <v>38229</v>
      </c>
      <c r="R496" s="3">
        <f>(Tabla1[[#This Row],[FECHA_TRASPLANTE]]-Tabla1[[#This Row],[FECHA_NAC]])/365.25</f>
        <v>18.426420260095824</v>
      </c>
      <c r="S496" t="s">
        <v>200</v>
      </c>
      <c r="T496"/>
      <c r="U496" t="s">
        <v>1992</v>
      </c>
      <c r="V496" t="s">
        <v>1838</v>
      </c>
      <c r="W496" t="s">
        <v>82</v>
      </c>
      <c r="X496" t="s">
        <v>120</v>
      </c>
      <c r="Y496" t="s">
        <v>471</v>
      </c>
      <c r="Z496" t="s">
        <v>421</v>
      </c>
      <c r="AD496">
        <v>7</v>
      </c>
      <c r="AF496" t="s">
        <v>978</v>
      </c>
      <c r="AG496" t="s">
        <v>978</v>
      </c>
      <c r="AH496" t="s">
        <v>978</v>
      </c>
      <c r="AI496" t="s">
        <v>978</v>
      </c>
      <c r="AM496" t="s">
        <v>106</v>
      </c>
      <c r="AO496"/>
      <c r="AQ496" t="s">
        <v>358</v>
      </c>
      <c r="AV496" s="2"/>
      <c r="AY496" t="s">
        <v>106</v>
      </c>
      <c r="AZ496"/>
      <c r="BJ496" s="2"/>
      <c r="BO496">
        <v>701390460</v>
      </c>
      <c r="BP496" t="s">
        <v>90</v>
      </c>
      <c r="BQ496" t="s">
        <v>82</v>
      </c>
      <c r="BT496" s="2">
        <f>Tabla1[[#This Row],[FECHA_TRASPLANTE]]</f>
        <v>44959.25</v>
      </c>
      <c r="BU496">
        <f>IF(Tabla1[[#This Row],[FALLECIDO SI/NO]]="NO",0,1)</f>
        <v>0</v>
      </c>
      <c r="BV496" s="3">
        <f ca="1">IF(Tabla1[[#This Row],[FALLECIDO_COD]]=0,TODAY()-Tabla1[[#This Row],[FECHA_TRASPLANTE]],Tabla1[[#This Row],[FECHA DE DEFUNCIÓN]]-Tabla1[[#This Row],[FECHA_TRASPLANTE]])</f>
        <v>915.75</v>
      </c>
      <c r="BW496" s="3">
        <f ca="1">IF(Tabla1[[#This Row],[FALLECIDO_COD]]=0,TODAY()-Tabla1[[#This Row],[FECHA_TRASPLANTE]],Tabla1[[#This Row],[FECHA DE DEFUNCIÓN]]-Tabla1[[#This Row],[FECHA_TRASPLANTE]])/30.4375</f>
        <v>30.086242299794662</v>
      </c>
      <c r="BX496" s="3">
        <f ca="1">IF(Tabla1[[#This Row],[FALLECIDO_COD]]=0,TODAY()-Tabla1[[#This Row],[FECHA_TRASPLANTE]],Tabla1[[#This Row],[FECHA DE DEFUNCIÓN]]-Tabla1[[#This Row],[FECHA_TRASPLANTE]])/365.25</f>
        <v>2.5071868583162216</v>
      </c>
      <c r="BY496"/>
      <c r="BZ496"/>
    </row>
    <row r="497" spans="1:78" hidden="1" x14ac:dyDescent="0.35">
      <c r="A497" t="s">
        <v>377</v>
      </c>
      <c r="D497" t="s">
        <v>1129</v>
      </c>
      <c r="E497" t="s">
        <v>375</v>
      </c>
      <c r="J497" t="s">
        <v>1993</v>
      </c>
      <c r="K497" t="s">
        <v>1994</v>
      </c>
      <c r="L497" t="s">
        <v>108</v>
      </c>
      <c r="M497" t="s">
        <v>98</v>
      </c>
      <c r="N497" s="11">
        <v>107310168</v>
      </c>
      <c r="O497" s="2">
        <v>44965</v>
      </c>
      <c r="P497" t="s">
        <v>81</v>
      </c>
      <c r="Q497" s="2">
        <v>25102</v>
      </c>
      <c r="R497" s="3">
        <f>(Tabla1[[#This Row],[FECHA_TRASPLANTE]]-Tabla1[[#This Row],[FECHA_NAC]])/365.25</f>
        <v>54.381930184804929</v>
      </c>
      <c r="T497"/>
      <c r="W497" t="s">
        <v>82</v>
      </c>
      <c r="X497" t="s">
        <v>91</v>
      </c>
      <c r="Y497" t="s">
        <v>215</v>
      </c>
      <c r="Z497" t="s">
        <v>215</v>
      </c>
      <c r="AM497" t="s">
        <v>106</v>
      </c>
      <c r="AO497"/>
      <c r="AV497" s="2"/>
      <c r="AZ497"/>
      <c r="BT497" s="2">
        <f>Tabla1[[#This Row],[FECHA_TRASPLANTE]]</f>
        <v>44965</v>
      </c>
      <c r="BU497">
        <f>IF(Tabla1[[#This Row],[FALLECIDO SI/NO]]="NO",0,1)</f>
        <v>0</v>
      </c>
      <c r="BV497" s="3">
        <f ca="1">IF(Tabla1[[#This Row],[FALLECIDO_COD]]=0,TODAY()-Tabla1[[#This Row],[FECHA_TRASPLANTE]],Tabla1[[#This Row],[FECHA DE DEFUNCIÓN]]-Tabla1[[#This Row],[FECHA_TRASPLANTE]])</f>
        <v>910</v>
      </c>
      <c r="BW497" s="3">
        <f ca="1">IF(Tabla1[[#This Row],[FALLECIDO_COD]]=0,TODAY()-Tabla1[[#This Row],[FECHA_TRASPLANTE]],Tabla1[[#This Row],[FECHA DE DEFUNCIÓN]]-Tabla1[[#This Row],[FECHA_TRASPLANTE]])/30.4375</f>
        <v>29.897330595482547</v>
      </c>
      <c r="BX497" s="3">
        <f ca="1">IF(Tabla1[[#This Row],[FALLECIDO_COD]]=0,TODAY()-Tabla1[[#This Row],[FECHA_TRASPLANTE]],Tabla1[[#This Row],[FECHA DE DEFUNCIÓN]]-Tabla1[[#This Row],[FECHA_TRASPLANTE]])/365.25</f>
        <v>2.4914442162902124</v>
      </c>
      <c r="BY497"/>
      <c r="BZ497"/>
    </row>
    <row r="498" spans="1:78" hidden="1" x14ac:dyDescent="0.35">
      <c r="A498" t="s">
        <v>75</v>
      </c>
      <c r="B498" t="s">
        <v>1828</v>
      </c>
      <c r="C498" t="s">
        <v>868</v>
      </c>
      <c r="D498" t="s">
        <v>1129</v>
      </c>
      <c r="E498" t="s">
        <v>77</v>
      </c>
      <c r="H498" s="2">
        <v>26994</v>
      </c>
      <c r="I498">
        <v>49</v>
      </c>
      <c r="K498" t="s">
        <v>1995</v>
      </c>
      <c r="L498" t="s">
        <v>1115</v>
      </c>
      <c r="M498" t="s">
        <v>189</v>
      </c>
      <c r="N498" s="11">
        <v>2940097939</v>
      </c>
      <c r="O498" s="16">
        <v>44969</v>
      </c>
      <c r="P498" t="s">
        <v>90</v>
      </c>
      <c r="Q498" s="2">
        <v>34491</v>
      </c>
      <c r="R498" s="3">
        <f>(Tabla1[[#This Row],[FECHA_TRASPLANTE]]-Tabla1[[#This Row],[FECHA_NAC]])/365.25</f>
        <v>28.687200547570157</v>
      </c>
      <c r="S498" t="s">
        <v>200</v>
      </c>
      <c r="T498"/>
      <c r="U498" t="s">
        <v>1830</v>
      </c>
      <c r="V498" t="s">
        <v>1838</v>
      </c>
      <c r="W498" t="s">
        <v>146</v>
      </c>
      <c r="X498" t="s">
        <v>120</v>
      </c>
      <c r="Y498" t="s">
        <v>121</v>
      </c>
      <c r="Z498" t="s">
        <v>690</v>
      </c>
      <c r="AD498">
        <v>9</v>
      </c>
      <c r="AF498" t="s">
        <v>978</v>
      </c>
      <c r="AG498" t="s">
        <v>978</v>
      </c>
      <c r="AH498" t="s">
        <v>978</v>
      </c>
      <c r="AI498" t="s">
        <v>978</v>
      </c>
      <c r="AM498" t="s">
        <v>106</v>
      </c>
      <c r="AO498"/>
      <c r="AQ498" t="s">
        <v>358</v>
      </c>
      <c r="AV498" s="2"/>
      <c r="AY498" t="s">
        <v>106</v>
      </c>
      <c r="AZ498"/>
      <c r="BJ498" s="2"/>
      <c r="BO498">
        <v>108690373</v>
      </c>
      <c r="BP498" t="s">
        <v>81</v>
      </c>
      <c r="BQ498" t="s">
        <v>82</v>
      </c>
      <c r="BT498" s="2">
        <f>Tabla1[[#This Row],[FECHA_TRASPLANTE]]</f>
        <v>44969</v>
      </c>
      <c r="BU498">
        <f>IF(Tabla1[[#This Row],[FALLECIDO SI/NO]]="NO",0,1)</f>
        <v>0</v>
      </c>
      <c r="BV498" s="3">
        <f ca="1">IF(Tabla1[[#This Row],[FALLECIDO_COD]]=0,TODAY()-Tabla1[[#This Row],[FECHA_TRASPLANTE]],Tabla1[[#This Row],[FECHA DE DEFUNCIÓN]]-Tabla1[[#This Row],[FECHA_TRASPLANTE]])</f>
        <v>906</v>
      </c>
      <c r="BW498" s="3">
        <f ca="1">IF(Tabla1[[#This Row],[FALLECIDO_COD]]=0,TODAY()-Tabla1[[#This Row],[FECHA_TRASPLANTE]],Tabla1[[#This Row],[FECHA DE DEFUNCIÓN]]-Tabla1[[#This Row],[FECHA_TRASPLANTE]])/30.4375</f>
        <v>29.765913757700204</v>
      </c>
      <c r="BX498" s="3">
        <f ca="1">IF(Tabla1[[#This Row],[FALLECIDO_COD]]=0,TODAY()-Tabla1[[#This Row],[FECHA_TRASPLANTE]],Tabla1[[#This Row],[FECHA DE DEFUNCIÓN]]-Tabla1[[#This Row],[FECHA_TRASPLANTE]])/365.25</f>
        <v>2.4804928131416837</v>
      </c>
      <c r="BY498"/>
      <c r="BZ498"/>
    </row>
    <row r="499" spans="1:78" hidden="1" x14ac:dyDescent="0.35">
      <c r="A499" t="s">
        <v>1125</v>
      </c>
      <c r="C499" t="s">
        <v>868</v>
      </c>
      <c r="D499" t="s">
        <v>1129</v>
      </c>
      <c r="E499" t="s">
        <v>77</v>
      </c>
      <c r="F499" t="s">
        <v>106</v>
      </c>
      <c r="G499" t="s">
        <v>200</v>
      </c>
      <c r="H499" s="2">
        <v>26994</v>
      </c>
      <c r="I499">
        <v>49.212867898699521</v>
      </c>
      <c r="J499" t="s">
        <v>1928</v>
      </c>
      <c r="N499" s="11">
        <v>16521772</v>
      </c>
      <c r="O499" s="2">
        <v>44969</v>
      </c>
      <c r="R499" s="3">
        <f>(Tabla1[[#This Row],[FECHA_TRASPLANTE]]-Tabla1[[#This Row],[FECHA_NAC]])/365.25</f>
        <v>123.11841204654347</v>
      </c>
      <c r="T499"/>
      <c r="U499" t="s">
        <v>1348</v>
      </c>
      <c r="W499" t="s">
        <v>146</v>
      </c>
      <c r="AM499" t="s">
        <v>106</v>
      </c>
      <c r="AO499"/>
      <c r="AV499" s="2"/>
      <c r="AZ499"/>
      <c r="BI499" t="s">
        <v>86</v>
      </c>
      <c r="BK499" t="s">
        <v>1813</v>
      </c>
      <c r="BT499" s="2">
        <f>Tabla1[[#This Row],[FECHA_TRASPLANTE]]</f>
        <v>44969</v>
      </c>
      <c r="BU499">
        <f>IF(Tabla1[[#This Row],[FALLECIDO SI/NO]]="NO",0,1)</f>
        <v>0</v>
      </c>
      <c r="BV499" s="3">
        <f ca="1">IF(Tabla1[[#This Row],[FALLECIDO_COD]]=0,TODAY()-Tabla1[[#This Row],[FECHA_TRASPLANTE]],Tabla1[[#This Row],[FECHA DE DEFUNCIÓN]]-Tabla1[[#This Row],[FECHA_TRASPLANTE]])</f>
        <v>906</v>
      </c>
      <c r="BW499" s="3">
        <f ca="1">IF(Tabla1[[#This Row],[FALLECIDO_COD]]=0,TODAY()-Tabla1[[#This Row],[FECHA_TRASPLANTE]],Tabla1[[#This Row],[FECHA DE DEFUNCIÓN]]-Tabla1[[#This Row],[FECHA_TRASPLANTE]])/30.4375</f>
        <v>29.765913757700204</v>
      </c>
      <c r="BX499" s="3">
        <f ca="1">IF(Tabla1[[#This Row],[FALLECIDO_COD]]=0,TODAY()-Tabla1[[#This Row],[FECHA_TRASPLANTE]],Tabla1[[#This Row],[FECHA DE DEFUNCIÓN]]-Tabla1[[#This Row],[FECHA_TRASPLANTE]])/365.25</f>
        <v>2.4804928131416837</v>
      </c>
      <c r="BY499"/>
      <c r="BZ499"/>
    </row>
    <row r="500" spans="1:78" hidden="1" x14ac:dyDescent="0.35">
      <c r="A500" t="s">
        <v>377</v>
      </c>
      <c r="D500" t="s">
        <v>1129</v>
      </c>
      <c r="E500" t="s">
        <v>375</v>
      </c>
      <c r="J500" t="s">
        <v>1152</v>
      </c>
      <c r="K500" t="s">
        <v>1996</v>
      </c>
      <c r="L500" t="s">
        <v>124</v>
      </c>
      <c r="M500" t="s">
        <v>626</v>
      </c>
      <c r="N500" s="11">
        <v>501690795</v>
      </c>
      <c r="O500" s="2">
        <v>44972</v>
      </c>
      <c r="P500" t="s">
        <v>81</v>
      </c>
      <c r="Q500" s="2">
        <v>21119</v>
      </c>
      <c r="R500" s="3">
        <f>(Tabla1[[#This Row],[FECHA_TRASPLANTE]]-Tabla1[[#This Row],[FECHA_NAC]])/365.25</f>
        <v>65.30595482546201</v>
      </c>
      <c r="T500"/>
      <c r="W500" t="s">
        <v>82</v>
      </c>
      <c r="X500" t="s">
        <v>125</v>
      </c>
      <c r="Y500" t="s">
        <v>423</v>
      </c>
      <c r="Z500" t="s">
        <v>423</v>
      </c>
      <c r="AM500" t="s">
        <v>106</v>
      </c>
      <c r="AO500"/>
      <c r="AV500" s="2"/>
      <c r="AZ500"/>
      <c r="BT500" s="2">
        <f>Tabla1[[#This Row],[FECHA_TRASPLANTE]]</f>
        <v>44972</v>
      </c>
      <c r="BU500">
        <f>IF(Tabla1[[#This Row],[FALLECIDO SI/NO]]="NO",0,1)</f>
        <v>0</v>
      </c>
      <c r="BV500" s="3">
        <f ca="1">IF(Tabla1[[#This Row],[FALLECIDO_COD]]=0,TODAY()-Tabla1[[#This Row],[FECHA_TRASPLANTE]],Tabla1[[#This Row],[FECHA DE DEFUNCIÓN]]-Tabla1[[#This Row],[FECHA_TRASPLANTE]])</f>
        <v>903</v>
      </c>
      <c r="BW500" s="3">
        <f ca="1">IF(Tabla1[[#This Row],[FALLECIDO_COD]]=0,TODAY()-Tabla1[[#This Row],[FECHA_TRASPLANTE]],Tabla1[[#This Row],[FECHA DE DEFUNCIÓN]]-Tabla1[[#This Row],[FECHA_TRASPLANTE]])/30.4375</f>
        <v>29.66735112936345</v>
      </c>
      <c r="BX500" s="3">
        <f ca="1">IF(Tabla1[[#This Row],[FALLECIDO_COD]]=0,TODAY()-Tabla1[[#This Row],[FECHA_TRASPLANTE]],Tabla1[[#This Row],[FECHA DE DEFUNCIÓN]]-Tabla1[[#This Row],[FECHA_TRASPLANTE]])/365.25</f>
        <v>2.4722792607802875</v>
      </c>
      <c r="BY500"/>
      <c r="BZ500"/>
    </row>
    <row r="501" spans="1:78" hidden="1" x14ac:dyDescent="0.35">
      <c r="A501" t="s">
        <v>1126</v>
      </c>
      <c r="B501" t="s">
        <v>1126</v>
      </c>
      <c r="D501" t="s">
        <v>1333</v>
      </c>
      <c r="E501" t="s">
        <v>375</v>
      </c>
      <c r="F501" t="s">
        <v>106</v>
      </c>
      <c r="G501" t="s">
        <v>200</v>
      </c>
      <c r="H501" s="2">
        <v>32444</v>
      </c>
      <c r="I501">
        <v>34.351813826146476</v>
      </c>
      <c r="J501" t="s">
        <v>746</v>
      </c>
      <c r="N501" s="11">
        <v>304510314</v>
      </c>
      <c r="O501" s="2">
        <v>44991</v>
      </c>
      <c r="P501" t="s">
        <v>81</v>
      </c>
      <c r="Q501" s="2">
        <v>33256</v>
      </c>
      <c r="R501" s="3">
        <f>(Tabla1[[#This Row],[FECHA_TRASPLANTE]]-Tabla1[[#This Row],[FECHA_NAC]])/365.25</f>
        <v>32.128678986995212</v>
      </c>
      <c r="S501" t="s">
        <v>200</v>
      </c>
      <c r="U501" t="s">
        <v>1997</v>
      </c>
      <c r="V501" t="s">
        <v>1551</v>
      </c>
      <c r="W501" t="s">
        <v>82</v>
      </c>
      <c r="X501" t="s">
        <v>110</v>
      </c>
      <c r="Y501" t="s">
        <v>340</v>
      </c>
      <c r="Z501" t="s">
        <v>676</v>
      </c>
      <c r="AD501">
        <v>0</v>
      </c>
      <c r="AF501" t="s">
        <v>375</v>
      </c>
      <c r="AG501" t="s">
        <v>375</v>
      </c>
      <c r="AH501" t="s">
        <v>375</v>
      </c>
      <c r="AI501" t="s">
        <v>375</v>
      </c>
      <c r="AM501" t="s">
        <v>106</v>
      </c>
      <c r="AN501" s="2">
        <v>45736</v>
      </c>
      <c r="AO501" s="2" t="s">
        <v>1998</v>
      </c>
      <c r="AP501" t="s">
        <v>106</v>
      </c>
      <c r="AQ501" t="s">
        <v>358</v>
      </c>
      <c r="AR501" s="2" t="s">
        <v>772</v>
      </c>
      <c r="AS501" s="2" t="s">
        <v>772</v>
      </c>
      <c r="AV501" s="2">
        <v>45366</v>
      </c>
      <c r="AW501" t="s">
        <v>1568</v>
      </c>
      <c r="AX501" t="s">
        <v>1569</v>
      </c>
      <c r="AY501" t="s">
        <v>106</v>
      </c>
      <c r="AZ501"/>
      <c r="BA501" t="s">
        <v>1812</v>
      </c>
      <c r="BB501">
        <v>11.19</v>
      </c>
      <c r="BC501">
        <v>6</v>
      </c>
      <c r="BD501" t="s">
        <v>106</v>
      </c>
      <c r="BI501" t="s">
        <v>106</v>
      </c>
      <c r="BL501" t="s">
        <v>106</v>
      </c>
      <c r="BT501" s="2">
        <f>Tabla1[[#This Row],[FECHA_TRASPLANTE]]</f>
        <v>44991</v>
      </c>
      <c r="BU501">
        <f>IF(Tabla1[[#This Row],[FALLECIDO SI/NO]]="NO",0,1)</f>
        <v>0</v>
      </c>
      <c r="BV501" s="3">
        <f ca="1">IF(Tabla1[[#This Row],[FALLECIDO_COD]]=0,TODAY()-Tabla1[[#This Row],[FECHA_TRASPLANTE]],Tabla1[[#This Row],[FECHA DE DEFUNCIÓN]]-Tabla1[[#This Row],[FECHA_TRASPLANTE]])</f>
        <v>884</v>
      </c>
      <c r="BW501" s="3">
        <f ca="1">IF(Tabla1[[#This Row],[FALLECIDO_COD]]=0,TODAY()-Tabla1[[#This Row],[FECHA_TRASPLANTE]],Tabla1[[#This Row],[FECHA DE DEFUNCIÓN]]-Tabla1[[#This Row],[FECHA_TRASPLANTE]])/30.4375</f>
        <v>29.043121149897331</v>
      </c>
      <c r="BX501" s="3">
        <f ca="1">IF(Tabla1[[#This Row],[FALLECIDO_COD]]=0,TODAY()-Tabla1[[#This Row],[FECHA_TRASPLANTE]],Tabla1[[#This Row],[FECHA DE DEFUNCIÓN]]-Tabla1[[#This Row],[FECHA_TRASPLANTE]])/365.25</f>
        <v>2.4202600958247777</v>
      </c>
      <c r="BY501"/>
      <c r="BZ501"/>
    </row>
    <row r="502" spans="1:78" hidden="1" x14ac:dyDescent="0.35">
      <c r="A502" t="s">
        <v>377</v>
      </c>
      <c r="D502" t="s">
        <v>1129</v>
      </c>
      <c r="E502" t="s">
        <v>375</v>
      </c>
      <c r="J502" t="s">
        <v>1152</v>
      </c>
      <c r="K502" t="s">
        <v>1999</v>
      </c>
      <c r="L502" t="s">
        <v>2000</v>
      </c>
      <c r="M502" t="s">
        <v>348</v>
      </c>
      <c r="N502" s="11">
        <v>1670100853</v>
      </c>
      <c r="O502" s="2">
        <v>44993</v>
      </c>
      <c r="P502" t="s">
        <v>81</v>
      </c>
      <c r="Q502" s="2">
        <v>24540</v>
      </c>
      <c r="R502" s="3">
        <f>(Tabla1[[#This Row],[FECHA_TRASPLANTE]]-Tabla1[[#This Row],[FECHA_NAC]])/365.25</f>
        <v>55.997262149212865</v>
      </c>
      <c r="T502"/>
      <c r="W502" t="s">
        <v>146</v>
      </c>
      <c r="X502" t="s">
        <v>2001</v>
      </c>
      <c r="AM502" t="s">
        <v>106</v>
      </c>
      <c r="AO502"/>
      <c r="AV502" s="2"/>
      <c r="AZ502"/>
      <c r="BT502" s="2">
        <f>Tabla1[[#This Row],[FECHA_TRASPLANTE]]</f>
        <v>44993</v>
      </c>
      <c r="BU502">
        <f>IF(Tabla1[[#This Row],[FALLECIDO SI/NO]]="NO",0,1)</f>
        <v>0</v>
      </c>
      <c r="BV502" s="3">
        <f ca="1">IF(Tabla1[[#This Row],[FALLECIDO_COD]]=0,TODAY()-Tabla1[[#This Row],[FECHA_TRASPLANTE]],Tabla1[[#This Row],[FECHA DE DEFUNCIÓN]]-Tabla1[[#This Row],[FECHA_TRASPLANTE]])</f>
        <v>882</v>
      </c>
      <c r="BW502" s="3">
        <f ca="1">IF(Tabla1[[#This Row],[FALLECIDO_COD]]=0,TODAY()-Tabla1[[#This Row],[FECHA_TRASPLANTE]],Tabla1[[#This Row],[FECHA DE DEFUNCIÓN]]-Tabla1[[#This Row],[FECHA_TRASPLANTE]])/30.4375</f>
        <v>28.977412731006162</v>
      </c>
      <c r="BX502" s="3">
        <f ca="1">IF(Tabla1[[#This Row],[FALLECIDO_COD]]=0,TODAY()-Tabla1[[#This Row],[FECHA_TRASPLANTE]],Tabla1[[#This Row],[FECHA DE DEFUNCIÓN]]-Tabla1[[#This Row],[FECHA_TRASPLANTE]])/365.25</f>
        <v>2.4147843942505132</v>
      </c>
      <c r="BY502"/>
      <c r="BZ502"/>
    </row>
    <row r="503" spans="1:78" hidden="1" x14ac:dyDescent="0.35">
      <c r="A503" t="s">
        <v>1125</v>
      </c>
      <c r="B503" t="s">
        <v>1125</v>
      </c>
      <c r="C503" t="s">
        <v>1334</v>
      </c>
      <c r="D503" t="s">
        <v>1129</v>
      </c>
      <c r="E503" t="s">
        <v>375</v>
      </c>
      <c r="G503" t="s">
        <v>210</v>
      </c>
      <c r="H503" s="2">
        <v>34192</v>
      </c>
      <c r="I503">
        <v>29.572210814510608</v>
      </c>
      <c r="J503" t="s">
        <v>1800</v>
      </c>
      <c r="K503" t="s">
        <v>2002</v>
      </c>
      <c r="L503" t="s">
        <v>188</v>
      </c>
      <c r="M503" t="s">
        <v>188</v>
      </c>
      <c r="N503" s="11">
        <v>105550345</v>
      </c>
      <c r="O503" s="2">
        <v>44993.25</v>
      </c>
      <c r="P503" t="s">
        <v>81</v>
      </c>
      <c r="Q503" s="2">
        <v>22400.25</v>
      </c>
      <c r="R503" s="3">
        <f>(Tabla1[[#This Row],[FECHA_TRASPLANTE]]-Tabla1[[#This Row],[FECHA_NAC]])/365.25</f>
        <v>61.856262833675565</v>
      </c>
      <c r="S503" t="s">
        <v>200</v>
      </c>
      <c r="T503"/>
      <c r="U503" t="s">
        <v>1348</v>
      </c>
      <c r="V503" t="s">
        <v>1824</v>
      </c>
      <c r="W503" t="s">
        <v>82</v>
      </c>
      <c r="X503" t="s">
        <v>91</v>
      </c>
      <c r="Y503" t="s">
        <v>108</v>
      </c>
      <c r="Z503" t="s">
        <v>1583</v>
      </c>
      <c r="AA503">
        <v>0.55000000000000004</v>
      </c>
      <c r="AD503">
        <v>0</v>
      </c>
      <c r="AF503" t="s">
        <v>816</v>
      </c>
      <c r="AG503" t="s">
        <v>375</v>
      </c>
      <c r="AH503" t="s">
        <v>375</v>
      </c>
      <c r="AI503" t="s">
        <v>375</v>
      </c>
      <c r="AM503" t="s">
        <v>106</v>
      </c>
      <c r="AO503" t="s">
        <v>1334</v>
      </c>
      <c r="AQ503" t="s">
        <v>358</v>
      </c>
      <c r="AR503" t="s">
        <v>358</v>
      </c>
      <c r="AV503" s="2" t="s">
        <v>1334</v>
      </c>
      <c r="AY503" t="s">
        <v>106</v>
      </c>
      <c r="AZ503"/>
      <c r="BA503" t="s">
        <v>2003</v>
      </c>
      <c r="BB503">
        <v>0.89</v>
      </c>
      <c r="BC503">
        <v>99.3</v>
      </c>
      <c r="BD503" t="s">
        <v>86</v>
      </c>
      <c r="BE503">
        <v>45005</v>
      </c>
      <c r="BF503" t="s">
        <v>1816</v>
      </c>
      <c r="BG503" t="s">
        <v>2004</v>
      </c>
      <c r="BH503" t="s">
        <v>106</v>
      </c>
      <c r="BI503" t="s">
        <v>106</v>
      </c>
      <c r="BJ503" t="s">
        <v>762</v>
      </c>
      <c r="BL503" t="s">
        <v>106</v>
      </c>
      <c r="BM503" t="s">
        <v>1334</v>
      </c>
      <c r="BN503" t="s">
        <v>1334</v>
      </c>
      <c r="BO503">
        <v>115440413</v>
      </c>
      <c r="BP503" t="s">
        <v>81</v>
      </c>
      <c r="BQ503" t="s">
        <v>1849</v>
      </c>
      <c r="BR503" t="s">
        <v>1806</v>
      </c>
      <c r="BS503" t="s">
        <v>2005</v>
      </c>
      <c r="BT503" s="2">
        <f>Tabla1[[#This Row],[FECHA_TRASPLANTE]]</f>
        <v>44993.25</v>
      </c>
      <c r="BU503">
        <f>IF(Tabla1[[#This Row],[FALLECIDO SI/NO]]="NO",0,1)</f>
        <v>0</v>
      </c>
      <c r="BV503" s="3">
        <f ca="1">IF(Tabla1[[#This Row],[FALLECIDO_COD]]=0,TODAY()-Tabla1[[#This Row],[FECHA_TRASPLANTE]],Tabla1[[#This Row],[FECHA DE DEFUNCIÓN]]-Tabla1[[#This Row],[FECHA_TRASPLANTE]])</f>
        <v>881.75</v>
      </c>
      <c r="BW503" s="3">
        <f ca="1">IF(Tabla1[[#This Row],[FALLECIDO_COD]]=0,TODAY()-Tabla1[[#This Row],[FECHA_TRASPLANTE]],Tabla1[[#This Row],[FECHA DE DEFUNCIÓN]]-Tabla1[[#This Row],[FECHA_TRASPLANTE]])/30.4375</f>
        <v>28.969199178644764</v>
      </c>
      <c r="BX503" s="3">
        <f ca="1">IF(Tabla1[[#This Row],[FALLECIDO_COD]]=0,TODAY()-Tabla1[[#This Row],[FECHA_TRASPLANTE]],Tabla1[[#This Row],[FECHA DE DEFUNCIÓN]]-Tabla1[[#This Row],[FECHA_TRASPLANTE]])/365.25</f>
        <v>2.4140999315537304</v>
      </c>
      <c r="BY503"/>
      <c r="BZ503"/>
    </row>
    <row r="504" spans="1:78" hidden="1" x14ac:dyDescent="0.35">
      <c r="A504" t="s">
        <v>377</v>
      </c>
      <c r="D504" t="s">
        <v>1129</v>
      </c>
      <c r="E504" t="s">
        <v>375</v>
      </c>
      <c r="J504" t="s">
        <v>1180</v>
      </c>
      <c r="K504" t="s">
        <v>2006</v>
      </c>
      <c r="L504" t="s">
        <v>642</v>
      </c>
      <c r="M504" t="s">
        <v>531</v>
      </c>
      <c r="N504" s="11">
        <v>208140288</v>
      </c>
      <c r="O504" s="2">
        <v>45000</v>
      </c>
      <c r="P504" t="s">
        <v>81</v>
      </c>
      <c r="Q504" s="2">
        <v>36937</v>
      </c>
      <c r="R504" s="3">
        <f>(Tabla1[[#This Row],[FECHA_TRASPLANTE]]-Tabla1[[#This Row],[FECHA_NAC]])/365.25</f>
        <v>22.075290896646134</v>
      </c>
      <c r="T504"/>
      <c r="W504" t="s">
        <v>82</v>
      </c>
      <c r="X504" t="s">
        <v>2007</v>
      </c>
      <c r="AM504" t="s">
        <v>106</v>
      </c>
      <c r="AO504"/>
      <c r="AV504" s="2"/>
      <c r="AZ504"/>
      <c r="BT504" s="2">
        <f>Tabla1[[#This Row],[FECHA_TRASPLANTE]]</f>
        <v>45000</v>
      </c>
      <c r="BU504">
        <f>IF(Tabla1[[#This Row],[FALLECIDO SI/NO]]="NO",0,1)</f>
        <v>0</v>
      </c>
      <c r="BV504" s="3">
        <f ca="1">IF(Tabla1[[#This Row],[FALLECIDO_COD]]=0,TODAY()-Tabla1[[#This Row],[FECHA_TRASPLANTE]],Tabla1[[#This Row],[FECHA DE DEFUNCIÓN]]-Tabla1[[#This Row],[FECHA_TRASPLANTE]])</f>
        <v>875</v>
      </c>
      <c r="BW504" s="3">
        <f ca="1">IF(Tabla1[[#This Row],[FALLECIDO_COD]]=0,TODAY()-Tabla1[[#This Row],[FECHA_TRASPLANTE]],Tabla1[[#This Row],[FECHA DE DEFUNCIÓN]]-Tabla1[[#This Row],[FECHA_TRASPLANTE]])/30.4375</f>
        <v>28.747433264887064</v>
      </c>
      <c r="BX504" s="3">
        <f ca="1">IF(Tabla1[[#This Row],[FALLECIDO_COD]]=0,TODAY()-Tabla1[[#This Row],[FECHA_TRASPLANTE]],Tabla1[[#This Row],[FECHA DE DEFUNCIÓN]]-Tabla1[[#This Row],[FECHA_TRASPLANTE]])/365.25</f>
        <v>2.3956194387405887</v>
      </c>
      <c r="BY504"/>
      <c r="BZ504"/>
    </row>
    <row r="505" spans="1:78" hidden="1" x14ac:dyDescent="0.35">
      <c r="A505" t="s">
        <v>75</v>
      </c>
      <c r="B505" t="s">
        <v>1828</v>
      </c>
      <c r="C505" t="s">
        <v>878</v>
      </c>
      <c r="D505" t="s">
        <v>1129</v>
      </c>
      <c r="E505" t="s">
        <v>77</v>
      </c>
      <c r="H505" s="2">
        <v>35376</v>
      </c>
      <c r="I505">
        <v>26</v>
      </c>
      <c r="K505" t="s">
        <v>139</v>
      </c>
      <c r="L505" t="s">
        <v>2008</v>
      </c>
      <c r="M505" t="s">
        <v>277</v>
      </c>
      <c r="N505" s="11">
        <v>105430427</v>
      </c>
      <c r="O505" s="16">
        <v>45001.25</v>
      </c>
      <c r="P505" t="s">
        <v>81</v>
      </c>
      <c r="Q505" s="2">
        <v>22232</v>
      </c>
      <c r="R505" s="3">
        <f>(Tabla1[[#This Row],[FECHA_TRASPLANTE]]-Tabla1[[#This Row],[FECHA_NAC]])/365.25</f>
        <v>62.338809034907598</v>
      </c>
      <c r="S505" t="s">
        <v>210</v>
      </c>
      <c r="T505"/>
      <c r="U505" t="s">
        <v>2009</v>
      </c>
      <c r="V505" t="s">
        <v>1824</v>
      </c>
      <c r="W505" t="s">
        <v>82</v>
      </c>
      <c r="X505" t="s">
        <v>91</v>
      </c>
      <c r="Y505" t="s">
        <v>84</v>
      </c>
      <c r="Z505" t="s">
        <v>1519</v>
      </c>
      <c r="AD505">
        <v>7</v>
      </c>
      <c r="AF505" t="s">
        <v>978</v>
      </c>
      <c r="AG505" t="s">
        <v>978</v>
      </c>
      <c r="AH505" t="s">
        <v>978</v>
      </c>
      <c r="AI505" t="s">
        <v>978</v>
      </c>
      <c r="AM505" t="s">
        <v>106</v>
      </c>
      <c r="AO505"/>
      <c r="AQ505" t="s">
        <v>358</v>
      </c>
      <c r="AV505" s="2"/>
      <c r="AY505" t="s">
        <v>106</v>
      </c>
      <c r="AZ505"/>
      <c r="BJ505" s="2"/>
      <c r="BO505">
        <v>207590794</v>
      </c>
      <c r="BP505" t="s">
        <v>81</v>
      </c>
      <c r="BQ505" t="s">
        <v>82</v>
      </c>
      <c r="BT505" s="2">
        <f>Tabla1[[#This Row],[FECHA_TRASPLANTE]]</f>
        <v>45001.25</v>
      </c>
      <c r="BU505">
        <f>IF(Tabla1[[#This Row],[FALLECIDO SI/NO]]="NO",0,1)</f>
        <v>0</v>
      </c>
      <c r="BV505" s="3">
        <f ca="1">IF(Tabla1[[#This Row],[FALLECIDO_COD]]=0,TODAY()-Tabla1[[#This Row],[FECHA_TRASPLANTE]],Tabla1[[#This Row],[FECHA DE DEFUNCIÓN]]-Tabla1[[#This Row],[FECHA_TRASPLANTE]])</f>
        <v>873.75</v>
      </c>
      <c r="BW505" s="3">
        <f ca="1">IF(Tabla1[[#This Row],[FALLECIDO_COD]]=0,TODAY()-Tabla1[[#This Row],[FECHA_TRASPLANTE]],Tabla1[[#This Row],[FECHA DE DEFUNCIÓN]]-Tabla1[[#This Row],[FECHA_TRASPLANTE]])/30.4375</f>
        <v>28.706365503080082</v>
      </c>
      <c r="BX505" s="3">
        <f ca="1">IF(Tabla1[[#This Row],[FALLECIDO_COD]]=0,TODAY()-Tabla1[[#This Row],[FECHA_TRASPLANTE]],Tabla1[[#This Row],[FECHA DE DEFUNCIÓN]]-Tabla1[[#This Row],[FECHA_TRASPLANTE]])/365.25</f>
        <v>2.3921971252566734</v>
      </c>
      <c r="BY505"/>
      <c r="BZ505"/>
    </row>
    <row r="506" spans="1:78" hidden="1" x14ac:dyDescent="0.35">
      <c r="A506" t="s">
        <v>377</v>
      </c>
      <c r="D506" t="s">
        <v>1129</v>
      </c>
      <c r="E506" t="s">
        <v>77</v>
      </c>
      <c r="J506" t="s">
        <v>1834</v>
      </c>
      <c r="K506" t="s">
        <v>2010</v>
      </c>
      <c r="L506" t="s">
        <v>1736</v>
      </c>
      <c r="M506" t="s">
        <v>652</v>
      </c>
      <c r="N506" s="11">
        <v>205580051</v>
      </c>
      <c r="O506" s="2">
        <v>45002</v>
      </c>
      <c r="P506" t="s">
        <v>90</v>
      </c>
      <c r="Q506" s="2">
        <v>29356</v>
      </c>
      <c r="R506" s="3">
        <f>(Tabla1[[#This Row],[FECHA_TRASPLANTE]]-Tabla1[[#This Row],[FECHA_NAC]])/365.25</f>
        <v>42.836413415468854</v>
      </c>
      <c r="T506"/>
      <c r="W506" t="s">
        <v>82</v>
      </c>
      <c r="X506" t="s">
        <v>2011</v>
      </c>
      <c r="AM506" t="s">
        <v>106</v>
      </c>
      <c r="AO506"/>
      <c r="AV506" s="2"/>
      <c r="AZ506"/>
      <c r="BT506" s="2">
        <f>Tabla1[[#This Row],[FECHA_TRASPLANTE]]</f>
        <v>45002</v>
      </c>
      <c r="BU506">
        <f>IF(Tabla1[[#This Row],[FALLECIDO SI/NO]]="NO",0,1)</f>
        <v>0</v>
      </c>
      <c r="BV506" s="3">
        <f ca="1">IF(Tabla1[[#This Row],[FALLECIDO_COD]]=0,TODAY()-Tabla1[[#This Row],[FECHA_TRASPLANTE]],Tabla1[[#This Row],[FECHA DE DEFUNCIÓN]]-Tabla1[[#This Row],[FECHA_TRASPLANTE]])</f>
        <v>873</v>
      </c>
      <c r="BW506" s="3">
        <f ca="1">IF(Tabla1[[#This Row],[FALLECIDO_COD]]=0,TODAY()-Tabla1[[#This Row],[FECHA_TRASPLANTE]],Tabla1[[#This Row],[FECHA DE DEFUNCIÓN]]-Tabla1[[#This Row],[FECHA_TRASPLANTE]])/30.4375</f>
        <v>28.681724845995895</v>
      </c>
      <c r="BX506" s="3">
        <f ca="1">IF(Tabla1[[#This Row],[FALLECIDO_COD]]=0,TODAY()-Tabla1[[#This Row],[FECHA_TRASPLANTE]],Tabla1[[#This Row],[FECHA DE DEFUNCIÓN]]-Tabla1[[#This Row],[FECHA_TRASPLANTE]])/365.25</f>
        <v>2.3901437371663246</v>
      </c>
      <c r="BY506"/>
      <c r="BZ506"/>
    </row>
    <row r="507" spans="1:78" hidden="1" x14ac:dyDescent="0.35">
      <c r="A507" t="s">
        <v>1126</v>
      </c>
      <c r="B507" t="s">
        <v>1126</v>
      </c>
      <c r="D507" t="s">
        <v>1333</v>
      </c>
      <c r="E507" t="s">
        <v>375</v>
      </c>
      <c r="F507" t="s">
        <v>106</v>
      </c>
      <c r="G507" t="s">
        <v>200</v>
      </c>
      <c r="H507" s="2">
        <v>32743.25</v>
      </c>
      <c r="I507">
        <v>33.590691307323752</v>
      </c>
      <c r="J507" t="s">
        <v>746</v>
      </c>
      <c r="N507" s="11">
        <v>302670932</v>
      </c>
      <c r="O507" s="2">
        <v>45012.25</v>
      </c>
      <c r="P507" t="s">
        <v>1669</v>
      </c>
      <c r="Q507" s="2">
        <v>23375.25</v>
      </c>
      <c r="R507" s="3">
        <f>(Tabla1[[#This Row],[FECHA_TRASPLANTE]]-Tabla1[[#This Row],[FECHA_NAC]])/365.25</f>
        <v>59.238877481177276</v>
      </c>
      <c r="S507" t="s">
        <v>200</v>
      </c>
      <c r="U507" t="s">
        <v>1925</v>
      </c>
      <c r="V507" t="s">
        <v>1551</v>
      </c>
      <c r="W507" t="s">
        <v>82</v>
      </c>
      <c r="X507" t="s">
        <v>110</v>
      </c>
      <c r="Y507" t="s">
        <v>111</v>
      </c>
      <c r="Z507" t="s">
        <v>454</v>
      </c>
      <c r="AD507">
        <v>0</v>
      </c>
      <c r="AF507" t="s">
        <v>375</v>
      </c>
      <c r="AG507" t="s">
        <v>375</v>
      </c>
      <c r="AH507" t="s">
        <v>375</v>
      </c>
      <c r="AI507" t="s">
        <v>375</v>
      </c>
      <c r="AM507" t="s">
        <v>106</v>
      </c>
      <c r="AN507" s="2" t="s">
        <v>762</v>
      </c>
      <c r="AO507" s="2" t="s">
        <v>762</v>
      </c>
      <c r="AQ507" t="s">
        <v>358</v>
      </c>
      <c r="AR507" s="2" t="s">
        <v>358</v>
      </c>
      <c r="AS507" s="2" t="s">
        <v>358</v>
      </c>
      <c r="AV507" s="2" t="s">
        <v>762</v>
      </c>
      <c r="AY507" t="s">
        <v>106</v>
      </c>
      <c r="AZ507"/>
      <c r="BA507" t="s">
        <v>1812</v>
      </c>
      <c r="BB507">
        <v>0.89</v>
      </c>
      <c r="BC507">
        <v>74</v>
      </c>
      <c r="BD507" t="s">
        <v>106</v>
      </c>
      <c r="BI507" t="s">
        <v>106</v>
      </c>
      <c r="BL507" t="s">
        <v>106</v>
      </c>
      <c r="BT507" s="2">
        <f>Tabla1[[#This Row],[FECHA_TRASPLANTE]]</f>
        <v>45012.25</v>
      </c>
      <c r="BU507">
        <f>IF(Tabla1[[#This Row],[FALLECIDO SI/NO]]="NO",0,1)</f>
        <v>0</v>
      </c>
      <c r="BV507" s="3">
        <f ca="1">IF(Tabla1[[#This Row],[FALLECIDO_COD]]=0,TODAY()-Tabla1[[#This Row],[FECHA_TRASPLANTE]],Tabla1[[#This Row],[FECHA DE DEFUNCIÓN]]-Tabla1[[#This Row],[FECHA_TRASPLANTE]])</f>
        <v>862.75</v>
      </c>
      <c r="BW507" s="3">
        <f ca="1">IF(Tabla1[[#This Row],[FALLECIDO_COD]]=0,TODAY()-Tabla1[[#This Row],[FECHA_TRASPLANTE]],Tabla1[[#This Row],[FECHA DE DEFUNCIÓN]]-Tabla1[[#This Row],[FECHA_TRASPLANTE]])/30.4375</f>
        <v>28.344969199178646</v>
      </c>
      <c r="BX507" s="3">
        <f ca="1">IF(Tabla1[[#This Row],[FALLECIDO_COD]]=0,TODAY()-Tabla1[[#This Row],[FECHA_TRASPLANTE]],Tabla1[[#This Row],[FECHA DE DEFUNCIÓN]]-Tabla1[[#This Row],[FECHA_TRASPLANTE]])/365.25</f>
        <v>2.3620807665982202</v>
      </c>
      <c r="BY507"/>
      <c r="BZ507"/>
    </row>
    <row r="508" spans="1:78" hidden="1" x14ac:dyDescent="0.35">
      <c r="A508" t="s">
        <v>377</v>
      </c>
      <c r="D508" t="s">
        <v>1129</v>
      </c>
      <c r="E508" t="s">
        <v>375</v>
      </c>
      <c r="J508" t="s">
        <v>2012</v>
      </c>
      <c r="K508" t="s">
        <v>2013</v>
      </c>
      <c r="L508" t="s">
        <v>474</v>
      </c>
      <c r="M508" t="s">
        <v>2014</v>
      </c>
      <c r="N508" s="11">
        <v>603430100</v>
      </c>
      <c r="O508" s="2">
        <v>45028</v>
      </c>
      <c r="P508" t="s">
        <v>90</v>
      </c>
      <c r="Q508" s="2">
        <v>31041</v>
      </c>
      <c r="R508" s="3">
        <f>(Tabla1[[#This Row],[FECHA_TRASPLANTE]]-Tabla1[[#This Row],[FECHA_NAC]])/365.25</f>
        <v>38.294318959616703</v>
      </c>
      <c r="T508"/>
      <c r="W508" t="s">
        <v>82</v>
      </c>
      <c r="X508" t="s">
        <v>83</v>
      </c>
      <c r="Y508" t="s">
        <v>2015</v>
      </c>
      <c r="Z508" t="s">
        <v>2015</v>
      </c>
      <c r="AM508" t="s">
        <v>106</v>
      </c>
      <c r="AO508"/>
      <c r="AV508" s="2"/>
      <c r="AZ508"/>
      <c r="BT508" s="2">
        <f>Tabla1[[#This Row],[FECHA_TRASPLANTE]]</f>
        <v>45028</v>
      </c>
      <c r="BU508">
        <f>IF(Tabla1[[#This Row],[FALLECIDO SI/NO]]="NO",0,1)</f>
        <v>0</v>
      </c>
      <c r="BV508" s="3">
        <f ca="1">IF(Tabla1[[#This Row],[FALLECIDO_COD]]=0,TODAY()-Tabla1[[#This Row],[FECHA_TRASPLANTE]],Tabla1[[#This Row],[FECHA DE DEFUNCIÓN]]-Tabla1[[#This Row],[FECHA_TRASPLANTE]])</f>
        <v>847</v>
      </c>
      <c r="BW508" s="3">
        <f ca="1">IF(Tabla1[[#This Row],[FALLECIDO_COD]]=0,TODAY()-Tabla1[[#This Row],[FECHA_TRASPLANTE]],Tabla1[[#This Row],[FECHA DE DEFUNCIÓN]]-Tabla1[[#This Row],[FECHA_TRASPLANTE]])/30.4375</f>
        <v>27.827515400410679</v>
      </c>
      <c r="BX508" s="3">
        <f ca="1">IF(Tabla1[[#This Row],[FALLECIDO_COD]]=0,TODAY()-Tabla1[[#This Row],[FECHA_TRASPLANTE]],Tabla1[[#This Row],[FECHA DE DEFUNCIÓN]]-Tabla1[[#This Row],[FECHA_TRASPLANTE]])/365.25</f>
        <v>2.3189596167008899</v>
      </c>
      <c r="BY508"/>
      <c r="BZ508"/>
    </row>
    <row r="509" spans="1:78" hidden="1" x14ac:dyDescent="0.35">
      <c r="A509" t="s">
        <v>1126</v>
      </c>
      <c r="B509" t="s">
        <v>1126</v>
      </c>
      <c r="D509" t="s">
        <v>1333</v>
      </c>
      <c r="E509" t="s">
        <v>375</v>
      </c>
      <c r="F509" t="s">
        <v>106</v>
      </c>
      <c r="G509" t="s">
        <v>200</v>
      </c>
      <c r="H509" s="2">
        <v>35070</v>
      </c>
      <c r="I509">
        <v>27.277207392197127</v>
      </c>
      <c r="J509" t="s">
        <v>1898</v>
      </c>
      <c r="K509" t="s">
        <v>2016</v>
      </c>
      <c r="L509" t="s">
        <v>109</v>
      </c>
      <c r="M509" t="s">
        <v>89</v>
      </c>
      <c r="N509" s="11">
        <v>117730247</v>
      </c>
      <c r="O509" s="2">
        <v>45033</v>
      </c>
      <c r="P509" t="s">
        <v>81</v>
      </c>
      <c r="Q509" s="2">
        <v>35081</v>
      </c>
      <c r="R509" s="3">
        <f>(Tabla1[[#This Row],[FECHA_TRASPLANTE]]-Tabla1[[#This Row],[FECHA_NAC]])/365.25</f>
        <v>27.247091033538673</v>
      </c>
      <c r="S509" t="s">
        <v>205</v>
      </c>
      <c r="U509" t="s">
        <v>1857</v>
      </c>
      <c r="V509" t="s">
        <v>1551</v>
      </c>
      <c r="W509" t="s">
        <v>82</v>
      </c>
      <c r="X509" t="s">
        <v>110</v>
      </c>
      <c r="Y509" t="s">
        <v>196</v>
      </c>
      <c r="Z509" t="s">
        <v>797</v>
      </c>
      <c r="AD509">
        <v>0</v>
      </c>
      <c r="AF509" t="s">
        <v>375</v>
      </c>
      <c r="AG509" t="s">
        <v>375</v>
      </c>
      <c r="AH509" t="s">
        <v>375</v>
      </c>
      <c r="AI509" t="s">
        <v>375</v>
      </c>
      <c r="AM509" t="s">
        <v>106</v>
      </c>
      <c r="AN509" s="2" t="s">
        <v>762</v>
      </c>
      <c r="AO509" s="2" t="s">
        <v>762</v>
      </c>
      <c r="AQ509" t="s">
        <v>358</v>
      </c>
      <c r="AR509" s="2" t="s">
        <v>358</v>
      </c>
      <c r="AS509" s="2"/>
      <c r="AV509" s="2" t="s">
        <v>762</v>
      </c>
      <c r="AY509" t="s">
        <v>106</v>
      </c>
      <c r="AZ509"/>
      <c r="BA509" t="s">
        <v>1812</v>
      </c>
      <c r="BB509">
        <v>1.08</v>
      </c>
      <c r="BC509">
        <v>95</v>
      </c>
      <c r="BD509" t="s">
        <v>106</v>
      </c>
      <c r="BI509" t="s">
        <v>106</v>
      </c>
      <c r="BL509" t="s">
        <v>106</v>
      </c>
      <c r="BO509">
        <v>116300821</v>
      </c>
      <c r="BP509" t="s">
        <v>90</v>
      </c>
      <c r="BQ509" t="s">
        <v>82</v>
      </c>
      <c r="BR509" t="s">
        <v>1900</v>
      </c>
      <c r="BS509" t="s">
        <v>1901</v>
      </c>
      <c r="BT509" s="2">
        <f>Tabla1[[#This Row],[FECHA_TRASPLANTE]]</f>
        <v>45033</v>
      </c>
      <c r="BU509">
        <f>IF(Tabla1[[#This Row],[FALLECIDO SI/NO]]="NO",0,1)</f>
        <v>0</v>
      </c>
      <c r="BV509" s="3">
        <f ca="1">IF(Tabla1[[#This Row],[FALLECIDO_COD]]=0,TODAY()-Tabla1[[#This Row],[FECHA_TRASPLANTE]],Tabla1[[#This Row],[FECHA DE DEFUNCIÓN]]-Tabla1[[#This Row],[FECHA_TRASPLANTE]])</f>
        <v>842</v>
      </c>
      <c r="BW509" s="3">
        <f ca="1">IF(Tabla1[[#This Row],[FALLECIDO_COD]]=0,TODAY()-Tabla1[[#This Row],[FECHA_TRASPLANTE]],Tabla1[[#This Row],[FECHA DE DEFUNCIÓN]]-Tabla1[[#This Row],[FECHA_TRASPLANTE]])/30.4375</f>
        <v>27.663244353182751</v>
      </c>
      <c r="BX509" s="3">
        <f ca="1">IF(Tabla1[[#This Row],[FALLECIDO_COD]]=0,TODAY()-Tabla1[[#This Row],[FECHA_TRASPLANTE]],Tabla1[[#This Row],[FECHA DE DEFUNCIÓN]]-Tabla1[[#This Row],[FECHA_TRASPLANTE]])/365.25</f>
        <v>2.3052703627652291</v>
      </c>
      <c r="BY509"/>
      <c r="BZ509"/>
    </row>
    <row r="510" spans="1:78" hidden="1" x14ac:dyDescent="0.35">
      <c r="A510" t="s">
        <v>377</v>
      </c>
      <c r="D510" t="s">
        <v>1129</v>
      </c>
      <c r="E510" t="s">
        <v>77</v>
      </c>
      <c r="J510" t="s">
        <v>1834</v>
      </c>
      <c r="K510" t="s">
        <v>2017</v>
      </c>
      <c r="L510" t="s">
        <v>449</v>
      </c>
      <c r="M510" t="s">
        <v>208</v>
      </c>
      <c r="N510" s="11">
        <v>501370151</v>
      </c>
      <c r="O510" s="2">
        <v>45041</v>
      </c>
      <c r="P510" t="s">
        <v>81</v>
      </c>
      <c r="Q510" s="2">
        <v>18625</v>
      </c>
      <c r="R510" s="3">
        <f>(Tabla1[[#This Row],[FECHA_TRASPLANTE]]-Tabla1[[#This Row],[FECHA_NAC]])/365.25</f>
        <v>72.323066392881586</v>
      </c>
      <c r="T510"/>
      <c r="W510" t="s">
        <v>82</v>
      </c>
      <c r="X510" t="s">
        <v>2018</v>
      </c>
      <c r="AM510" t="s">
        <v>86</v>
      </c>
      <c r="AN510" s="2">
        <v>45138</v>
      </c>
      <c r="AO510" t="s">
        <v>1702</v>
      </c>
      <c r="AP510" t="s">
        <v>106</v>
      </c>
      <c r="AQ510" t="s">
        <v>772</v>
      </c>
      <c r="AV510" s="2"/>
      <c r="BT510" s="2">
        <f>Tabla1[[#This Row],[FECHA_TRASPLANTE]]</f>
        <v>45041</v>
      </c>
      <c r="BU510">
        <f>IF(Tabla1[[#This Row],[FALLECIDO SI/NO]]="NO",0,1)</f>
        <v>1</v>
      </c>
      <c r="BV510" s="3">
        <f ca="1">IF(Tabla1[[#This Row],[FALLECIDO_COD]]=0,TODAY()-Tabla1[[#This Row],[FECHA_TRASPLANTE]],Tabla1[[#This Row],[FECHA DE DEFUNCIÓN]]-Tabla1[[#This Row],[FECHA_TRASPLANTE]])</f>
        <v>97</v>
      </c>
      <c r="BW510" s="3">
        <f ca="1">IF(Tabla1[[#This Row],[FALLECIDO_COD]]=0,TODAY()-Tabla1[[#This Row],[FECHA_TRASPLANTE]],Tabla1[[#This Row],[FECHA DE DEFUNCIÓN]]-Tabla1[[#This Row],[FECHA_TRASPLANTE]])/30.4375</f>
        <v>3.1868583162217661</v>
      </c>
      <c r="BX510" s="3">
        <f ca="1">IF(Tabla1[[#This Row],[FALLECIDO_COD]]=0,TODAY()-Tabla1[[#This Row],[FECHA_TRASPLANTE]],Tabla1[[#This Row],[FECHA DE DEFUNCIÓN]]-Tabla1[[#This Row],[FECHA_TRASPLANTE]])/365.25</f>
        <v>0.2655715263518138</v>
      </c>
      <c r="BY510"/>
      <c r="BZ510"/>
    </row>
    <row r="511" spans="1:78" hidden="1" x14ac:dyDescent="0.35">
      <c r="A511" t="s">
        <v>75</v>
      </c>
      <c r="B511" t="s">
        <v>1828</v>
      </c>
      <c r="C511" t="s">
        <v>281</v>
      </c>
      <c r="D511" t="s">
        <v>1129</v>
      </c>
      <c r="E511" t="s">
        <v>77</v>
      </c>
      <c r="H511" s="2">
        <v>23859</v>
      </c>
      <c r="I511">
        <v>57</v>
      </c>
      <c r="K511" t="s">
        <v>2019</v>
      </c>
      <c r="L511" t="s">
        <v>274</v>
      </c>
      <c r="M511" t="s">
        <v>1969</v>
      </c>
      <c r="N511" s="11">
        <v>112500672</v>
      </c>
      <c r="O511" s="16">
        <v>45041.25</v>
      </c>
      <c r="P511" t="s">
        <v>90</v>
      </c>
      <c r="Q511" s="2">
        <v>31278</v>
      </c>
      <c r="R511" s="3">
        <f>(Tabla1[[#This Row],[FECHA_TRASPLANTE]]-Tabla1[[#This Row],[FECHA_NAC]])/365.25</f>
        <v>37.681724845995895</v>
      </c>
      <c r="S511" t="s">
        <v>200</v>
      </c>
      <c r="T511"/>
      <c r="U511" t="s">
        <v>2009</v>
      </c>
      <c r="V511" t="s">
        <v>1838</v>
      </c>
      <c r="W511" t="s">
        <v>82</v>
      </c>
      <c r="X511" t="s">
        <v>91</v>
      </c>
      <c r="Y511" t="s">
        <v>211</v>
      </c>
      <c r="Z511" t="s">
        <v>607</v>
      </c>
      <c r="AD511">
        <v>8</v>
      </c>
      <c r="AF511" t="s">
        <v>978</v>
      </c>
      <c r="AG511" t="s">
        <v>978</v>
      </c>
      <c r="AH511" t="s">
        <v>978</v>
      </c>
      <c r="AI511" t="s">
        <v>978</v>
      </c>
      <c r="AM511" t="s">
        <v>106</v>
      </c>
      <c r="AO511"/>
      <c r="AQ511" t="s">
        <v>358</v>
      </c>
      <c r="AV511" s="2"/>
      <c r="AY511" t="s">
        <v>106</v>
      </c>
      <c r="AZ511"/>
      <c r="BJ511" s="2"/>
      <c r="BO511">
        <v>302750930</v>
      </c>
      <c r="BP511" t="s">
        <v>90</v>
      </c>
      <c r="BQ511" t="s">
        <v>82</v>
      </c>
      <c r="BT511" s="2">
        <f>Tabla1[[#This Row],[FECHA_TRASPLANTE]]</f>
        <v>45041.25</v>
      </c>
      <c r="BU511">
        <f>IF(Tabla1[[#This Row],[FALLECIDO SI/NO]]="NO",0,1)</f>
        <v>0</v>
      </c>
      <c r="BV511" s="3">
        <f ca="1">IF(Tabla1[[#This Row],[FALLECIDO_COD]]=0,TODAY()-Tabla1[[#This Row],[FECHA_TRASPLANTE]],Tabla1[[#This Row],[FECHA DE DEFUNCIÓN]]-Tabla1[[#This Row],[FECHA_TRASPLANTE]])</f>
        <v>833.75</v>
      </c>
      <c r="BW511" s="3">
        <f ca="1">IF(Tabla1[[#This Row],[FALLECIDO_COD]]=0,TODAY()-Tabla1[[#This Row],[FECHA_TRASPLANTE]],Tabla1[[#This Row],[FECHA DE DEFUNCIÓN]]-Tabla1[[#This Row],[FECHA_TRASPLANTE]])/30.4375</f>
        <v>27.392197125256672</v>
      </c>
      <c r="BX511" s="3">
        <f ca="1">IF(Tabla1[[#This Row],[FALLECIDO_COD]]=0,TODAY()-Tabla1[[#This Row],[FECHA_TRASPLANTE]],Tabla1[[#This Row],[FECHA DE DEFUNCIÓN]]-Tabla1[[#This Row],[FECHA_TRASPLANTE]])/365.25</f>
        <v>2.2826830937713893</v>
      </c>
      <c r="BY511"/>
      <c r="BZ511"/>
    </row>
    <row r="512" spans="1:78" hidden="1" x14ac:dyDescent="0.35">
      <c r="A512" t="s">
        <v>1126</v>
      </c>
      <c r="B512" t="s">
        <v>1126</v>
      </c>
      <c r="D512" t="s">
        <v>1333</v>
      </c>
      <c r="E512" t="s">
        <v>375</v>
      </c>
      <c r="F512" t="s">
        <v>106</v>
      </c>
      <c r="G512" t="s">
        <v>210</v>
      </c>
      <c r="H512" s="2">
        <v>26922</v>
      </c>
      <c r="I512">
        <v>49.642710472279262</v>
      </c>
      <c r="J512" t="s">
        <v>1800</v>
      </c>
      <c r="K512" t="s">
        <v>2020</v>
      </c>
      <c r="L512" t="s">
        <v>149</v>
      </c>
      <c r="M512" t="s">
        <v>338</v>
      </c>
      <c r="N512" s="11">
        <v>116410971</v>
      </c>
      <c r="O512" s="2">
        <v>45054</v>
      </c>
      <c r="P512" t="s">
        <v>81</v>
      </c>
      <c r="Q512" s="2">
        <v>35204</v>
      </c>
      <c r="R512" s="3">
        <f>(Tabla1[[#This Row],[FECHA_TRASPLANTE]]-Tabla1[[#This Row],[FECHA_NAC]])/365.25</f>
        <v>26.967830253251197</v>
      </c>
      <c r="S512" t="s">
        <v>210</v>
      </c>
      <c r="U512" t="s">
        <v>2021</v>
      </c>
      <c r="V512" t="s">
        <v>1551</v>
      </c>
      <c r="W512" t="s">
        <v>82</v>
      </c>
      <c r="X512" t="s">
        <v>110</v>
      </c>
      <c r="Y512" t="s">
        <v>196</v>
      </c>
      <c r="Z512" t="s">
        <v>454</v>
      </c>
      <c r="AD512">
        <v>0</v>
      </c>
      <c r="AF512" t="s">
        <v>375</v>
      </c>
      <c r="AG512" t="s">
        <v>375</v>
      </c>
      <c r="AH512" t="s">
        <v>375</v>
      </c>
      <c r="AI512" t="s">
        <v>375</v>
      </c>
      <c r="AM512" t="s">
        <v>106</v>
      </c>
      <c r="AN512" s="2" t="s">
        <v>762</v>
      </c>
      <c r="AO512" s="2" t="s">
        <v>762</v>
      </c>
      <c r="AQ512" t="s">
        <v>358</v>
      </c>
      <c r="AR512" s="2" t="s">
        <v>358</v>
      </c>
      <c r="AS512" s="2"/>
      <c r="AV512" s="2" t="s">
        <v>762</v>
      </c>
      <c r="AY512" t="s">
        <v>106</v>
      </c>
      <c r="AZ512"/>
      <c r="BA512" t="s">
        <v>1812</v>
      </c>
      <c r="BB512">
        <v>1.7</v>
      </c>
      <c r="BC512">
        <v>53</v>
      </c>
      <c r="BD512" t="s">
        <v>106</v>
      </c>
      <c r="BI512" t="s">
        <v>106</v>
      </c>
      <c r="BL512" t="s">
        <v>106</v>
      </c>
      <c r="BO512">
        <v>701070984</v>
      </c>
      <c r="BP512" t="s">
        <v>90</v>
      </c>
      <c r="BQ512" t="s">
        <v>82</v>
      </c>
      <c r="BR512" t="s">
        <v>1806</v>
      </c>
      <c r="BS512" t="s">
        <v>1807</v>
      </c>
      <c r="BT512" s="2">
        <f>Tabla1[[#This Row],[FECHA_TRASPLANTE]]</f>
        <v>45054</v>
      </c>
      <c r="BU512">
        <f>IF(Tabla1[[#This Row],[FALLECIDO SI/NO]]="NO",0,1)</f>
        <v>0</v>
      </c>
      <c r="BV512" s="3">
        <f ca="1">IF(Tabla1[[#This Row],[FALLECIDO_COD]]=0,TODAY()-Tabla1[[#This Row],[FECHA_TRASPLANTE]],Tabla1[[#This Row],[FECHA DE DEFUNCIÓN]]-Tabla1[[#This Row],[FECHA_TRASPLANTE]])</f>
        <v>821</v>
      </c>
      <c r="BW512" s="3">
        <f ca="1">IF(Tabla1[[#This Row],[FALLECIDO_COD]]=0,TODAY()-Tabla1[[#This Row],[FECHA_TRASPLANTE]],Tabla1[[#This Row],[FECHA DE DEFUNCIÓN]]-Tabla1[[#This Row],[FECHA_TRASPLANTE]])/30.4375</f>
        <v>26.973305954825463</v>
      </c>
      <c r="BX512" s="3">
        <f ca="1">IF(Tabla1[[#This Row],[FALLECIDO_COD]]=0,TODAY()-Tabla1[[#This Row],[FECHA_TRASPLANTE]],Tabla1[[#This Row],[FECHA DE DEFUNCIÓN]]-Tabla1[[#This Row],[FECHA_TRASPLANTE]])/365.25</f>
        <v>2.2477754962354553</v>
      </c>
      <c r="BY512"/>
      <c r="BZ512"/>
    </row>
    <row r="513" spans="1:78" hidden="1" x14ac:dyDescent="0.35">
      <c r="A513" t="s">
        <v>377</v>
      </c>
      <c r="D513" t="s">
        <v>1129</v>
      </c>
      <c r="E513" t="s">
        <v>375</v>
      </c>
      <c r="J513" t="s">
        <v>1139</v>
      </c>
      <c r="K513" t="s">
        <v>2022</v>
      </c>
      <c r="L513" t="s">
        <v>474</v>
      </c>
      <c r="M513" t="s">
        <v>403</v>
      </c>
      <c r="N513" s="11">
        <v>401980073</v>
      </c>
      <c r="O513" s="2">
        <v>45056</v>
      </c>
      <c r="P513" t="s">
        <v>90</v>
      </c>
      <c r="Q513" s="2">
        <v>32229</v>
      </c>
      <c r="R513" s="3">
        <f>(Tabla1[[#This Row],[FECHA_TRASPLANTE]]-Tabla1[[#This Row],[FECHA_NAC]])/365.25</f>
        <v>35.118412046543462</v>
      </c>
      <c r="T513"/>
      <c r="W513" t="s">
        <v>82</v>
      </c>
      <c r="X513" t="s">
        <v>2023</v>
      </c>
      <c r="AM513" t="s">
        <v>106</v>
      </c>
      <c r="AO513"/>
      <c r="AV513" s="2"/>
      <c r="AZ513"/>
      <c r="BT513" s="2">
        <f>Tabla1[[#This Row],[FECHA_TRASPLANTE]]</f>
        <v>45056</v>
      </c>
      <c r="BU513">
        <f>IF(Tabla1[[#This Row],[FALLECIDO SI/NO]]="NO",0,1)</f>
        <v>0</v>
      </c>
      <c r="BV513" s="3">
        <f ca="1">IF(Tabla1[[#This Row],[FALLECIDO_COD]]=0,TODAY()-Tabla1[[#This Row],[FECHA_TRASPLANTE]],Tabla1[[#This Row],[FECHA DE DEFUNCIÓN]]-Tabla1[[#This Row],[FECHA_TRASPLANTE]])</f>
        <v>819</v>
      </c>
      <c r="BW513" s="3">
        <f ca="1">IF(Tabla1[[#This Row],[FALLECIDO_COD]]=0,TODAY()-Tabla1[[#This Row],[FECHA_TRASPLANTE]],Tabla1[[#This Row],[FECHA DE DEFUNCIÓN]]-Tabla1[[#This Row],[FECHA_TRASPLANTE]])/30.4375</f>
        <v>26.90759753593429</v>
      </c>
      <c r="BX513" s="3">
        <f ca="1">IF(Tabla1[[#This Row],[FALLECIDO_COD]]=0,TODAY()-Tabla1[[#This Row],[FECHA_TRASPLANTE]],Tabla1[[#This Row],[FECHA DE DEFUNCIÓN]]-Tabla1[[#This Row],[FECHA_TRASPLANTE]])/365.25</f>
        <v>2.2422997946611911</v>
      </c>
      <c r="BY513"/>
      <c r="BZ513"/>
    </row>
    <row r="514" spans="1:78" hidden="1" x14ac:dyDescent="0.35">
      <c r="A514" t="s">
        <v>1126</v>
      </c>
      <c r="B514" t="s">
        <v>1126</v>
      </c>
      <c r="D514" t="s">
        <v>1333</v>
      </c>
      <c r="E514" t="s">
        <v>77</v>
      </c>
      <c r="F514" t="s">
        <v>86</v>
      </c>
      <c r="G514" t="s">
        <v>210</v>
      </c>
      <c r="I514">
        <v>123.35660506502396</v>
      </c>
      <c r="J514" t="s">
        <v>1919</v>
      </c>
      <c r="N514" s="11">
        <v>900860136</v>
      </c>
      <c r="O514" s="2">
        <v>45056</v>
      </c>
      <c r="P514" t="s">
        <v>81</v>
      </c>
      <c r="Q514" s="2">
        <v>25101</v>
      </c>
      <c r="R514" s="3">
        <f>(Tabla1[[#This Row],[FECHA_TRASPLANTE]]-Tabla1[[#This Row],[FECHA_NAC]])/365.25</f>
        <v>54.633812457221083</v>
      </c>
      <c r="S514" t="s">
        <v>200</v>
      </c>
      <c r="U514" t="s">
        <v>1550</v>
      </c>
      <c r="V514" t="s">
        <v>1551</v>
      </c>
      <c r="W514" t="s">
        <v>82</v>
      </c>
      <c r="X514" t="s">
        <v>110</v>
      </c>
      <c r="Y514" t="s">
        <v>196</v>
      </c>
      <c r="Z514" t="s">
        <v>702</v>
      </c>
      <c r="AD514">
        <v>0</v>
      </c>
      <c r="AF514" t="s">
        <v>375</v>
      </c>
      <c r="AG514" t="s">
        <v>375</v>
      </c>
      <c r="AH514" t="s">
        <v>375</v>
      </c>
      <c r="AI514" t="s">
        <v>375</v>
      </c>
      <c r="AM514" t="s">
        <v>106</v>
      </c>
      <c r="AN514" s="2" t="s">
        <v>762</v>
      </c>
      <c r="AO514" s="2" t="s">
        <v>762</v>
      </c>
      <c r="AQ514" t="s">
        <v>358</v>
      </c>
      <c r="AR514" s="2" t="s">
        <v>358</v>
      </c>
      <c r="AS514" s="2"/>
      <c r="AV514" s="2" t="s">
        <v>762</v>
      </c>
      <c r="AY514" t="s">
        <v>106</v>
      </c>
      <c r="AZ514"/>
      <c r="BA514" t="s">
        <v>1552</v>
      </c>
      <c r="BB514">
        <v>1.47</v>
      </c>
      <c r="BC514">
        <v>56</v>
      </c>
      <c r="BD514" t="s">
        <v>106</v>
      </c>
      <c r="BI514" t="s">
        <v>106</v>
      </c>
      <c r="BL514" t="s">
        <v>106</v>
      </c>
      <c r="BT514" s="2">
        <f>Tabla1[[#This Row],[FECHA_TRASPLANTE]]</f>
        <v>45056</v>
      </c>
      <c r="BU514">
        <f>IF(Tabla1[[#This Row],[FALLECIDO SI/NO]]="NO",0,1)</f>
        <v>0</v>
      </c>
      <c r="BV514" s="3">
        <f ca="1">IF(Tabla1[[#This Row],[FALLECIDO_COD]]=0,TODAY()-Tabla1[[#This Row],[FECHA_TRASPLANTE]],Tabla1[[#This Row],[FECHA DE DEFUNCIÓN]]-Tabla1[[#This Row],[FECHA_TRASPLANTE]])</f>
        <v>819</v>
      </c>
      <c r="BW514" s="3">
        <f ca="1">IF(Tabla1[[#This Row],[FALLECIDO_COD]]=0,TODAY()-Tabla1[[#This Row],[FECHA_TRASPLANTE]],Tabla1[[#This Row],[FECHA DE DEFUNCIÓN]]-Tabla1[[#This Row],[FECHA_TRASPLANTE]])/30.4375</f>
        <v>26.90759753593429</v>
      </c>
      <c r="BX514" s="3">
        <f ca="1">IF(Tabla1[[#This Row],[FALLECIDO_COD]]=0,TODAY()-Tabla1[[#This Row],[FECHA_TRASPLANTE]],Tabla1[[#This Row],[FECHA DE DEFUNCIÓN]]-Tabla1[[#This Row],[FECHA_TRASPLANTE]])/365.25</f>
        <v>2.2422997946611911</v>
      </c>
      <c r="BY514"/>
      <c r="BZ514"/>
    </row>
    <row r="515" spans="1:78" hidden="1" x14ac:dyDescent="0.35">
      <c r="A515" t="s">
        <v>1125</v>
      </c>
      <c r="C515" t="s">
        <v>2024</v>
      </c>
      <c r="D515" t="s">
        <v>1129</v>
      </c>
      <c r="E515" t="s">
        <v>77</v>
      </c>
      <c r="F515" t="s">
        <v>86</v>
      </c>
      <c r="G515" t="s">
        <v>200</v>
      </c>
      <c r="H515" s="2">
        <v>28567</v>
      </c>
      <c r="I515">
        <v>45.144421629021217</v>
      </c>
      <c r="J515" t="s">
        <v>1928</v>
      </c>
      <c r="K515" t="s">
        <v>2025</v>
      </c>
      <c r="L515" t="s">
        <v>753</v>
      </c>
      <c r="M515" t="s">
        <v>2026</v>
      </c>
      <c r="N515" s="11">
        <v>501540575</v>
      </c>
      <c r="O515" s="2">
        <v>45056</v>
      </c>
      <c r="P515" t="s">
        <v>1549</v>
      </c>
      <c r="Q515" s="2">
        <v>20181</v>
      </c>
      <c r="R515" s="3">
        <f>(Tabla1[[#This Row],[FECHA_TRASPLANTE]]-Tabla1[[#This Row],[FECHA_NAC]])/365.25</f>
        <v>68.10403832991102</v>
      </c>
      <c r="T515">
        <v>42214</v>
      </c>
      <c r="U515" t="s">
        <v>1348</v>
      </c>
      <c r="V515" t="s">
        <v>1824</v>
      </c>
      <c r="W515" t="s">
        <v>82</v>
      </c>
      <c r="X515" t="s">
        <v>91</v>
      </c>
      <c r="Y515" t="s">
        <v>116</v>
      </c>
      <c r="Z515" t="s">
        <v>116</v>
      </c>
      <c r="AA515">
        <v>10</v>
      </c>
      <c r="AD515">
        <v>1</v>
      </c>
      <c r="AF515" t="s">
        <v>770</v>
      </c>
      <c r="AG515" t="s">
        <v>770</v>
      </c>
      <c r="AH515" t="s">
        <v>770</v>
      </c>
      <c r="AI515" t="s">
        <v>770</v>
      </c>
      <c r="AJ515" t="s">
        <v>770</v>
      </c>
      <c r="AK515" t="s">
        <v>770</v>
      </c>
      <c r="AL515" t="s">
        <v>770</v>
      </c>
      <c r="AM515" t="s">
        <v>86</v>
      </c>
      <c r="AN515" s="2">
        <v>45064</v>
      </c>
      <c r="AO515" t="s">
        <v>2027</v>
      </c>
      <c r="AP515" t="s">
        <v>106</v>
      </c>
      <c r="AQ515" t="s">
        <v>772</v>
      </c>
      <c r="AV515" s="2"/>
      <c r="AY515" t="s">
        <v>106</v>
      </c>
      <c r="BA515" t="s">
        <v>1917</v>
      </c>
      <c r="BB515" t="s">
        <v>1334</v>
      </c>
      <c r="BC515" t="s">
        <v>1334</v>
      </c>
      <c r="BD515" t="s">
        <v>86</v>
      </c>
      <c r="BE515">
        <v>45088</v>
      </c>
      <c r="BF515" t="s">
        <v>2028</v>
      </c>
      <c r="BG515" t="s">
        <v>2029</v>
      </c>
      <c r="BH515" t="s">
        <v>86</v>
      </c>
      <c r="BI515" t="s">
        <v>106</v>
      </c>
      <c r="BL515" t="s">
        <v>106</v>
      </c>
      <c r="BM515" t="s">
        <v>1334</v>
      </c>
      <c r="BN515" t="s">
        <v>1334</v>
      </c>
      <c r="BT515" s="2">
        <f>Tabla1[[#This Row],[FECHA_TRASPLANTE]]</f>
        <v>45056</v>
      </c>
      <c r="BU515">
        <f>IF(Tabla1[[#This Row],[FALLECIDO SI/NO]]="NO",0,1)</f>
        <v>1</v>
      </c>
      <c r="BV515" s="3">
        <f ca="1">IF(Tabla1[[#This Row],[FALLECIDO_COD]]=0,TODAY()-Tabla1[[#This Row],[FECHA_TRASPLANTE]],Tabla1[[#This Row],[FECHA DE DEFUNCIÓN]]-Tabla1[[#This Row],[FECHA_TRASPLANTE]])</f>
        <v>8</v>
      </c>
      <c r="BW515" s="3">
        <f ca="1">IF(Tabla1[[#This Row],[FALLECIDO_COD]]=0,TODAY()-Tabla1[[#This Row],[FECHA_TRASPLANTE]],Tabla1[[#This Row],[FECHA DE DEFUNCIÓN]]-Tabla1[[#This Row],[FECHA_TRASPLANTE]])/30.4375</f>
        <v>0.26283367556468173</v>
      </c>
      <c r="BX515" s="3">
        <f ca="1">IF(Tabla1[[#This Row],[FALLECIDO_COD]]=0,TODAY()-Tabla1[[#This Row],[FECHA_TRASPLANTE]],Tabla1[[#This Row],[FECHA DE DEFUNCIÓN]]-Tabla1[[#This Row],[FECHA_TRASPLANTE]])/365.25</f>
        <v>2.190280629705681E-2</v>
      </c>
      <c r="BY515"/>
      <c r="BZ515"/>
    </row>
    <row r="516" spans="1:78" hidden="1" x14ac:dyDescent="0.35">
      <c r="A516" t="s">
        <v>377</v>
      </c>
      <c r="D516" t="s">
        <v>1129</v>
      </c>
      <c r="E516" t="s">
        <v>375</v>
      </c>
      <c r="J516" t="s">
        <v>1174</v>
      </c>
      <c r="K516" t="s">
        <v>2030</v>
      </c>
      <c r="L516" t="s">
        <v>274</v>
      </c>
      <c r="M516" t="s">
        <v>274</v>
      </c>
      <c r="N516" s="11">
        <v>502270475</v>
      </c>
      <c r="O516" s="2">
        <v>45063</v>
      </c>
      <c r="P516" t="s">
        <v>81</v>
      </c>
      <c r="Q516" s="2">
        <v>24065</v>
      </c>
      <c r="R516" s="3">
        <f>(Tabla1[[#This Row],[FECHA_TRASPLANTE]]-Tabla1[[#This Row],[FECHA_NAC]])/365.25</f>
        <v>57.489390828199866</v>
      </c>
      <c r="T516"/>
      <c r="W516" t="s">
        <v>82</v>
      </c>
      <c r="X516" t="s">
        <v>125</v>
      </c>
      <c r="Y516" t="s">
        <v>1186</v>
      </c>
      <c r="Z516" t="s">
        <v>1186</v>
      </c>
      <c r="AM516" t="s">
        <v>106</v>
      </c>
      <c r="AO516"/>
      <c r="AV516" s="2"/>
      <c r="AZ516"/>
      <c r="BT516" s="2">
        <f>Tabla1[[#This Row],[FECHA_TRASPLANTE]]</f>
        <v>45063</v>
      </c>
      <c r="BU516">
        <f>IF(Tabla1[[#This Row],[FALLECIDO SI/NO]]="NO",0,1)</f>
        <v>0</v>
      </c>
      <c r="BV516" s="3">
        <f ca="1">IF(Tabla1[[#This Row],[FALLECIDO_COD]]=0,TODAY()-Tabla1[[#This Row],[FECHA_TRASPLANTE]],Tabla1[[#This Row],[FECHA DE DEFUNCIÓN]]-Tabla1[[#This Row],[FECHA_TRASPLANTE]])</f>
        <v>812</v>
      </c>
      <c r="BW516" s="3">
        <f ca="1">IF(Tabla1[[#This Row],[FALLECIDO_COD]]=0,TODAY()-Tabla1[[#This Row],[FECHA_TRASPLANTE]],Tabla1[[#This Row],[FECHA DE DEFUNCIÓN]]-Tabla1[[#This Row],[FECHA_TRASPLANTE]])/30.4375</f>
        <v>26.677618069815196</v>
      </c>
      <c r="BX516" s="3">
        <f ca="1">IF(Tabla1[[#This Row],[FALLECIDO_COD]]=0,TODAY()-Tabla1[[#This Row],[FECHA_TRASPLANTE]],Tabla1[[#This Row],[FECHA DE DEFUNCIÓN]]-Tabla1[[#This Row],[FECHA_TRASPLANTE]])/365.25</f>
        <v>2.2231348391512662</v>
      </c>
      <c r="BY516"/>
      <c r="BZ516"/>
    </row>
    <row r="517" spans="1:78" hidden="1" x14ac:dyDescent="0.35">
      <c r="A517" t="s">
        <v>377</v>
      </c>
      <c r="D517" t="s">
        <v>1129</v>
      </c>
      <c r="E517" t="s">
        <v>77</v>
      </c>
      <c r="J517" t="s">
        <v>1834</v>
      </c>
      <c r="K517" t="s">
        <v>2031</v>
      </c>
      <c r="L517" t="s">
        <v>208</v>
      </c>
      <c r="M517" t="s">
        <v>189</v>
      </c>
      <c r="N517" s="11">
        <v>16828361</v>
      </c>
      <c r="O517" s="2">
        <v>45064</v>
      </c>
      <c r="P517" t="s">
        <v>81</v>
      </c>
      <c r="Q517" s="2">
        <v>24956</v>
      </c>
      <c r="R517" s="3">
        <f>(Tabla1[[#This Row],[FECHA_TRASPLANTE]]-Tabla1[[#This Row],[FECHA_NAC]])/365.25</f>
        <v>55.052703627652292</v>
      </c>
      <c r="T517"/>
      <c r="W517" t="s">
        <v>146</v>
      </c>
      <c r="X517" t="s">
        <v>91</v>
      </c>
      <c r="Y517" t="s">
        <v>84</v>
      </c>
      <c r="Z517" t="s">
        <v>494</v>
      </c>
      <c r="AM517" t="s">
        <v>106</v>
      </c>
      <c r="AO517"/>
      <c r="AV517" s="2"/>
      <c r="AZ517"/>
      <c r="BT517" s="2">
        <f>Tabla1[[#This Row],[FECHA_TRASPLANTE]]</f>
        <v>45064</v>
      </c>
      <c r="BU517">
        <f>IF(Tabla1[[#This Row],[FALLECIDO SI/NO]]="NO",0,1)</f>
        <v>0</v>
      </c>
      <c r="BV517" s="3">
        <f ca="1">IF(Tabla1[[#This Row],[FALLECIDO_COD]]=0,TODAY()-Tabla1[[#This Row],[FECHA_TRASPLANTE]],Tabla1[[#This Row],[FECHA DE DEFUNCIÓN]]-Tabla1[[#This Row],[FECHA_TRASPLANTE]])</f>
        <v>811</v>
      </c>
      <c r="BW517" s="3">
        <f ca="1">IF(Tabla1[[#This Row],[FALLECIDO_COD]]=0,TODAY()-Tabla1[[#This Row],[FECHA_TRASPLANTE]],Tabla1[[#This Row],[FECHA DE DEFUNCIÓN]]-Tabla1[[#This Row],[FECHA_TRASPLANTE]])/30.4375</f>
        <v>26.644763860369611</v>
      </c>
      <c r="BX517" s="3">
        <f ca="1">IF(Tabla1[[#This Row],[FALLECIDO_COD]]=0,TODAY()-Tabla1[[#This Row],[FECHA_TRASPLANTE]],Tabla1[[#This Row],[FECHA DE DEFUNCIÓN]]-Tabla1[[#This Row],[FECHA_TRASPLANTE]])/365.25</f>
        <v>2.2203969883641341</v>
      </c>
      <c r="BY517"/>
      <c r="BZ517"/>
    </row>
    <row r="518" spans="1:78" hidden="1" x14ac:dyDescent="0.35">
      <c r="A518" t="s">
        <v>1125</v>
      </c>
      <c r="C518" t="s">
        <v>2032</v>
      </c>
      <c r="D518" t="s">
        <v>1129</v>
      </c>
      <c r="E518" t="s">
        <v>77</v>
      </c>
      <c r="F518" t="s">
        <v>106</v>
      </c>
      <c r="G518" t="s">
        <v>210</v>
      </c>
      <c r="H518" s="2">
        <v>33327</v>
      </c>
      <c r="I518">
        <v>32.134154688569474</v>
      </c>
      <c r="J518" t="s">
        <v>1928</v>
      </c>
      <c r="K518" t="s">
        <v>2033</v>
      </c>
      <c r="L518" t="s">
        <v>2034</v>
      </c>
      <c r="M518" t="s">
        <v>2035</v>
      </c>
      <c r="N518" s="11">
        <v>16321182</v>
      </c>
      <c r="O518" s="2">
        <v>45064</v>
      </c>
      <c r="P518" t="s">
        <v>81</v>
      </c>
      <c r="Q518" s="2">
        <v>23198</v>
      </c>
      <c r="R518" s="3">
        <f>(Tabla1[[#This Row],[FECHA_TRASPLANTE]]-Tabla1[[#This Row],[FECHA_NAC]])/365.25</f>
        <v>59.865845311430526</v>
      </c>
      <c r="S518" t="s">
        <v>210</v>
      </c>
      <c r="T518">
        <v>42360</v>
      </c>
      <c r="U518" t="s">
        <v>1348</v>
      </c>
      <c r="V518" t="s">
        <v>1566</v>
      </c>
      <c r="W518" t="s">
        <v>1132</v>
      </c>
      <c r="X518" t="s">
        <v>91</v>
      </c>
      <c r="Y518" t="s">
        <v>215</v>
      </c>
      <c r="Z518" t="s">
        <v>417</v>
      </c>
      <c r="AA518">
        <v>7</v>
      </c>
      <c r="AD518">
        <v>0</v>
      </c>
      <c r="AF518" t="s">
        <v>375</v>
      </c>
      <c r="AG518" t="s">
        <v>375</v>
      </c>
      <c r="AH518" t="s">
        <v>375</v>
      </c>
      <c r="AI518" t="s">
        <v>375</v>
      </c>
      <c r="AM518" t="s">
        <v>106</v>
      </c>
      <c r="AO518"/>
      <c r="AQ518" t="s">
        <v>358</v>
      </c>
      <c r="AR518" t="s">
        <v>358</v>
      </c>
      <c r="AV518" s="2"/>
      <c r="AY518" t="s">
        <v>86</v>
      </c>
      <c r="AZ518">
        <v>45087</v>
      </c>
      <c r="BA518" t="s">
        <v>1917</v>
      </c>
      <c r="BB518" t="s">
        <v>2036</v>
      </c>
      <c r="BC518" t="s">
        <v>2037</v>
      </c>
      <c r="BD518" t="s">
        <v>106</v>
      </c>
      <c r="BH518" t="s">
        <v>106</v>
      </c>
      <c r="BI518" t="s">
        <v>86</v>
      </c>
      <c r="BJ518">
        <v>45449</v>
      </c>
      <c r="BK518" t="s">
        <v>2038</v>
      </c>
      <c r="BL518" t="s">
        <v>106</v>
      </c>
      <c r="BM518" t="s">
        <v>1334</v>
      </c>
      <c r="BN518" t="s">
        <v>1334</v>
      </c>
      <c r="BT518" s="2">
        <f>Tabla1[[#This Row],[FECHA_TRASPLANTE]]</f>
        <v>45064</v>
      </c>
      <c r="BU518">
        <f>IF(Tabla1[[#This Row],[FALLECIDO SI/NO]]="NO",0,1)</f>
        <v>0</v>
      </c>
      <c r="BV518" s="3">
        <f ca="1">IF(Tabla1[[#This Row],[FALLECIDO_COD]]=0,TODAY()-Tabla1[[#This Row],[FECHA_TRASPLANTE]],Tabla1[[#This Row],[FECHA DE DEFUNCIÓN]]-Tabla1[[#This Row],[FECHA_TRASPLANTE]])</f>
        <v>811</v>
      </c>
      <c r="BW518" s="3">
        <f ca="1">IF(Tabla1[[#This Row],[FALLECIDO_COD]]=0,TODAY()-Tabla1[[#This Row],[FECHA_TRASPLANTE]],Tabla1[[#This Row],[FECHA DE DEFUNCIÓN]]-Tabla1[[#This Row],[FECHA_TRASPLANTE]])/30.4375</f>
        <v>26.644763860369611</v>
      </c>
      <c r="BX518" s="3">
        <f ca="1">IF(Tabla1[[#This Row],[FALLECIDO_COD]]=0,TODAY()-Tabla1[[#This Row],[FECHA_TRASPLANTE]],Tabla1[[#This Row],[FECHA DE DEFUNCIÓN]]-Tabla1[[#This Row],[FECHA_TRASPLANTE]])/365.25</f>
        <v>2.2203969883641341</v>
      </c>
      <c r="BY518"/>
      <c r="BZ518"/>
    </row>
    <row r="519" spans="1:78" hidden="1" x14ac:dyDescent="0.35">
      <c r="A519" t="s">
        <v>1126</v>
      </c>
      <c r="B519" t="s">
        <v>1126</v>
      </c>
      <c r="D519" t="s">
        <v>1333</v>
      </c>
      <c r="E519" t="s">
        <v>375</v>
      </c>
      <c r="F519" t="s">
        <v>106</v>
      </c>
      <c r="G519" t="s">
        <v>200</v>
      </c>
      <c r="H519" s="2">
        <v>33123</v>
      </c>
      <c r="I519">
        <v>32.723477070499655</v>
      </c>
      <c r="J519" t="s">
        <v>746</v>
      </c>
      <c r="N519" s="11">
        <v>305650983</v>
      </c>
      <c r="O519" s="2">
        <v>45075.25</v>
      </c>
      <c r="P519" t="s">
        <v>1669</v>
      </c>
      <c r="Q519" s="2">
        <v>38871.25</v>
      </c>
      <c r="R519" s="3">
        <f>(Tabla1[[#This Row],[FECHA_TRASPLANTE]]-Tabla1[[#This Row],[FECHA_NAC]])/365.25</f>
        <v>16.985626283367555</v>
      </c>
      <c r="S519" t="s">
        <v>200</v>
      </c>
      <c r="U519" t="s">
        <v>2039</v>
      </c>
      <c r="V519" t="s">
        <v>1551</v>
      </c>
      <c r="W519" t="s">
        <v>82</v>
      </c>
      <c r="X519" t="s">
        <v>110</v>
      </c>
      <c r="Y519" t="s">
        <v>340</v>
      </c>
      <c r="Z519" t="s">
        <v>676</v>
      </c>
      <c r="AD519">
        <v>0</v>
      </c>
      <c r="AF519" t="s">
        <v>375</v>
      </c>
      <c r="AG519" t="s">
        <v>375</v>
      </c>
      <c r="AH519" t="s">
        <v>375</v>
      </c>
      <c r="AI519" t="s">
        <v>375</v>
      </c>
      <c r="AM519" t="s">
        <v>106</v>
      </c>
      <c r="AN519" s="2" t="s">
        <v>762</v>
      </c>
      <c r="AO519" s="2" t="s">
        <v>762</v>
      </c>
      <c r="AQ519" t="s">
        <v>358</v>
      </c>
      <c r="AR519" s="2" t="s">
        <v>772</v>
      </c>
      <c r="AS519" s="2"/>
      <c r="AV519" s="2">
        <v>45323</v>
      </c>
      <c r="AW519" t="s">
        <v>2040</v>
      </c>
      <c r="AX519" t="s">
        <v>1569</v>
      </c>
      <c r="AY519" t="s">
        <v>86</v>
      </c>
      <c r="AZ519"/>
      <c r="BA519" t="s">
        <v>1812</v>
      </c>
      <c r="BB519">
        <v>7.08</v>
      </c>
      <c r="BC519">
        <v>8</v>
      </c>
      <c r="BD519" t="s">
        <v>86</v>
      </c>
      <c r="BE519">
        <v>45121</v>
      </c>
      <c r="BF519" t="s">
        <v>1816</v>
      </c>
      <c r="BG519" t="s">
        <v>1924</v>
      </c>
      <c r="BH519" t="s">
        <v>86</v>
      </c>
      <c r="BI519" t="s">
        <v>106</v>
      </c>
      <c r="BL519" t="s">
        <v>106</v>
      </c>
      <c r="BT519" s="2">
        <f>Tabla1[[#This Row],[FECHA_TRASPLANTE]]</f>
        <v>45075.25</v>
      </c>
      <c r="BU519">
        <f>IF(Tabla1[[#This Row],[FALLECIDO SI/NO]]="NO",0,1)</f>
        <v>0</v>
      </c>
      <c r="BV519" s="3">
        <f ca="1">IF(Tabla1[[#This Row],[FALLECIDO_COD]]=0,TODAY()-Tabla1[[#This Row],[FECHA_TRASPLANTE]],Tabla1[[#This Row],[FECHA DE DEFUNCIÓN]]-Tabla1[[#This Row],[FECHA_TRASPLANTE]])</f>
        <v>799.75</v>
      </c>
      <c r="BW519" s="3">
        <f ca="1">IF(Tabla1[[#This Row],[FALLECIDO_COD]]=0,TODAY()-Tabla1[[#This Row],[FECHA_TRASPLANTE]],Tabla1[[#This Row],[FECHA DE DEFUNCIÓN]]-Tabla1[[#This Row],[FECHA_TRASPLANTE]])/30.4375</f>
        <v>26.275154004106778</v>
      </c>
      <c r="BX519" s="3">
        <f ca="1">IF(Tabla1[[#This Row],[FALLECIDO_COD]]=0,TODAY()-Tabla1[[#This Row],[FECHA_TRASPLANTE]],Tabla1[[#This Row],[FECHA DE DEFUNCIÓN]]-Tabla1[[#This Row],[FECHA_TRASPLANTE]])/365.25</f>
        <v>2.1895961670088981</v>
      </c>
      <c r="BY519"/>
      <c r="BZ519"/>
    </row>
    <row r="520" spans="1:78" hidden="1" x14ac:dyDescent="0.35">
      <c r="A520" t="s">
        <v>377</v>
      </c>
      <c r="D520" t="s">
        <v>1129</v>
      </c>
      <c r="E520" t="s">
        <v>375</v>
      </c>
      <c r="J520" t="s">
        <v>1160</v>
      </c>
      <c r="K520" t="s">
        <v>2041</v>
      </c>
      <c r="L520" t="s">
        <v>89</v>
      </c>
      <c r="M520" t="s">
        <v>2042</v>
      </c>
      <c r="N520" s="11">
        <v>502920324</v>
      </c>
      <c r="O520" s="2">
        <v>45084</v>
      </c>
      <c r="P520" t="s">
        <v>90</v>
      </c>
      <c r="Q520" s="2">
        <v>27778</v>
      </c>
      <c r="R520" s="3">
        <f>(Tabla1[[#This Row],[FECHA_TRASPLANTE]]-Tabla1[[#This Row],[FECHA_NAC]])/365.25</f>
        <v>47.381245722108147</v>
      </c>
      <c r="T520"/>
      <c r="W520" t="s">
        <v>82</v>
      </c>
      <c r="X520" t="s">
        <v>125</v>
      </c>
      <c r="Y520" t="s">
        <v>168</v>
      </c>
      <c r="Z520" t="s">
        <v>168</v>
      </c>
      <c r="AM520" t="s">
        <v>106</v>
      </c>
      <c r="AO520"/>
      <c r="AV520" s="2"/>
      <c r="AZ520"/>
      <c r="BT520" s="2">
        <f>Tabla1[[#This Row],[FECHA_TRASPLANTE]]</f>
        <v>45084</v>
      </c>
      <c r="BU520">
        <f>IF(Tabla1[[#This Row],[FALLECIDO SI/NO]]="NO",0,1)</f>
        <v>0</v>
      </c>
      <c r="BV520" s="3">
        <f ca="1">IF(Tabla1[[#This Row],[FALLECIDO_COD]]=0,TODAY()-Tabla1[[#This Row],[FECHA_TRASPLANTE]],Tabla1[[#This Row],[FECHA DE DEFUNCIÓN]]-Tabla1[[#This Row],[FECHA_TRASPLANTE]])</f>
        <v>791</v>
      </c>
      <c r="BW520" s="3">
        <f ca="1">IF(Tabla1[[#This Row],[FALLECIDO_COD]]=0,TODAY()-Tabla1[[#This Row],[FECHA_TRASPLANTE]],Tabla1[[#This Row],[FECHA DE DEFUNCIÓN]]-Tabla1[[#This Row],[FECHA_TRASPLANTE]])/30.4375</f>
        <v>25.987679671457904</v>
      </c>
      <c r="BX520" s="3">
        <f ca="1">IF(Tabla1[[#This Row],[FALLECIDO_COD]]=0,TODAY()-Tabla1[[#This Row],[FECHA_TRASPLANTE]],Tabla1[[#This Row],[FECHA DE DEFUNCIÓN]]-Tabla1[[#This Row],[FECHA_TRASPLANTE]])/365.25</f>
        <v>2.1656399726214923</v>
      </c>
      <c r="BY520"/>
      <c r="BZ520"/>
    </row>
    <row r="521" spans="1:78" hidden="1" x14ac:dyDescent="0.35">
      <c r="A521" t="s">
        <v>377</v>
      </c>
      <c r="D521" t="s">
        <v>1129</v>
      </c>
      <c r="E521" t="s">
        <v>375</v>
      </c>
      <c r="J521" t="s">
        <v>2012</v>
      </c>
      <c r="K521" t="s">
        <v>1414</v>
      </c>
      <c r="L521" t="s">
        <v>229</v>
      </c>
      <c r="M521" t="s">
        <v>2043</v>
      </c>
      <c r="N521" s="11">
        <v>106250720</v>
      </c>
      <c r="O521" s="2">
        <v>45091</v>
      </c>
      <c r="P521" t="s">
        <v>81</v>
      </c>
      <c r="Q521" s="2">
        <v>23454</v>
      </c>
      <c r="R521" s="3">
        <f>(Tabla1[[#This Row],[FECHA_TRASPLANTE]]-Tabla1[[#This Row],[FECHA_NAC]])/365.25</f>
        <v>59.238877481177276</v>
      </c>
      <c r="T521"/>
      <c r="W521" t="s">
        <v>82</v>
      </c>
      <c r="X521" t="s">
        <v>261</v>
      </c>
      <c r="Y521" t="s">
        <v>84</v>
      </c>
      <c r="Z521" t="s">
        <v>302</v>
      </c>
      <c r="AM521" t="s">
        <v>86</v>
      </c>
      <c r="AN521" s="2">
        <v>45110</v>
      </c>
      <c r="AO521" t="s">
        <v>2044</v>
      </c>
      <c r="AP521" t="s">
        <v>86</v>
      </c>
      <c r="AQ521" t="s">
        <v>1334</v>
      </c>
      <c r="AV521" s="2"/>
      <c r="BT521" s="2">
        <f>Tabla1[[#This Row],[FECHA_TRASPLANTE]]</f>
        <v>45091</v>
      </c>
      <c r="BU521">
        <f>IF(Tabla1[[#This Row],[FALLECIDO SI/NO]]="NO",0,1)</f>
        <v>1</v>
      </c>
      <c r="BV521" s="3">
        <f ca="1">IF(Tabla1[[#This Row],[FALLECIDO_COD]]=0,TODAY()-Tabla1[[#This Row],[FECHA_TRASPLANTE]],Tabla1[[#This Row],[FECHA DE DEFUNCIÓN]]-Tabla1[[#This Row],[FECHA_TRASPLANTE]])</f>
        <v>19</v>
      </c>
      <c r="BW521" s="3">
        <f ca="1">IF(Tabla1[[#This Row],[FALLECIDO_COD]]=0,TODAY()-Tabla1[[#This Row],[FECHA_TRASPLANTE]],Tabla1[[#This Row],[FECHA DE DEFUNCIÓN]]-Tabla1[[#This Row],[FECHA_TRASPLANTE]])/30.4375</f>
        <v>0.62422997946611913</v>
      </c>
      <c r="BX521" s="3">
        <f ca="1">IF(Tabla1[[#This Row],[FALLECIDO_COD]]=0,TODAY()-Tabla1[[#This Row],[FECHA_TRASPLANTE]],Tabla1[[#This Row],[FECHA DE DEFUNCIÓN]]-Tabla1[[#This Row],[FECHA_TRASPLANTE]])/365.25</f>
        <v>5.2019164955509928E-2</v>
      </c>
      <c r="BY521"/>
      <c r="BZ521"/>
    </row>
    <row r="522" spans="1:78" hidden="1" x14ac:dyDescent="0.35">
      <c r="A522" t="s">
        <v>75</v>
      </c>
      <c r="B522" t="s">
        <v>1828</v>
      </c>
      <c r="C522" t="s">
        <v>894</v>
      </c>
      <c r="D522" t="s">
        <v>1129</v>
      </c>
      <c r="E522" t="s">
        <v>77</v>
      </c>
      <c r="H522" s="2">
        <v>25624</v>
      </c>
      <c r="I522">
        <v>53</v>
      </c>
      <c r="K522" t="s">
        <v>2045</v>
      </c>
      <c r="L522" t="s">
        <v>1233</v>
      </c>
      <c r="M522" t="s">
        <v>699</v>
      </c>
      <c r="N522" s="11">
        <v>17813016</v>
      </c>
      <c r="O522" s="16">
        <v>45095.25</v>
      </c>
      <c r="P522" t="s">
        <v>81</v>
      </c>
      <c r="Q522" s="2">
        <v>28611</v>
      </c>
      <c r="R522" s="3">
        <f>(Tabla1[[#This Row],[FECHA_TRASPLANTE]]-Tabla1[[#This Row],[FECHA_NAC]])/365.25</f>
        <v>45.131416837782339</v>
      </c>
      <c r="S522" t="s">
        <v>200</v>
      </c>
      <c r="T522"/>
      <c r="U522" t="s">
        <v>2009</v>
      </c>
      <c r="V522" t="s">
        <v>1838</v>
      </c>
      <c r="W522" t="s">
        <v>146</v>
      </c>
      <c r="X522" t="s">
        <v>91</v>
      </c>
      <c r="Y522" t="s">
        <v>116</v>
      </c>
      <c r="Z522" t="s">
        <v>616</v>
      </c>
      <c r="AD522">
        <v>8</v>
      </c>
      <c r="AF522" t="s">
        <v>978</v>
      </c>
      <c r="AG522" t="s">
        <v>1937</v>
      </c>
      <c r="AH522" t="s">
        <v>2046</v>
      </c>
      <c r="AI522" t="s">
        <v>2047</v>
      </c>
      <c r="AM522" t="s">
        <v>106</v>
      </c>
      <c r="AO522"/>
      <c r="AQ522" t="s">
        <v>358</v>
      </c>
      <c r="AV522" s="2"/>
      <c r="AY522" t="s">
        <v>106</v>
      </c>
      <c r="AZ522"/>
      <c r="BJ522" s="2"/>
      <c r="BO522">
        <v>303080202</v>
      </c>
      <c r="BP522" t="s">
        <v>90</v>
      </c>
      <c r="BQ522" t="s">
        <v>82</v>
      </c>
      <c r="BT522" s="2">
        <f>Tabla1[[#This Row],[FECHA_TRASPLANTE]]</f>
        <v>45095.25</v>
      </c>
      <c r="BU522">
        <f>IF(Tabla1[[#This Row],[FALLECIDO SI/NO]]="NO",0,1)</f>
        <v>0</v>
      </c>
      <c r="BV522" s="3">
        <f ca="1">IF(Tabla1[[#This Row],[FALLECIDO_COD]]=0,TODAY()-Tabla1[[#This Row],[FECHA_TRASPLANTE]],Tabla1[[#This Row],[FECHA DE DEFUNCIÓN]]-Tabla1[[#This Row],[FECHA_TRASPLANTE]])</f>
        <v>779.75</v>
      </c>
      <c r="BW522" s="3">
        <f ca="1">IF(Tabla1[[#This Row],[FALLECIDO_COD]]=0,TODAY()-Tabla1[[#This Row],[FECHA_TRASPLANTE]],Tabla1[[#This Row],[FECHA DE DEFUNCIÓN]]-Tabla1[[#This Row],[FECHA_TRASPLANTE]])/30.4375</f>
        <v>25.618069815195071</v>
      </c>
      <c r="BX522" s="3">
        <f ca="1">IF(Tabla1[[#This Row],[FALLECIDO_COD]]=0,TODAY()-Tabla1[[#This Row],[FECHA_TRASPLANTE]],Tabla1[[#This Row],[FECHA DE DEFUNCIÓN]]-Tabla1[[#This Row],[FECHA_TRASPLANTE]])/365.25</f>
        <v>2.1348391512662559</v>
      </c>
      <c r="BY522"/>
      <c r="BZ522"/>
    </row>
    <row r="523" spans="1:78" hidden="1" x14ac:dyDescent="0.35">
      <c r="A523" t="s">
        <v>75</v>
      </c>
      <c r="B523" t="s">
        <v>1828</v>
      </c>
      <c r="C523" t="s">
        <v>894</v>
      </c>
      <c r="D523" t="s">
        <v>1129</v>
      </c>
      <c r="E523" t="s">
        <v>77</v>
      </c>
      <c r="H523" s="2">
        <v>25624</v>
      </c>
      <c r="I523">
        <v>53</v>
      </c>
      <c r="K523" t="s">
        <v>2048</v>
      </c>
      <c r="L523" t="s">
        <v>338</v>
      </c>
      <c r="M523" t="s">
        <v>399</v>
      </c>
      <c r="N523" s="11">
        <v>109820540</v>
      </c>
      <c r="O523" s="16">
        <v>45095.25</v>
      </c>
      <c r="P523" t="s">
        <v>81</v>
      </c>
      <c r="Q523" s="2">
        <v>28403</v>
      </c>
      <c r="R523" s="3">
        <f>(Tabla1[[#This Row],[FECHA_TRASPLANTE]]-Tabla1[[#This Row],[FECHA_NAC]])/365.25</f>
        <v>45.700889801505816</v>
      </c>
      <c r="S523" t="s">
        <v>210</v>
      </c>
      <c r="T523"/>
      <c r="U523" t="s">
        <v>2009</v>
      </c>
      <c r="V523" t="s">
        <v>1824</v>
      </c>
      <c r="W523" t="s">
        <v>82</v>
      </c>
      <c r="X523" t="s">
        <v>91</v>
      </c>
      <c r="Y523" t="s">
        <v>176</v>
      </c>
      <c r="Z523" t="s">
        <v>311</v>
      </c>
      <c r="AD523">
        <v>8</v>
      </c>
      <c r="AF523" t="s">
        <v>978</v>
      </c>
      <c r="AG523" t="s">
        <v>1937</v>
      </c>
      <c r="AH523" t="s">
        <v>2049</v>
      </c>
      <c r="AM523" t="s">
        <v>106</v>
      </c>
      <c r="AO523"/>
      <c r="AQ523" t="s">
        <v>358</v>
      </c>
      <c r="AV523" s="2">
        <v>45301</v>
      </c>
      <c r="AY523" t="s">
        <v>106</v>
      </c>
      <c r="AZ523"/>
      <c r="BJ523" s="2"/>
      <c r="BO523">
        <v>303080202</v>
      </c>
      <c r="BP523" t="s">
        <v>90</v>
      </c>
      <c r="BQ523" t="s">
        <v>82</v>
      </c>
      <c r="BT523" s="2">
        <f>Tabla1[[#This Row],[FECHA_TRASPLANTE]]</f>
        <v>45095.25</v>
      </c>
      <c r="BU523">
        <f>IF(Tabla1[[#This Row],[FALLECIDO SI/NO]]="NO",0,1)</f>
        <v>0</v>
      </c>
      <c r="BV523" s="3">
        <f ca="1">IF(Tabla1[[#This Row],[FALLECIDO_COD]]=0,TODAY()-Tabla1[[#This Row],[FECHA_TRASPLANTE]],Tabla1[[#This Row],[FECHA DE DEFUNCIÓN]]-Tabla1[[#This Row],[FECHA_TRASPLANTE]])</f>
        <v>779.75</v>
      </c>
      <c r="BW523" s="3">
        <f ca="1">IF(Tabla1[[#This Row],[FALLECIDO_COD]]=0,TODAY()-Tabla1[[#This Row],[FECHA_TRASPLANTE]],Tabla1[[#This Row],[FECHA DE DEFUNCIÓN]]-Tabla1[[#This Row],[FECHA_TRASPLANTE]])/30.4375</f>
        <v>25.618069815195071</v>
      </c>
      <c r="BX523" s="3">
        <f ca="1">IF(Tabla1[[#This Row],[FALLECIDO_COD]]=0,TODAY()-Tabla1[[#This Row],[FECHA_TRASPLANTE]],Tabla1[[#This Row],[FECHA DE DEFUNCIÓN]]-Tabla1[[#This Row],[FECHA_TRASPLANTE]])/365.25</f>
        <v>2.1348391512662559</v>
      </c>
      <c r="BY523"/>
      <c r="BZ523"/>
    </row>
    <row r="524" spans="1:78" hidden="1" x14ac:dyDescent="0.35">
      <c r="A524" t="s">
        <v>377</v>
      </c>
      <c r="D524" t="s">
        <v>1129</v>
      </c>
      <c r="E524" t="s">
        <v>77</v>
      </c>
      <c r="J524" t="s">
        <v>1834</v>
      </c>
      <c r="K524" t="s">
        <v>2050</v>
      </c>
      <c r="L524" t="s">
        <v>981</v>
      </c>
      <c r="M524" t="s">
        <v>109</v>
      </c>
      <c r="N524" s="11">
        <v>400980156</v>
      </c>
      <c r="O524" s="2">
        <v>45096</v>
      </c>
      <c r="P524" t="s">
        <v>81</v>
      </c>
      <c r="Q524" s="2">
        <v>18255</v>
      </c>
      <c r="R524" s="3">
        <f>(Tabla1[[#This Row],[FECHA_TRASPLANTE]]-Tabla1[[#This Row],[FECHA_NAC]])/365.25</f>
        <v>73.486652977412732</v>
      </c>
      <c r="T524"/>
      <c r="W524" t="s">
        <v>82</v>
      </c>
      <c r="X524" t="s">
        <v>261</v>
      </c>
      <c r="Y524" t="s">
        <v>88</v>
      </c>
      <c r="Z524" t="s">
        <v>1882</v>
      </c>
      <c r="AM524" t="s">
        <v>106</v>
      </c>
      <c r="AO524"/>
      <c r="AV524" s="2"/>
      <c r="AZ524"/>
      <c r="BT524" s="2">
        <f>Tabla1[[#This Row],[FECHA_TRASPLANTE]]</f>
        <v>45096</v>
      </c>
      <c r="BU524">
        <f>IF(Tabla1[[#This Row],[FALLECIDO SI/NO]]="NO",0,1)</f>
        <v>0</v>
      </c>
      <c r="BV524" s="3">
        <f ca="1">IF(Tabla1[[#This Row],[FALLECIDO_COD]]=0,TODAY()-Tabla1[[#This Row],[FECHA_TRASPLANTE]],Tabla1[[#This Row],[FECHA DE DEFUNCIÓN]]-Tabla1[[#This Row],[FECHA_TRASPLANTE]])</f>
        <v>779</v>
      </c>
      <c r="BW524" s="3">
        <f ca="1">IF(Tabla1[[#This Row],[FALLECIDO_COD]]=0,TODAY()-Tabla1[[#This Row],[FECHA_TRASPLANTE]],Tabla1[[#This Row],[FECHA DE DEFUNCIÓN]]-Tabla1[[#This Row],[FECHA_TRASPLANTE]])/30.4375</f>
        <v>25.593429158110883</v>
      </c>
      <c r="BX524" s="3">
        <f ca="1">IF(Tabla1[[#This Row],[FALLECIDO_COD]]=0,TODAY()-Tabla1[[#This Row],[FECHA_TRASPLANTE]],Tabla1[[#This Row],[FECHA DE DEFUNCIÓN]]-Tabla1[[#This Row],[FECHA_TRASPLANTE]])/365.25</f>
        <v>2.1327857631759071</v>
      </c>
      <c r="BY524"/>
      <c r="BZ524"/>
    </row>
    <row r="525" spans="1:78" hidden="1" x14ac:dyDescent="0.35">
      <c r="A525" t="s">
        <v>1125</v>
      </c>
      <c r="C525" t="s">
        <v>894</v>
      </c>
      <c r="D525" t="s">
        <v>1129</v>
      </c>
      <c r="E525" t="s">
        <v>77</v>
      </c>
      <c r="F525" t="s">
        <v>106</v>
      </c>
      <c r="G525" t="s">
        <v>200</v>
      </c>
      <c r="H525" s="2">
        <v>25624</v>
      </c>
      <c r="I525">
        <v>53.311430527036279</v>
      </c>
      <c r="J525" t="s">
        <v>2051</v>
      </c>
      <c r="K525" t="s">
        <v>2052</v>
      </c>
      <c r="L525" t="s">
        <v>2053</v>
      </c>
      <c r="M525" t="s">
        <v>2054</v>
      </c>
      <c r="N525" s="11">
        <v>800450151</v>
      </c>
      <c r="O525" s="2">
        <v>45096</v>
      </c>
      <c r="P525" t="s">
        <v>1669</v>
      </c>
      <c r="Q525" s="2">
        <v>21186</v>
      </c>
      <c r="R525" s="3">
        <f>(Tabla1[[#This Row],[FECHA_TRASPLANTE]]-Tabla1[[#This Row],[FECHA_NAC]])/365.25</f>
        <v>65.46201232032854</v>
      </c>
      <c r="S525" t="s">
        <v>205</v>
      </c>
      <c r="T525">
        <v>43858</v>
      </c>
      <c r="U525" t="s">
        <v>1348</v>
      </c>
      <c r="V525" t="s">
        <v>1551</v>
      </c>
      <c r="W525" t="s">
        <v>82</v>
      </c>
      <c r="AA525">
        <v>12</v>
      </c>
      <c r="AD525">
        <v>3</v>
      </c>
      <c r="AF525" t="s">
        <v>375</v>
      </c>
      <c r="AG525" t="s">
        <v>375</v>
      </c>
      <c r="AH525" t="s">
        <v>375</v>
      </c>
      <c r="AI525" t="s">
        <v>375</v>
      </c>
      <c r="AM525" t="s">
        <v>106</v>
      </c>
      <c r="AO525"/>
      <c r="AQ525" t="s">
        <v>358</v>
      </c>
      <c r="AR525" t="s">
        <v>358</v>
      </c>
      <c r="AV525" s="2"/>
      <c r="AY525" t="s">
        <v>86</v>
      </c>
      <c r="AZ525">
        <v>45119</v>
      </c>
      <c r="BA525" t="s">
        <v>1917</v>
      </c>
      <c r="BB525">
        <v>1</v>
      </c>
      <c r="BC525">
        <v>31.45</v>
      </c>
      <c r="BD525" t="s">
        <v>106</v>
      </c>
      <c r="BH525" t="s">
        <v>106</v>
      </c>
      <c r="BI525" t="s">
        <v>86</v>
      </c>
      <c r="BJ525">
        <v>45112</v>
      </c>
      <c r="BL525" t="s">
        <v>106</v>
      </c>
      <c r="BM525" t="s">
        <v>1334</v>
      </c>
      <c r="BN525" t="s">
        <v>1334</v>
      </c>
      <c r="BT525" s="2">
        <f>Tabla1[[#This Row],[FECHA_TRASPLANTE]]</f>
        <v>45096</v>
      </c>
      <c r="BU525">
        <f>IF(Tabla1[[#This Row],[FALLECIDO SI/NO]]="NO",0,1)</f>
        <v>0</v>
      </c>
      <c r="BV525" s="3">
        <f ca="1">IF(Tabla1[[#This Row],[FALLECIDO_COD]]=0,TODAY()-Tabla1[[#This Row],[FECHA_TRASPLANTE]],Tabla1[[#This Row],[FECHA DE DEFUNCIÓN]]-Tabla1[[#This Row],[FECHA_TRASPLANTE]])</f>
        <v>779</v>
      </c>
      <c r="BW525" s="3">
        <f ca="1">IF(Tabla1[[#This Row],[FALLECIDO_COD]]=0,TODAY()-Tabla1[[#This Row],[FECHA_TRASPLANTE]],Tabla1[[#This Row],[FECHA DE DEFUNCIÓN]]-Tabla1[[#This Row],[FECHA_TRASPLANTE]])/30.4375</f>
        <v>25.593429158110883</v>
      </c>
      <c r="BX525" s="3">
        <f ca="1">IF(Tabla1[[#This Row],[FALLECIDO_COD]]=0,TODAY()-Tabla1[[#This Row],[FECHA_TRASPLANTE]],Tabla1[[#This Row],[FECHA DE DEFUNCIÓN]]-Tabla1[[#This Row],[FECHA_TRASPLANTE]])/365.25</f>
        <v>2.1327857631759071</v>
      </c>
      <c r="BY525"/>
      <c r="BZ525"/>
    </row>
    <row r="526" spans="1:78" hidden="1" x14ac:dyDescent="0.35">
      <c r="A526" t="s">
        <v>377</v>
      </c>
      <c r="D526" t="s">
        <v>1129</v>
      </c>
      <c r="E526" t="s">
        <v>375</v>
      </c>
      <c r="J526" t="s">
        <v>1160</v>
      </c>
      <c r="K526" t="s">
        <v>2055</v>
      </c>
      <c r="L526" t="s">
        <v>89</v>
      </c>
      <c r="M526" t="s">
        <v>452</v>
      </c>
      <c r="N526" s="11">
        <v>401660686</v>
      </c>
      <c r="O526" s="2">
        <v>45098</v>
      </c>
      <c r="P526" t="s">
        <v>81</v>
      </c>
      <c r="Q526" s="2">
        <v>28446</v>
      </c>
      <c r="R526" s="3">
        <f>(Tabla1[[#This Row],[FECHA_TRASPLANTE]]-Tabla1[[#This Row],[FECHA_NAC]])/365.25</f>
        <v>45.590691307323752</v>
      </c>
      <c r="T526"/>
      <c r="W526" t="s">
        <v>82</v>
      </c>
      <c r="X526" t="s">
        <v>261</v>
      </c>
      <c r="Y526" t="s">
        <v>84</v>
      </c>
      <c r="Z526" t="s">
        <v>212</v>
      </c>
      <c r="AM526" t="s">
        <v>106</v>
      </c>
      <c r="AO526"/>
      <c r="AV526" s="2"/>
      <c r="AZ526"/>
      <c r="BT526" s="2">
        <f>Tabla1[[#This Row],[FECHA_TRASPLANTE]]</f>
        <v>45098</v>
      </c>
      <c r="BU526">
        <f>IF(Tabla1[[#This Row],[FALLECIDO SI/NO]]="NO",0,1)</f>
        <v>0</v>
      </c>
      <c r="BV526" s="3">
        <f ca="1">IF(Tabla1[[#This Row],[FALLECIDO_COD]]=0,TODAY()-Tabla1[[#This Row],[FECHA_TRASPLANTE]],Tabla1[[#This Row],[FECHA DE DEFUNCIÓN]]-Tabla1[[#This Row],[FECHA_TRASPLANTE]])</f>
        <v>777</v>
      </c>
      <c r="BW526" s="3">
        <f ca="1">IF(Tabla1[[#This Row],[FALLECIDO_COD]]=0,TODAY()-Tabla1[[#This Row],[FECHA_TRASPLANTE]],Tabla1[[#This Row],[FECHA DE DEFUNCIÓN]]-Tabla1[[#This Row],[FECHA_TRASPLANTE]])/30.4375</f>
        <v>25.527720739219713</v>
      </c>
      <c r="BX526" s="3">
        <f ca="1">IF(Tabla1[[#This Row],[FALLECIDO_COD]]=0,TODAY()-Tabla1[[#This Row],[FECHA_TRASPLANTE]],Tabla1[[#This Row],[FECHA DE DEFUNCIÓN]]-Tabla1[[#This Row],[FECHA_TRASPLANTE]])/365.25</f>
        <v>2.1273100616016429</v>
      </c>
      <c r="BY526"/>
      <c r="BZ526"/>
    </row>
    <row r="527" spans="1:78" hidden="1" x14ac:dyDescent="0.35">
      <c r="A527" t="s">
        <v>377</v>
      </c>
      <c r="D527" t="s">
        <v>1129</v>
      </c>
      <c r="E527" t="s">
        <v>375</v>
      </c>
      <c r="J527" t="s">
        <v>2056</v>
      </c>
      <c r="K527" t="s">
        <v>2057</v>
      </c>
      <c r="L527" t="s">
        <v>805</v>
      </c>
      <c r="M527" t="s">
        <v>108</v>
      </c>
      <c r="N527" s="11">
        <v>2970090626</v>
      </c>
      <c r="O527" s="2">
        <v>45119</v>
      </c>
      <c r="P527" t="s">
        <v>90</v>
      </c>
      <c r="Q527" s="2">
        <v>35702</v>
      </c>
      <c r="R527" s="3">
        <f>(Tabla1[[#This Row],[FECHA_TRASPLANTE]]-Tabla1[[#This Row],[FECHA_NAC]])/365.25</f>
        <v>25.782340862422998</v>
      </c>
      <c r="T527"/>
      <c r="W527" t="s">
        <v>146</v>
      </c>
      <c r="X527" t="s">
        <v>1967</v>
      </c>
      <c r="AM527" t="s">
        <v>106</v>
      </c>
      <c r="AO527"/>
      <c r="AV527" s="2"/>
      <c r="AZ527"/>
      <c r="BT527" s="2">
        <f>Tabla1[[#This Row],[FECHA_TRASPLANTE]]</f>
        <v>45119</v>
      </c>
      <c r="BU527">
        <f>IF(Tabla1[[#This Row],[FALLECIDO SI/NO]]="NO",0,1)</f>
        <v>0</v>
      </c>
      <c r="BV527" s="3">
        <f ca="1">IF(Tabla1[[#This Row],[FALLECIDO_COD]]=0,TODAY()-Tabla1[[#This Row],[FECHA_TRASPLANTE]],Tabla1[[#This Row],[FECHA DE DEFUNCIÓN]]-Tabla1[[#This Row],[FECHA_TRASPLANTE]])</f>
        <v>756</v>
      </c>
      <c r="BW527" s="3">
        <f ca="1">IF(Tabla1[[#This Row],[FALLECIDO_COD]]=0,TODAY()-Tabla1[[#This Row],[FECHA_TRASPLANTE]],Tabla1[[#This Row],[FECHA DE DEFUNCIÓN]]-Tabla1[[#This Row],[FECHA_TRASPLANTE]])/30.4375</f>
        <v>24.837782340862422</v>
      </c>
      <c r="BX527" s="3">
        <f ca="1">IF(Tabla1[[#This Row],[FALLECIDO_COD]]=0,TODAY()-Tabla1[[#This Row],[FECHA_TRASPLANTE]],Tabla1[[#This Row],[FECHA DE DEFUNCIÓN]]-Tabla1[[#This Row],[FECHA_TRASPLANTE]])/365.25</f>
        <v>2.0698151950718686</v>
      </c>
      <c r="BY527"/>
      <c r="BZ527"/>
    </row>
    <row r="528" spans="1:78" hidden="1" x14ac:dyDescent="0.35">
      <c r="A528" t="s">
        <v>75</v>
      </c>
      <c r="B528" t="s">
        <v>1828</v>
      </c>
      <c r="C528" t="s">
        <v>293</v>
      </c>
      <c r="D528" t="s">
        <v>1129</v>
      </c>
      <c r="E528" t="s">
        <v>77</v>
      </c>
      <c r="H528" s="2">
        <v>37968</v>
      </c>
      <c r="I528">
        <v>19</v>
      </c>
      <c r="K528" t="s">
        <v>2058</v>
      </c>
      <c r="L528" t="s">
        <v>1324</v>
      </c>
      <c r="M528" t="s">
        <v>1416</v>
      </c>
      <c r="N528" s="11">
        <v>17617336</v>
      </c>
      <c r="O528" s="16">
        <v>45122.25</v>
      </c>
      <c r="P528" t="s">
        <v>81</v>
      </c>
      <c r="Q528" s="2">
        <v>28001</v>
      </c>
      <c r="R528" s="3">
        <f>(Tabla1[[#This Row],[FECHA_TRASPLANTE]]-Tabla1[[#This Row],[FECHA_NAC]])/365.25</f>
        <v>46.875427789185487</v>
      </c>
      <c r="S528" t="s">
        <v>200</v>
      </c>
      <c r="T528"/>
      <c r="U528" t="s">
        <v>1992</v>
      </c>
      <c r="V528" t="s">
        <v>1824</v>
      </c>
      <c r="W528" t="s">
        <v>146</v>
      </c>
      <c r="X528" t="s">
        <v>91</v>
      </c>
      <c r="Y528" t="s">
        <v>193</v>
      </c>
      <c r="Z528" t="s">
        <v>1498</v>
      </c>
      <c r="AD528">
        <v>7</v>
      </c>
      <c r="AF528" t="s">
        <v>2059</v>
      </c>
      <c r="AM528" t="s">
        <v>106</v>
      </c>
      <c r="AO528"/>
      <c r="AQ528" t="s">
        <v>772</v>
      </c>
      <c r="AV528" s="2">
        <v>45122</v>
      </c>
      <c r="AY528" t="s">
        <v>106</v>
      </c>
      <c r="AZ528"/>
      <c r="BJ528" s="2"/>
      <c r="BO528">
        <v>118930349</v>
      </c>
      <c r="BP528" t="s">
        <v>90</v>
      </c>
      <c r="BQ528" t="s">
        <v>82</v>
      </c>
      <c r="BT528" s="2">
        <f>Tabla1[[#This Row],[FECHA_TRASPLANTE]]</f>
        <v>45122.25</v>
      </c>
      <c r="BU528">
        <f>IF(Tabla1[[#This Row],[FALLECIDO SI/NO]]="NO",0,1)</f>
        <v>0</v>
      </c>
      <c r="BV528" s="3">
        <f ca="1">IF(Tabla1[[#This Row],[FALLECIDO_COD]]=0,TODAY()-Tabla1[[#This Row],[FECHA_TRASPLANTE]],Tabla1[[#This Row],[FECHA DE DEFUNCIÓN]]-Tabla1[[#This Row],[FECHA_TRASPLANTE]])</f>
        <v>752.75</v>
      </c>
      <c r="BW528" s="3">
        <f ca="1">IF(Tabla1[[#This Row],[FALLECIDO_COD]]=0,TODAY()-Tabla1[[#This Row],[FECHA_TRASPLANTE]],Tabla1[[#This Row],[FECHA DE DEFUNCIÓN]]-Tabla1[[#This Row],[FECHA_TRASPLANTE]])/30.4375</f>
        <v>24.73100616016427</v>
      </c>
      <c r="BX528" s="3">
        <f ca="1">IF(Tabla1[[#This Row],[FALLECIDO_COD]]=0,TODAY()-Tabla1[[#This Row],[FECHA_TRASPLANTE]],Tabla1[[#This Row],[FECHA DE DEFUNCIÓN]]-Tabla1[[#This Row],[FECHA_TRASPLANTE]])/365.25</f>
        <v>2.0609171800136892</v>
      </c>
      <c r="BY528"/>
      <c r="BZ528"/>
    </row>
    <row r="529" spans="1:78" hidden="1" x14ac:dyDescent="0.35">
      <c r="A529" t="s">
        <v>75</v>
      </c>
      <c r="B529" t="s">
        <v>1828</v>
      </c>
      <c r="C529" t="s">
        <v>293</v>
      </c>
      <c r="D529" t="s">
        <v>1129</v>
      </c>
      <c r="E529" t="s">
        <v>77</v>
      </c>
      <c r="H529" s="2">
        <v>37968</v>
      </c>
      <c r="I529">
        <v>19</v>
      </c>
      <c r="K529" t="s">
        <v>750</v>
      </c>
      <c r="L529" t="s">
        <v>145</v>
      </c>
      <c r="M529" t="s">
        <v>2060</v>
      </c>
      <c r="N529" s="11">
        <v>602510583</v>
      </c>
      <c r="O529" s="16">
        <v>45123.25</v>
      </c>
      <c r="P529" t="s">
        <v>81</v>
      </c>
      <c r="Q529" s="2">
        <v>26722</v>
      </c>
      <c r="R529" s="3">
        <f>(Tabla1[[#This Row],[FECHA_TRASPLANTE]]-Tabla1[[#This Row],[FECHA_NAC]])/365.25</f>
        <v>50.379876796714576</v>
      </c>
      <c r="S529" t="s">
        <v>200</v>
      </c>
      <c r="T529"/>
      <c r="U529" t="s">
        <v>1992</v>
      </c>
      <c r="V529" t="s">
        <v>1824</v>
      </c>
      <c r="W529" t="s">
        <v>82</v>
      </c>
      <c r="X529" t="s">
        <v>91</v>
      </c>
      <c r="Y529" t="s">
        <v>176</v>
      </c>
      <c r="Z529" t="s">
        <v>130</v>
      </c>
      <c r="AD529">
        <v>5</v>
      </c>
      <c r="AF529" t="s">
        <v>978</v>
      </c>
      <c r="AG529" t="s">
        <v>978</v>
      </c>
      <c r="AH529" t="s">
        <v>978</v>
      </c>
      <c r="AI529" t="s">
        <v>978</v>
      </c>
      <c r="AM529" t="s">
        <v>106</v>
      </c>
      <c r="AO529"/>
      <c r="AQ529" t="s">
        <v>358</v>
      </c>
      <c r="AV529" s="2"/>
      <c r="AY529" t="s">
        <v>106</v>
      </c>
      <c r="AZ529"/>
      <c r="BJ529" s="2"/>
      <c r="BO529">
        <v>118930349</v>
      </c>
      <c r="BP529" t="s">
        <v>90</v>
      </c>
      <c r="BQ529" t="s">
        <v>82</v>
      </c>
      <c r="BT529" s="2">
        <f>Tabla1[[#This Row],[FECHA_TRASPLANTE]]</f>
        <v>45123.25</v>
      </c>
      <c r="BU529">
        <f>IF(Tabla1[[#This Row],[FALLECIDO SI/NO]]="NO",0,1)</f>
        <v>0</v>
      </c>
      <c r="BV529" s="3">
        <f ca="1">IF(Tabla1[[#This Row],[FALLECIDO_COD]]=0,TODAY()-Tabla1[[#This Row],[FECHA_TRASPLANTE]],Tabla1[[#This Row],[FECHA DE DEFUNCIÓN]]-Tabla1[[#This Row],[FECHA_TRASPLANTE]])</f>
        <v>751.75</v>
      </c>
      <c r="BW529" s="3">
        <f ca="1">IF(Tabla1[[#This Row],[FALLECIDO_COD]]=0,TODAY()-Tabla1[[#This Row],[FECHA_TRASPLANTE]],Tabla1[[#This Row],[FECHA DE DEFUNCIÓN]]-Tabla1[[#This Row],[FECHA_TRASPLANTE]])/30.4375</f>
        <v>24.698151950718685</v>
      </c>
      <c r="BX529" s="3">
        <f ca="1">IF(Tabla1[[#This Row],[FALLECIDO_COD]]=0,TODAY()-Tabla1[[#This Row],[FECHA_TRASPLANTE]],Tabla1[[#This Row],[FECHA DE DEFUNCIÓN]]-Tabla1[[#This Row],[FECHA_TRASPLANTE]])/365.25</f>
        <v>2.0581793292265571</v>
      </c>
      <c r="BY529"/>
      <c r="BZ529"/>
    </row>
    <row r="530" spans="1:78" hidden="1" x14ac:dyDescent="0.35">
      <c r="A530" t="s">
        <v>1126</v>
      </c>
      <c r="B530" t="s">
        <v>1126</v>
      </c>
      <c r="D530" t="s">
        <v>1333</v>
      </c>
      <c r="E530" t="s">
        <v>375</v>
      </c>
      <c r="F530" t="s">
        <v>106</v>
      </c>
      <c r="G530" t="s">
        <v>200</v>
      </c>
      <c r="H530" s="2">
        <v>35730</v>
      </c>
      <c r="I530">
        <v>25.71937029431896</v>
      </c>
      <c r="J530" t="s">
        <v>746</v>
      </c>
      <c r="N530" s="11">
        <v>302990628</v>
      </c>
      <c r="O530" s="2">
        <v>45124</v>
      </c>
      <c r="P530" t="s">
        <v>81</v>
      </c>
      <c r="Q530" s="2">
        <v>25041</v>
      </c>
      <c r="R530" s="3">
        <f>(Tabla1[[#This Row],[FECHA_TRASPLANTE]]-Tabla1[[#This Row],[FECHA_NAC]])/365.25</f>
        <v>54.984257357973988</v>
      </c>
      <c r="S530" t="s">
        <v>200</v>
      </c>
      <c r="U530" t="s">
        <v>1925</v>
      </c>
      <c r="V530" t="s">
        <v>1566</v>
      </c>
      <c r="W530" t="s">
        <v>82</v>
      </c>
      <c r="X530" t="s">
        <v>110</v>
      </c>
      <c r="Y530" t="s">
        <v>196</v>
      </c>
      <c r="Z530" t="s">
        <v>2061</v>
      </c>
      <c r="AD530">
        <v>0</v>
      </c>
      <c r="AF530" t="s">
        <v>375</v>
      </c>
      <c r="AG530" t="s">
        <v>375</v>
      </c>
      <c r="AH530" t="s">
        <v>375</v>
      </c>
      <c r="AI530" t="s">
        <v>375</v>
      </c>
      <c r="AM530" t="s">
        <v>106</v>
      </c>
      <c r="AN530" s="2" t="s">
        <v>762</v>
      </c>
      <c r="AO530" s="2" t="s">
        <v>762</v>
      </c>
      <c r="AQ530" t="s">
        <v>358</v>
      </c>
      <c r="AR530" s="2" t="s">
        <v>358</v>
      </c>
      <c r="AS530" s="2"/>
      <c r="AV530" s="2" t="s">
        <v>762</v>
      </c>
      <c r="AY530" t="s">
        <v>106</v>
      </c>
      <c r="AZ530"/>
      <c r="BA530" t="s">
        <v>1812</v>
      </c>
      <c r="BB530">
        <v>0.91</v>
      </c>
      <c r="BC530">
        <v>100</v>
      </c>
      <c r="BD530" t="s">
        <v>106</v>
      </c>
      <c r="BI530" t="s">
        <v>106</v>
      </c>
      <c r="BL530" t="s">
        <v>106</v>
      </c>
      <c r="BT530" s="2">
        <f>Tabla1[[#This Row],[FECHA_TRASPLANTE]]</f>
        <v>45124</v>
      </c>
      <c r="BU530">
        <f>IF(Tabla1[[#This Row],[FALLECIDO SI/NO]]="NO",0,1)</f>
        <v>0</v>
      </c>
      <c r="BV530" s="3">
        <f ca="1">IF(Tabla1[[#This Row],[FALLECIDO_COD]]=0,TODAY()-Tabla1[[#This Row],[FECHA_TRASPLANTE]],Tabla1[[#This Row],[FECHA DE DEFUNCIÓN]]-Tabla1[[#This Row],[FECHA_TRASPLANTE]])</f>
        <v>751</v>
      </c>
      <c r="BW530" s="3">
        <f ca="1">IF(Tabla1[[#This Row],[FALLECIDO_COD]]=0,TODAY()-Tabla1[[#This Row],[FECHA_TRASPLANTE]],Tabla1[[#This Row],[FECHA DE DEFUNCIÓN]]-Tabla1[[#This Row],[FECHA_TRASPLANTE]])/30.4375</f>
        <v>24.673511293634498</v>
      </c>
      <c r="BX530" s="3">
        <f ca="1">IF(Tabla1[[#This Row],[FALLECIDO_COD]]=0,TODAY()-Tabla1[[#This Row],[FECHA_TRASPLANTE]],Tabla1[[#This Row],[FECHA DE DEFUNCIÓN]]-Tabla1[[#This Row],[FECHA_TRASPLANTE]])/365.25</f>
        <v>2.0561259411362083</v>
      </c>
      <c r="BY530"/>
      <c r="BZ530"/>
    </row>
    <row r="531" spans="1:78" hidden="1" x14ac:dyDescent="0.35">
      <c r="A531" t="s">
        <v>1126</v>
      </c>
      <c r="B531" t="s">
        <v>1126</v>
      </c>
      <c r="D531" t="s">
        <v>1333</v>
      </c>
      <c r="E531" t="s">
        <v>375</v>
      </c>
      <c r="F531" t="s">
        <v>106</v>
      </c>
      <c r="G531" t="s">
        <v>210</v>
      </c>
      <c r="H531" s="2">
        <v>28719</v>
      </c>
      <c r="I531">
        <v>44.95277207392197</v>
      </c>
      <c r="J531" t="s">
        <v>746</v>
      </c>
      <c r="N531" s="11">
        <v>204840537</v>
      </c>
      <c r="O531" s="2">
        <v>45138</v>
      </c>
      <c r="P531" t="s">
        <v>81</v>
      </c>
      <c r="Q531" s="2">
        <v>26732</v>
      </c>
      <c r="R531" s="3">
        <f>(Tabla1[[#This Row],[FECHA_TRASPLANTE]]-Tabla1[[#This Row],[FECHA_NAC]])/365.25</f>
        <v>50.392881587953454</v>
      </c>
      <c r="S531" t="s">
        <v>210</v>
      </c>
      <c r="U531" t="s">
        <v>1925</v>
      </c>
      <c r="V531" t="s">
        <v>1551</v>
      </c>
      <c r="W531" t="s">
        <v>82</v>
      </c>
      <c r="X531" t="s">
        <v>110</v>
      </c>
      <c r="Y531" t="s">
        <v>801</v>
      </c>
      <c r="Z531" t="s">
        <v>1908</v>
      </c>
      <c r="AD531">
        <v>0</v>
      </c>
      <c r="AF531" t="s">
        <v>375</v>
      </c>
      <c r="AG531" t="s">
        <v>375</v>
      </c>
      <c r="AH531" t="s">
        <v>375</v>
      </c>
      <c r="AI531" t="s">
        <v>375</v>
      </c>
      <c r="AM531" t="s">
        <v>106</v>
      </c>
      <c r="AN531" s="2" t="s">
        <v>762</v>
      </c>
      <c r="AO531" s="2" t="s">
        <v>762</v>
      </c>
      <c r="AQ531" t="s">
        <v>358</v>
      </c>
      <c r="AR531" s="2" t="s">
        <v>358</v>
      </c>
      <c r="AS531" s="2"/>
      <c r="AV531" s="2" t="s">
        <v>762</v>
      </c>
      <c r="AY531" t="s">
        <v>106</v>
      </c>
      <c r="AZ531"/>
      <c r="BA531" t="s">
        <v>1812</v>
      </c>
      <c r="BB531">
        <v>1.29</v>
      </c>
      <c r="BC531">
        <v>67</v>
      </c>
      <c r="BD531" t="s">
        <v>106</v>
      </c>
      <c r="BI531" t="s">
        <v>106</v>
      </c>
      <c r="BL531" t="s">
        <v>106</v>
      </c>
      <c r="BT531" s="2">
        <f>Tabla1[[#This Row],[FECHA_TRASPLANTE]]</f>
        <v>45138</v>
      </c>
      <c r="BU531">
        <f>IF(Tabla1[[#This Row],[FALLECIDO SI/NO]]="NO",0,1)</f>
        <v>0</v>
      </c>
      <c r="BV531" s="3">
        <f ca="1">IF(Tabla1[[#This Row],[FALLECIDO_COD]]=0,TODAY()-Tabla1[[#This Row],[FECHA_TRASPLANTE]],Tabla1[[#This Row],[FECHA DE DEFUNCIÓN]]-Tabla1[[#This Row],[FECHA_TRASPLANTE]])</f>
        <v>737</v>
      </c>
      <c r="BW531" s="3">
        <f ca="1">IF(Tabla1[[#This Row],[FALLECIDO_COD]]=0,TODAY()-Tabla1[[#This Row],[FECHA_TRASPLANTE]],Tabla1[[#This Row],[FECHA DE DEFUNCIÓN]]-Tabla1[[#This Row],[FECHA_TRASPLANTE]])/30.4375</f>
        <v>24.213552361396303</v>
      </c>
      <c r="BX531" s="3">
        <f ca="1">IF(Tabla1[[#This Row],[FALLECIDO_COD]]=0,TODAY()-Tabla1[[#This Row],[FECHA_TRASPLANTE]],Tabla1[[#This Row],[FECHA DE DEFUNCIÓN]]-Tabla1[[#This Row],[FECHA_TRASPLANTE]])/365.25</f>
        <v>2.0177960301163584</v>
      </c>
      <c r="BY531"/>
      <c r="BZ531"/>
    </row>
    <row r="532" spans="1:78" hidden="1" x14ac:dyDescent="0.35">
      <c r="A532" t="s">
        <v>1125</v>
      </c>
      <c r="B532" t="s">
        <v>1125</v>
      </c>
      <c r="C532" t="s">
        <v>1334</v>
      </c>
      <c r="D532" t="s">
        <v>1129</v>
      </c>
      <c r="E532" t="s">
        <v>375</v>
      </c>
      <c r="G532" t="s">
        <v>200</v>
      </c>
      <c r="H532" s="2">
        <v>27333.25</v>
      </c>
      <c r="I532">
        <v>48.772073921971256</v>
      </c>
      <c r="J532" t="s">
        <v>1800</v>
      </c>
      <c r="K532" t="s">
        <v>2062</v>
      </c>
      <c r="L532" t="s">
        <v>195</v>
      </c>
      <c r="M532" t="s">
        <v>229</v>
      </c>
      <c r="N532" s="11">
        <v>303250804</v>
      </c>
      <c r="O532" s="2">
        <v>45147.25</v>
      </c>
      <c r="P532" t="s">
        <v>1669</v>
      </c>
      <c r="Q532" s="2">
        <v>26874.25</v>
      </c>
      <c r="R532" s="3">
        <f>(Tabla1[[#This Row],[FECHA_TRASPLANTE]]-Tabla1[[#This Row],[FECHA_NAC]])/365.25</f>
        <v>50.02874743326489</v>
      </c>
      <c r="S532" t="s">
        <v>200</v>
      </c>
      <c r="T532">
        <v>45141</v>
      </c>
      <c r="U532" t="s">
        <v>1348</v>
      </c>
      <c r="V532" t="s">
        <v>1566</v>
      </c>
      <c r="W532" t="s">
        <v>82</v>
      </c>
      <c r="X532" t="s">
        <v>110</v>
      </c>
      <c r="Y532" t="s">
        <v>2063</v>
      </c>
      <c r="Z532" t="s">
        <v>2064</v>
      </c>
      <c r="AA532">
        <v>0.56999999999999995</v>
      </c>
      <c r="AD532">
        <v>2</v>
      </c>
      <c r="AF532" t="s">
        <v>375</v>
      </c>
      <c r="AG532" t="s">
        <v>375</v>
      </c>
      <c r="AH532" t="s">
        <v>375</v>
      </c>
      <c r="AI532" t="s">
        <v>375</v>
      </c>
      <c r="AM532" t="s">
        <v>106</v>
      </c>
      <c r="AO532" t="s">
        <v>1334</v>
      </c>
      <c r="AQ532" t="s">
        <v>358</v>
      </c>
      <c r="AR532" t="s">
        <v>358</v>
      </c>
      <c r="AV532" s="2" t="s">
        <v>1334</v>
      </c>
      <c r="AY532" t="s">
        <v>106</v>
      </c>
      <c r="AZ532"/>
      <c r="BA532" t="s">
        <v>1917</v>
      </c>
      <c r="BB532">
        <v>1.1399999999999999</v>
      </c>
      <c r="BC532">
        <v>62.67</v>
      </c>
      <c r="BD532" t="s">
        <v>106</v>
      </c>
      <c r="BH532" t="s">
        <v>106</v>
      </c>
      <c r="BI532" t="s">
        <v>106</v>
      </c>
      <c r="BJ532" t="s">
        <v>1334</v>
      </c>
      <c r="BL532" t="s">
        <v>106</v>
      </c>
      <c r="BM532" t="s">
        <v>1334</v>
      </c>
      <c r="BN532" t="s">
        <v>1334</v>
      </c>
      <c r="BO532">
        <v>303330163</v>
      </c>
      <c r="BP532" t="s">
        <v>90</v>
      </c>
      <c r="BQ532" t="s">
        <v>1849</v>
      </c>
      <c r="BR532" t="s">
        <v>1854</v>
      </c>
      <c r="BS532" t="s">
        <v>1855</v>
      </c>
      <c r="BT532" s="2">
        <f>Tabla1[[#This Row],[FECHA_TRASPLANTE]]</f>
        <v>45147.25</v>
      </c>
      <c r="BU532">
        <f>IF(Tabla1[[#This Row],[FALLECIDO SI/NO]]="NO",0,1)</f>
        <v>0</v>
      </c>
      <c r="BV532" s="3">
        <f ca="1">IF(Tabla1[[#This Row],[FALLECIDO_COD]]=0,TODAY()-Tabla1[[#This Row],[FECHA_TRASPLANTE]],Tabla1[[#This Row],[FECHA DE DEFUNCIÓN]]-Tabla1[[#This Row],[FECHA_TRASPLANTE]])</f>
        <v>727.75</v>
      </c>
      <c r="BW532" s="3">
        <f ca="1">IF(Tabla1[[#This Row],[FALLECIDO_COD]]=0,TODAY()-Tabla1[[#This Row],[FECHA_TRASPLANTE]],Tabla1[[#This Row],[FECHA DE DEFUNCIÓN]]-Tabla1[[#This Row],[FECHA_TRASPLANTE]])/30.4375</f>
        <v>23.909650924024639</v>
      </c>
      <c r="BX532" s="3">
        <f ca="1">IF(Tabla1[[#This Row],[FALLECIDO_COD]]=0,TODAY()-Tabla1[[#This Row],[FECHA_TRASPLANTE]],Tabla1[[#This Row],[FECHA DE DEFUNCIÓN]]-Tabla1[[#This Row],[FECHA_TRASPLANTE]])/365.25</f>
        <v>1.9924709103353868</v>
      </c>
      <c r="BY532"/>
      <c r="BZ532"/>
    </row>
    <row r="533" spans="1:78" hidden="1" x14ac:dyDescent="0.35">
      <c r="A533" t="s">
        <v>377</v>
      </c>
      <c r="D533" t="s">
        <v>1129</v>
      </c>
      <c r="E533" t="s">
        <v>375</v>
      </c>
      <c r="J533" t="s">
        <v>1160</v>
      </c>
      <c r="K533" t="s">
        <v>2065</v>
      </c>
      <c r="L533" t="s">
        <v>274</v>
      </c>
      <c r="M533" t="s">
        <v>132</v>
      </c>
      <c r="N533" s="11">
        <v>116190849</v>
      </c>
      <c r="O533" s="2">
        <v>45154</v>
      </c>
      <c r="P533" t="s">
        <v>81</v>
      </c>
      <c r="Q533" s="2">
        <v>34969</v>
      </c>
      <c r="R533" s="3">
        <f>(Tabla1[[#This Row],[FECHA_TRASPLANTE]]-Tabla1[[#This Row],[FECHA_NAC]])/365.25</f>
        <v>27.885010266940451</v>
      </c>
      <c r="T533"/>
      <c r="W533" t="s">
        <v>82</v>
      </c>
      <c r="X533" t="s">
        <v>261</v>
      </c>
      <c r="Y533" t="s">
        <v>353</v>
      </c>
      <c r="Z533" t="s">
        <v>244</v>
      </c>
      <c r="AM533" t="s">
        <v>106</v>
      </c>
      <c r="AO533"/>
      <c r="AV533" s="2"/>
      <c r="AZ533"/>
      <c r="BT533" s="2">
        <f>Tabla1[[#This Row],[FECHA_TRASPLANTE]]</f>
        <v>45154</v>
      </c>
      <c r="BU533">
        <f>IF(Tabla1[[#This Row],[FALLECIDO SI/NO]]="NO",0,1)</f>
        <v>0</v>
      </c>
      <c r="BV533" s="3">
        <f ca="1">IF(Tabla1[[#This Row],[FALLECIDO_COD]]=0,TODAY()-Tabla1[[#This Row],[FECHA_TRASPLANTE]],Tabla1[[#This Row],[FECHA DE DEFUNCIÓN]]-Tabla1[[#This Row],[FECHA_TRASPLANTE]])</f>
        <v>721</v>
      </c>
      <c r="BW533" s="3">
        <f ca="1">IF(Tabla1[[#This Row],[FALLECIDO_COD]]=0,TODAY()-Tabla1[[#This Row],[FECHA_TRASPLANTE]],Tabla1[[#This Row],[FECHA DE DEFUNCIÓN]]-Tabla1[[#This Row],[FECHA_TRASPLANTE]])/30.4375</f>
        <v>23.687885010266939</v>
      </c>
      <c r="BX533" s="3">
        <f ca="1">IF(Tabla1[[#This Row],[FALLECIDO_COD]]=0,TODAY()-Tabla1[[#This Row],[FECHA_TRASPLANTE]],Tabla1[[#This Row],[FECHA DE DEFUNCIÓN]]-Tabla1[[#This Row],[FECHA_TRASPLANTE]])/365.25</f>
        <v>1.9739904175222451</v>
      </c>
      <c r="BY533"/>
      <c r="BZ533"/>
    </row>
    <row r="534" spans="1:78" hidden="1" x14ac:dyDescent="0.35">
      <c r="A534" t="s">
        <v>1126</v>
      </c>
      <c r="B534" t="s">
        <v>1126</v>
      </c>
      <c r="D534" t="s">
        <v>1333</v>
      </c>
      <c r="E534" t="s">
        <v>375</v>
      </c>
      <c r="F534" t="s">
        <v>106</v>
      </c>
      <c r="G534" t="s">
        <v>200</v>
      </c>
      <c r="H534" s="2">
        <v>33768</v>
      </c>
      <c r="I534">
        <v>31.186858316221766</v>
      </c>
      <c r="J534" t="s">
        <v>746</v>
      </c>
      <c r="N534" s="11">
        <v>112550891</v>
      </c>
      <c r="O534" s="2">
        <v>45159</v>
      </c>
      <c r="P534" t="s">
        <v>81</v>
      </c>
      <c r="Q534" s="2">
        <v>31251</v>
      </c>
      <c r="R534" s="3">
        <f>(Tabla1[[#This Row],[FECHA_TRASPLANTE]]-Tabla1[[#This Row],[FECHA_NAC]])/365.25</f>
        <v>38.078028747433265</v>
      </c>
      <c r="S534" t="s">
        <v>200</v>
      </c>
      <c r="U534" t="s">
        <v>2066</v>
      </c>
      <c r="V534" t="s">
        <v>1551</v>
      </c>
      <c r="W534" t="s">
        <v>82</v>
      </c>
      <c r="X534" t="s">
        <v>110</v>
      </c>
      <c r="Y534" t="s">
        <v>110</v>
      </c>
      <c r="Z534" t="s">
        <v>797</v>
      </c>
      <c r="AD534">
        <v>0</v>
      </c>
      <c r="AF534" t="s">
        <v>375</v>
      </c>
      <c r="AG534" t="s">
        <v>375</v>
      </c>
      <c r="AH534" t="s">
        <v>375</v>
      </c>
      <c r="AI534" t="s">
        <v>375</v>
      </c>
      <c r="AM534" t="s">
        <v>106</v>
      </c>
      <c r="AN534" s="2" t="s">
        <v>762</v>
      </c>
      <c r="AO534" s="2" t="s">
        <v>762</v>
      </c>
      <c r="AQ534" t="s">
        <v>358</v>
      </c>
      <c r="AR534" s="2" t="s">
        <v>358</v>
      </c>
      <c r="AS534" s="2"/>
      <c r="AV534" s="2" t="s">
        <v>762</v>
      </c>
      <c r="AY534" t="s">
        <v>106</v>
      </c>
      <c r="AZ534"/>
      <c r="BA534" t="s">
        <v>1812</v>
      </c>
      <c r="BB534">
        <v>1.39</v>
      </c>
      <c r="BC534">
        <v>67</v>
      </c>
      <c r="BD534" t="s">
        <v>106</v>
      </c>
      <c r="BI534" t="s">
        <v>106</v>
      </c>
      <c r="BL534" t="s">
        <v>106</v>
      </c>
      <c r="BT534" s="2">
        <f>Tabla1[[#This Row],[FECHA_TRASPLANTE]]</f>
        <v>45159</v>
      </c>
      <c r="BU534">
        <f>IF(Tabla1[[#This Row],[FALLECIDO SI/NO]]="NO",0,1)</f>
        <v>0</v>
      </c>
      <c r="BV534" s="3">
        <f ca="1">IF(Tabla1[[#This Row],[FALLECIDO_COD]]=0,TODAY()-Tabla1[[#This Row],[FECHA_TRASPLANTE]],Tabla1[[#This Row],[FECHA DE DEFUNCIÓN]]-Tabla1[[#This Row],[FECHA_TRASPLANTE]])</f>
        <v>716</v>
      </c>
      <c r="BW534" s="3">
        <f ca="1">IF(Tabla1[[#This Row],[FALLECIDO_COD]]=0,TODAY()-Tabla1[[#This Row],[FECHA_TRASPLANTE]],Tabla1[[#This Row],[FECHA DE DEFUNCIÓN]]-Tabla1[[#This Row],[FECHA_TRASPLANTE]])/30.4375</f>
        <v>23.523613963039015</v>
      </c>
      <c r="BX534" s="3">
        <f ca="1">IF(Tabla1[[#This Row],[FALLECIDO_COD]]=0,TODAY()-Tabla1[[#This Row],[FECHA_TRASPLANTE]],Tabla1[[#This Row],[FECHA DE DEFUNCIÓN]]-Tabla1[[#This Row],[FECHA_TRASPLANTE]])/365.25</f>
        <v>1.9603011635865846</v>
      </c>
      <c r="BY534"/>
      <c r="BZ534"/>
    </row>
    <row r="535" spans="1:78" hidden="1" x14ac:dyDescent="0.35">
      <c r="A535" t="s">
        <v>1126</v>
      </c>
      <c r="B535" t="s">
        <v>1126</v>
      </c>
      <c r="D535" t="s">
        <v>1333</v>
      </c>
      <c r="E535" t="s">
        <v>77</v>
      </c>
      <c r="F535" t="s">
        <v>86</v>
      </c>
      <c r="G535" t="s">
        <v>205</v>
      </c>
      <c r="H535" s="2">
        <v>20361</v>
      </c>
      <c r="I535">
        <v>67.89596167008898</v>
      </c>
      <c r="J535" t="s">
        <v>1919</v>
      </c>
      <c r="N535" s="11">
        <v>402510758</v>
      </c>
      <c r="O535" s="2">
        <v>45160</v>
      </c>
      <c r="P535" t="s">
        <v>1669</v>
      </c>
      <c r="Q535" s="2">
        <v>37060.25</v>
      </c>
      <c r="R535" s="3">
        <f>(Tabla1[[#This Row],[FECHA_TRASPLANTE]]-Tabla1[[#This Row],[FECHA_NAC]])/365.25</f>
        <v>22.175906913073238</v>
      </c>
      <c r="S535" t="s">
        <v>2067</v>
      </c>
      <c r="U535" t="s">
        <v>2068</v>
      </c>
      <c r="V535" t="s">
        <v>1551</v>
      </c>
      <c r="W535" t="s">
        <v>82</v>
      </c>
      <c r="X535" t="s">
        <v>110</v>
      </c>
      <c r="Y535" t="s">
        <v>110</v>
      </c>
      <c r="Z535" t="s">
        <v>182</v>
      </c>
      <c r="AD535">
        <v>0</v>
      </c>
      <c r="AF535" t="s">
        <v>375</v>
      </c>
      <c r="AG535" t="s">
        <v>375</v>
      </c>
      <c r="AH535" t="s">
        <v>1676</v>
      </c>
      <c r="AI535" t="s">
        <v>1676</v>
      </c>
      <c r="AM535" t="s">
        <v>86</v>
      </c>
      <c r="AN535" s="2">
        <v>45260</v>
      </c>
      <c r="AO535" s="2" t="s">
        <v>1921</v>
      </c>
      <c r="AP535" t="s">
        <v>106</v>
      </c>
      <c r="AQ535" t="s">
        <v>358</v>
      </c>
      <c r="AR535" s="2" t="s">
        <v>772</v>
      </c>
      <c r="AS535" s="2"/>
      <c r="AV535" s="2">
        <v>45200</v>
      </c>
      <c r="AW535" t="s">
        <v>2069</v>
      </c>
      <c r="AX535" t="s">
        <v>2070</v>
      </c>
      <c r="AY535" t="s">
        <v>106</v>
      </c>
      <c r="BA535" t="s">
        <v>1552</v>
      </c>
      <c r="BB535" t="s">
        <v>762</v>
      </c>
      <c r="BC535" t="s">
        <v>762</v>
      </c>
      <c r="BD535" t="s">
        <v>106</v>
      </c>
      <c r="BI535" t="s">
        <v>106</v>
      </c>
      <c r="BL535" t="s">
        <v>106</v>
      </c>
      <c r="BT535" s="2">
        <f>Tabla1[[#This Row],[FECHA_TRASPLANTE]]</f>
        <v>45160</v>
      </c>
      <c r="BU535">
        <f>IF(Tabla1[[#This Row],[FALLECIDO SI/NO]]="NO",0,1)</f>
        <v>1</v>
      </c>
      <c r="BV535" s="3">
        <f ca="1">IF(Tabla1[[#This Row],[FALLECIDO_COD]]=0,TODAY()-Tabla1[[#This Row],[FECHA_TRASPLANTE]],Tabla1[[#This Row],[FECHA DE DEFUNCIÓN]]-Tabla1[[#This Row],[FECHA_TRASPLANTE]])</f>
        <v>100</v>
      </c>
      <c r="BW535" s="3">
        <f ca="1">IF(Tabla1[[#This Row],[FALLECIDO_COD]]=0,TODAY()-Tabla1[[#This Row],[FECHA_TRASPLANTE]],Tabla1[[#This Row],[FECHA DE DEFUNCIÓN]]-Tabla1[[#This Row],[FECHA_TRASPLANTE]])/30.4375</f>
        <v>3.2854209445585214</v>
      </c>
      <c r="BX535" s="3">
        <f ca="1">IF(Tabla1[[#This Row],[FALLECIDO_COD]]=0,TODAY()-Tabla1[[#This Row],[FECHA_TRASPLANTE]],Tabla1[[#This Row],[FECHA DE DEFUNCIÓN]]-Tabla1[[#This Row],[FECHA_TRASPLANTE]])/365.25</f>
        <v>0.27378507871321012</v>
      </c>
      <c r="BY535"/>
      <c r="BZ535"/>
    </row>
    <row r="536" spans="1:78" hidden="1" x14ac:dyDescent="0.35">
      <c r="A536" t="s">
        <v>75</v>
      </c>
      <c r="B536" t="s">
        <v>1126</v>
      </c>
      <c r="C536" t="s">
        <v>2071</v>
      </c>
      <c r="D536" t="s">
        <v>1129</v>
      </c>
      <c r="E536" t="s">
        <v>77</v>
      </c>
      <c r="H536" s="2">
        <v>20361</v>
      </c>
      <c r="I536">
        <v>67</v>
      </c>
      <c r="K536" t="s">
        <v>2072</v>
      </c>
      <c r="L536" t="s">
        <v>741</v>
      </c>
      <c r="M536" t="s">
        <v>741</v>
      </c>
      <c r="N536" s="11">
        <v>302170125</v>
      </c>
      <c r="O536" s="16">
        <v>45160.25</v>
      </c>
      <c r="P536" t="s">
        <v>81</v>
      </c>
      <c r="Q536" s="2">
        <v>20745</v>
      </c>
      <c r="R536" s="3">
        <f>(Tabla1[[#This Row],[FECHA_TRASPLANTE]]-Tabla1[[#This Row],[FECHA_NAC]])/365.25</f>
        <v>66.845311430527033</v>
      </c>
      <c r="S536" t="s">
        <v>205</v>
      </c>
      <c r="T536"/>
      <c r="U536" t="s">
        <v>1992</v>
      </c>
      <c r="V536" t="s">
        <v>1824</v>
      </c>
      <c r="W536" t="s">
        <v>82</v>
      </c>
      <c r="X536" t="s">
        <v>110</v>
      </c>
      <c r="Y536" t="s">
        <v>84</v>
      </c>
      <c r="Z536" t="s">
        <v>182</v>
      </c>
      <c r="AD536">
        <v>8</v>
      </c>
      <c r="AF536" t="s">
        <v>978</v>
      </c>
      <c r="AG536" t="s">
        <v>978</v>
      </c>
      <c r="AH536" t="s">
        <v>978</v>
      </c>
      <c r="AM536" t="s">
        <v>106</v>
      </c>
      <c r="AO536"/>
      <c r="AQ536" t="s">
        <v>358</v>
      </c>
      <c r="AV536" s="2"/>
      <c r="AY536" t="s">
        <v>106</v>
      </c>
      <c r="AZ536"/>
      <c r="BJ536" s="2"/>
      <c r="BO536">
        <v>105290598</v>
      </c>
      <c r="BP536" t="s">
        <v>81</v>
      </c>
      <c r="BQ536" t="s">
        <v>82</v>
      </c>
      <c r="BS536" t="s">
        <v>2073</v>
      </c>
      <c r="BT536" s="2">
        <f>Tabla1[[#This Row],[FECHA_TRASPLANTE]]</f>
        <v>45160.25</v>
      </c>
      <c r="BU536">
        <f>IF(Tabla1[[#This Row],[FALLECIDO SI/NO]]="NO",0,1)</f>
        <v>0</v>
      </c>
      <c r="BV536" s="3">
        <f ca="1">IF(Tabla1[[#This Row],[FALLECIDO_COD]]=0,TODAY()-Tabla1[[#This Row],[FECHA_TRASPLANTE]],Tabla1[[#This Row],[FECHA DE DEFUNCIÓN]]-Tabla1[[#This Row],[FECHA_TRASPLANTE]])</f>
        <v>714.75</v>
      </c>
      <c r="BW536" s="3">
        <f ca="1">IF(Tabla1[[#This Row],[FALLECIDO_COD]]=0,TODAY()-Tabla1[[#This Row],[FECHA_TRASPLANTE]],Tabla1[[#This Row],[FECHA DE DEFUNCIÓN]]-Tabla1[[#This Row],[FECHA_TRASPLANTE]])/30.4375</f>
        <v>23.482546201232033</v>
      </c>
      <c r="BX536" s="3">
        <f ca="1">IF(Tabla1[[#This Row],[FALLECIDO_COD]]=0,TODAY()-Tabla1[[#This Row],[FECHA_TRASPLANTE]],Tabla1[[#This Row],[FECHA DE DEFUNCIÓN]]-Tabla1[[#This Row],[FECHA_TRASPLANTE]])/365.25</f>
        <v>1.9568788501026695</v>
      </c>
      <c r="BY536"/>
      <c r="BZ536"/>
    </row>
    <row r="537" spans="1:78" hidden="1" x14ac:dyDescent="0.35">
      <c r="A537" t="s">
        <v>377</v>
      </c>
      <c r="D537" t="s">
        <v>1129</v>
      </c>
      <c r="E537" t="s">
        <v>375</v>
      </c>
      <c r="J537" t="s">
        <v>2074</v>
      </c>
      <c r="K537" t="s">
        <v>1272</v>
      </c>
      <c r="L537" t="s">
        <v>2075</v>
      </c>
      <c r="M537" t="s">
        <v>2076</v>
      </c>
      <c r="N537" s="11">
        <v>504060214</v>
      </c>
      <c r="O537" s="2">
        <v>45161</v>
      </c>
      <c r="P537" t="s">
        <v>81</v>
      </c>
      <c r="Q537" s="2">
        <v>34924</v>
      </c>
      <c r="R537" s="3">
        <f>(Tabla1[[#This Row],[FECHA_TRASPLANTE]]-Tabla1[[#This Row],[FECHA_NAC]])/365.25</f>
        <v>28.027378507871322</v>
      </c>
      <c r="T537"/>
      <c r="W537" t="s">
        <v>82</v>
      </c>
      <c r="X537" t="s">
        <v>2077</v>
      </c>
      <c r="AM537" t="s">
        <v>106</v>
      </c>
      <c r="AO537"/>
      <c r="AV537" s="2"/>
      <c r="AZ537"/>
      <c r="BT537" s="2">
        <f>Tabla1[[#This Row],[FECHA_TRASPLANTE]]</f>
        <v>45161</v>
      </c>
      <c r="BU537">
        <f>IF(Tabla1[[#This Row],[FALLECIDO SI/NO]]="NO",0,1)</f>
        <v>0</v>
      </c>
      <c r="BV537" s="3">
        <f ca="1">IF(Tabla1[[#This Row],[FALLECIDO_COD]]=0,TODAY()-Tabla1[[#This Row],[FECHA_TRASPLANTE]],Tabla1[[#This Row],[FECHA DE DEFUNCIÓN]]-Tabla1[[#This Row],[FECHA_TRASPLANTE]])</f>
        <v>714</v>
      </c>
      <c r="BW537" s="3">
        <f ca="1">IF(Tabla1[[#This Row],[FALLECIDO_COD]]=0,TODAY()-Tabla1[[#This Row],[FECHA_TRASPLANTE]],Tabla1[[#This Row],[FECHA DE DEFUNCIÓN]]-Tabla1[[#This Row],[FECHA_TRASPLANTE]])/30.4375</f>
        <v>23.457905544147845</v>
      </c>
      <c r="BX537" s="3">
        <f ca="1">IF(Tabla1[[#This Row],[FALLECIDO_COD]]=0,TODAY()-Tabla1[[#This Row],[FECHA_TRASPLANTE]],Tabla1[[#This Row],[FECHA DE DEFUNCIÓN]]-Tabla1[[#This Row],[FECHA_TRASPLANTE]])/365.25</f>
        <v>1.9548254620123204</v>
      </c>
      <c r="BY537"/>
      <c r="BZ537"/>
    </row>
    <row r="538" spans="1:78" hidden="1" x14ac:dyDescent="0.35">
      <c r="A538" t="s">
        <v>377</v>
      </c>
      <c r="D538" t="s">
        <v>1129</v>
      </c>
      <c r="E538" t="s">
        <v>375</v>
      </c>
      <c r="J538" t="s">
        <v>1174</v>
      </c>
      <c r="K538" t="s">
        <v>2078</v>
      </c>
      <c r="L538" t="s">
        <v>473</v>
      </c>
      <c r="M538" t="s">
        <v>642</v>
      </c>
      <c r="N538" s="11">
        <v>206310351</v>
      </c>
      <c r="O538" s="2">
        <v>45182</v>
      </c>
      <c r="P538" t="s">
        <v>81</v>
      </c>
      <c r="Q538" s="2">
        <v>31861</v>
      </c>
      <c r="R538" s="3">
        <f>(Tabla1[[#This Row],[FECHA_TRASPLANTE]]-Tabla1[[#This Row],[FECHA_NAC]])/365.25</f>
        <v>36.470910335386719</v>
      </c>
      <c r="T538"/>
      <c r="W538" t="s">
        <v>82</v>
      </c>
      <c r="X538" t="s">
        <v>2079</v>
      </c>
      <c r="AM538" t="s">
        <v>106</v>
      </c>
      <c r="AO538"/>
      <c r="AV538" s="2"/>
      <c r="AZ538"/>
      <c r="BT538" s="2">
        <f>Tabla1[[#This Row],[FECHA_TRASPLANTE]]</f>
        <v>45182</v>
      </c>
      <c r="BU538">
        <f>IF(Tabla1[[#This Row],[FALLECIDO SI/NO]]="NO",0,1)</f>
        <v>0</v>
      </c>
      <c r="BV538" s="3">
        <f ca="1">IF(Tabla1[[#This Row],[FALLECIDO_COD]]=0,TODAY()-Tabla1[[#This Row],[FECHA_TRASPLANTE]],Tabla1[[#This Row],[FECHA DE DEFUNCIÓN]]-Tabla1[[#This Row],[FECHA_TRASPLANTE]])</f>
        <v>693</v>
      </c>
      <c r="BW538" s="3">
        <f ca="1">IF(Tabla1[[#This Row],[FALLECIDO_COD]]=0,TODAY()-Tabla1[[#This Row],[FECHA_TRASPLANTE]],Tabla1[[#This Row],[FECHA DE DEFUNCIÓN]]-Tabla1[[#This Row],[FECHA_TRASPLANTE]])/30.4375</f>
        <v>22.767967145790553</v>
      </c>
      <c r="BX538" s="3">
        <f ca="1">IF(Tabla1[[#This Row],[FALLECIDO_COD]]=0,TODAY()-Tabla1[[#This Row],[FECHA_TRASPLANTE]],Tabla1[[#This Row],[FECHA DE DEFUNCIÓN]]-Tabla1[[#This Row],[FECHA_TRASPLANTE]])/365.25</f>
        <v>1.8973305954825461</v>
      </c>
      <c r="BY538"/>
      <c r="BZ538"/>
    </row>
    <row r="539" spans="1:78" hidden="1" x14ac:dyDescent="0.35">
      <c r="A539" t="s">
        <v>377</v>
      </c>
      <c r="D539" t="s">
        <v>1129</v>
      </c>
      <c r="E539" t="s">
        <v>375</v>
      </c>
      <c r="J539" t="s">
        <v>1777</v>
      </c>
      <c r="K539" t="s">
        <v>2080</v>
      </c>
      <c r="L539" t="s">
        <v>1926</v>
      </c>
      <c r="M539" t="s">
        <v>531</v>
      </c>
      <c r="N539" s="11">
        <v>402590963</v>
      </c>
      <c r="O539" s="2">
        <v>45189</v>
      </c>
      <c r="P539" t="s">
        <v>81</v>
      </c>
      <c r="Q539" s="2">
        <v>37762</v>
      </c>
      <c r="R539" s="3">
        <f>(Tabla1[[#This Row],[FECHA_TRASPLANTE]]-Tabla1[[#This Row],[FECHA_NAC]])/365.25</f>
        <v>20.334017796030118</v>
      </c>
      <c r="T539"/>
      <c r="W539" t="s">
        <v>82</v>
      </c>
      <c r="X539" t="s">
        <v>2081</v>
      </c>
      <c r="AM539" t="s">
        <v>106</v>
      </c>
      <c r="AO539"/>
      <c r="AV539" s="2"/>
      <c r="AZ539"/>
      <c r="BT539" s="2">
        <f>Tabla1[[#This Row],[FECHA_TRASPLANTE]]</f>
        <v>45189</v>
      </c>
      <c r="BU539">
        <f>IF(Tabla1[[#This Row],[FALLECIDO SI/NO]]="NO",0,1)</f>
        <v>0</v>
      </c>
      <c r="BV539" s="3">
        <f ca="1">IF(Tabla1[[#This Row],[FALLECIDO_COD]]=0,TODAY()-Tabla1[[#This Row],[FECHA_TRASPLANTE]],Tabla1[[#This Row],[FECHA DE DEFUNCIÓN]]-Tabla1[[#This Row],[FECHA_TRASPLANTE]])</f>
        <v>686</v>
      </c>
      <c r="BW539" s="3">
        <f ca="1">IF(Tabla1[[#This Row],[FALLECIDO_COD]]=0,TODAY()-Tabla1[[#This Row],[FECHA_TRASPLANTE]],Tabla1[[#This Row],[FECHA DE DEFUNCIÓN]]-Tabla1[[#This Row],[FECHA_TRASPLANTE]])/30.4375</f>
        <v>22.537987679671456</v>
      </c>
      <c r="BX539" s="3">
        <f ca="1">IF(Tabla1[[#This Row],[FALLECIDO_COD]]=0,TODAY()-Tabla1[[#This Row],[FECHA_TRASPLANTE]],Tabla1[[#This Row],[FECHA DE DEFUNCIÓN]]-Tabla1[[#This Row],[FECHA_TRASPLANTE]])/365.25</f>
        <v>1.8781656399726214</v>
      </c>
      <c r="BY539"/>
      <c r="BZ539"/>
    </row>
    <row r="540" spans="1:78" hidden="1" x14ac:dyDescent="0.35">
      <c r="A540" t="s">
        <v>1125</v>
      </c>
      <c r="B540" t="s">
        <v>1125</v>
      </c>
      <c r="C540" t="s">
        <v>1334</v>
      </c>
      <c r="D540" t="s">
        <v>1129</v>
      </c>
      <c r="E540" t="s">
        <v>375</v>
      </c>
      <c r="G540" t="s">
        <v>200</v>
      </c>
      <c r="H540" s="2">
        <v>29114.25</v>
      </c>
      <c r="I540">
        <v>44.010951403148532</v>
      </c>
      <c r="J540" t="s">
        <v>1800</v>
      </c>
      <c r="K540" t="s">
        <v>2082</v>
      </c>
      <c r="L540" t="s">
        <v>2083</v>
      </c>
      <c r="M540" t="s">
        <v>118</v>
      </c>
      <c r="N540" s="11">
        <v>401410198</v>
      </c>
      <c r="O540" s="2">
        <v>45189.25</v>
      </c>
      <c r="P540" t="s">
        <v>81</v>
      </c>
      <c r="Q540" s="2">
        <v>24148.25</v>
      </c>
      <c r="R540" s="3">
        <f>(Tabla1[[#This Row],[FECHA_TRASPLANTE]]-Tabla1[[#This Row],[FECHA_NAC]])/365.25</f>
        <v>57.607118412046546</v>
      </c>
      <c r="S540" t="s">
        <v>200</v>
      </c>
      <c r="T540">
        <v>45148</v>
      </c>
      <c r="U540" t="s">
        <v>1348</v>
      </c>
      <c r="V540" t="s">
        <v>1824</v>
      </c>
      <c r="W540" t="s">
        <v>82</v>
      </c>
      <c r="X540" t="s">
        <v>261</v>
      </c>
      <c r="Y540" t="s">
        <v>1036</v>
      </c>
      <c r="Z540" t="s">
        <v>1036</v>
      </c>
      <c r="AA540">
        <v>0.56000000000000005</v>
      </c>
      <c r="AD540">
        <v>3</v>
      </c>
      <c r="AF540" t="s">
        <v>375</v>
      </c>
      <c r="AG540" t="s">
        <v>375</v>
      </c>
      <c r="AH540" t="s">
        <v>375</v>
      </c>
      <c r="AI540" t="s">
        <v>375</v>
      </c>
      <c r="AM540" t="s">
        <v>106</v>
      </c>
      <c r="AO540" t="s">
        <v>1334</v>
      </c>
      <c r="AQ540" t="s">
        <v>358</v>
      </c>
      <c r="AR540" t="s">
        <v>358</v>
      </c>
      <c r="AV540" s="2" t="s">
        <v>1334</v>
      </c>
      <c r="AY540" t="s">
        <v>106</v>
      </c>
      <c r="AZ540"/>
      <c r="BA540" t="s">
        <v>2003</v>
      </c>
      <c r="BB540">
        <v>2.04</v>
      </c>
      <c r="BC540">
        <v>54.7</v>
      </c>
      <c r="BD540" t="s">
        <v>106</v>
      </c>
      <c r="BH540" t="s">
        <v>106</v>
      </c>
      <c r="BI540" t="s">
        <v>106</v>
      </c>
      <c r="BJ540" t="s">
        <v>1334</v>
      </c>
      <c r="BL540" t="s">
        <v>106</v>
      </c>
      <c r="BM540" t="s">
        <v>1334</v>
      </c>
      <c r="BN540" t="s">
        <v>1334</v>
      </c>
      <c r="BO540">
        <v>110480162</v>
      </c>
      <c r="BP540" t="s">
        <v>90</v>
      </c>
      <c r="BQ540" t="s">
        <v>1849</v>
      </c>
      <c r="BR540" t="s">
        <v>1854</v>
      </c>
      <c r="BS540" t="s">
        <v>1855</v>
      </c>
      <c r="BT540" s="2">
        <f>Tabla1[[#This Row],[FECHA_TRASPLANTE]]</f>
        <v>45189.25</v>
      </c>
      <c r="BU540">
        <f>IF(Tabla1[[#This Row],[FALLECIDO SI/NO]]="NO",0,1)</f>
        <v>0</v>
      </c>
      <c r="BV540" s="3">
        <f ca="1">IF(Tabla1[[#This Row],[FALLECIDO_COD]]=0,TODAY()-Tabla1[[#This Row],[FECHA_TRASPLANTE]],Tabla1[[#This Row],[FECHA DE DEFUNCIÓN]]-Tabla1[[#This Row],[FECHA_TRASPLANTE]])</f>
        <v>685.75</v>
      </c>
      <c r="BW540" s="3">
        <f ca="1">IF(Tabla1[[#This Row],[FALLECIDO_COD]]=0,TODAY()-Tabla1[[#This Row],[FECHA_TRASPLANTE]],Tabla1[[#This Row],[FECHA DE DEFUNCIÓN]]-Tabla1[[#This Row],[FECHA_TRASPLANTE]])/30.4375</f>
        <v>22.529774127310063</v>
      </c>
      <c r="BX540" s="3">
        <f ca="1">IF(Tabla1[[#This Row],[FALLECIDO_COD]]=0,TODAY()-Tabla1[[#This Row],[FECHA_TRASPLANTE]],Tabla1[[#This Row],[FECHA DE DEFUNCIÓN]]-Tabla1[[#This Row],[FECHA_TRASPLANTE]])/365.25</f>
        <v>1.8774811772758384</v>
      </c>
      <c r="BY540"/>
      <c r="BZ540"/>
    </row>
    <row r="541" spans="1:78" hidden="1" x14ac:dyDescent="0.35">
      <c r="A541" t="s">
        <v>377</v>
      </c>
      <c r="D541" t="s">
        <v>1129</v>
      </c>
      <c r="E541" t="s">
        <v>375</v>
      </c>
      <c r="J541" t="s">
        <v>1173</v>
      </c>
      <c r="K541" t="s">
        <v>2084</v>
      </c>
      <c r="L541" t="s">
        <v>132</v>
      </c>
      <c r="M541" t="s">
        <v>1041</v>
      </c>
      <c r="N541" s="11">
        <v>504400238</v>
      </c>
      <c r="O541" s="2">
        <v>45196</v>
      </c>
      <c r="P541" t="s">
        <v>81</v>
      </c>
      <c r="Q541" s="2">
        <v>37141</v>
      </c>
      <c r="R541" s="3">
        <f>(Tabla1[[#This Row],[FECHA_TRASPLANTE]]-Tabla1[[#This Row],[FECHA_NAC]])/365.25</f>
        <v>22.053388090349078</v>
      </c>
      <c r="T541"/>
      <c r="W541" t="s">
        <v>82</v>
      </c>
      <c r="X541" t="s">
        <v>2001</v>
      </c>
      <c r="AM541" t="s">
        <v>106</v>
      </c>
      <c r="AO541"/>
      <c r="AV541" s="2"/>
      <c r="AZ541"/>
      <c r="BT541" s="2">
        <f>Tabla1[[#This Row],[FECHA_TRASPLANTE]]</f>
        <v>45196</v>
      </c>
      <c r="BU541">
        <f>IF(Tabla1[[#This Row],[FALLECIDO SI/NO]]="NO",0,1)</f>
        <v>0</v>
      </c>
      <c r="BV541" s="3">
        <f ca="1">IF(Tabla1[[#This Row],[FALLECIDO_COD]]=0,TODAY()-Tabla1[[#This Row],[FECHA_TRASPLANTE]],Tabla1[[#This Row],[FECHA DE DEFUNCIÓN]]-Tabla1[[#This Row],[FECHA_TRASPLANTE]])</f>
        <v>679</v>
      </c>
      <c r="BW541" s="3">
        <f ca="1">IF(Tabla1[[#This Row],[FALLECIDO_COD]]=0,TODAY()-Tabla1[[#This Row],[FECHA_TRASPLANTE]],Tabla1[[#This Row],[FECHA DE DEFUNCIÓN]]-Tabla1[[#This Row],[FECHA_TRASPLANTE]])/30.4375</f>
        <v>22.308008213552363</v>
      </c>
      <c r="BX541" s="3">
        <f ca="1">IF(Tabla1[[#This Row],[FALLECIDO_COD]]=0,TODAY()-Tabla1[[#This Row],[FECHA_TRASPLANTE]],Tabla1[[#This Row],[FECHA DE DEFUNCIÓN]]-Tabla1[[#This Row],[FECHA_TRASPLANTE]])/365.25</f>
        <v>1.8590006844626967</v>
      </c>
      <c r="BY541"/>
      <c r="BZ541"/>
    </row>
    <row r="542" spans="1:78" hidden="1" x14ac:dyDescent="0.35">
      <c r="A542" t="s">
        <v>1126</v>
      </c>
      <c r="B542" t="s">
        <v>1126</v>
      </c>
      <c r="D542" t="s">
        <v>1333</v>
      </c>
      <c r="E542" t="s">
        <v>375</v>
      </c>
      <c r="F542" t="s">
        <v>106</v>
      </c>
      <c r="G542" t="s">
        <v>200</v>
      </c>
      <c r="H542" s="2">
        <v>34042.25</v>
      </c>
      <c r="I542">
        <v>30.551676933607119</v>
      </c>
      <c r="J542" t="s">
        <v>746</v>
      </c>
      <c r="N542" s="11">
        <v>304900958</v>
      </c>
      <c r="O542" s="2">
        <v>45201.25</v>
      </c>
      <c r="P542" t="s">
        <v>81</v>
      </c>
      <c r="Q542" s="2">
        <v>35022.25</v>
      </c>
      <c r="R542" s="3">
        <f>(Tabla1[[#This Row],[FECHA_TRASPLANTE]]-Tabla1[[#This Row],[FECHA_NAC]])/365.25</f>
        <v>27.868583162217661</v>
      </c>
      <c r="S542" t="s">
        <v>210</v>
      </c>
      <c r="U542" t="s">
        <v>2085</v>
      </c>
      <c r="V542" t="s">
        <v>1566</v>
      </c>
      <c r="W542" t="s">
        <v>82</v>
      </c>
      <c r="X542" t="s">
        <v>110</v>
      </c>
      <c r="Y542" t="s">
        <v>340</v>
      </c>
      <c r="Z542" t="s">
        <v>340</v>
      </c>
      <c r="AD542">
        <v>0</v>
      </c>
      <c r="AF542" t="s">
        <v>375</v>
      </c>
      <c r="AG542" t="s">
        <v>375</v>
      </c>
      <c r="AH542" t="s">
        <v>375</v>
      </c>
      <c r="AI542" t="s">
        <v>375</v>
      </c>
      <c r="AM542" t="s">
        <v>106</v>
      </c>
      <c r="AN542" s="2" t="s">
        <v>762</v>
      </c>
      <c r="AO542" s="2" t="s">
        <v>762</v>
      </c>
      <c r="AQ542" t="s">
        <v>358</v>
      </c>
      <c r="AR542" s="2" t="s">
        <v>358</v>
      </c>
      <c r="AS542" s="2"/>
      <c r="AV542" s="2" t="s">
        <v>762</v>
      </c>
      <c r="AY542" t="s">
        <v>106</v>
      </c>
      <c r="AZ542"/>
      <c r="BA542" t="s">
        <v>1812</v>
      </c>
      <c r="BB542">
        <v>1.49</v>
      </c>
      <c r="BC542">
        <v>65</v>
      </c>
      <c r="BD542" t="s">
        <v>86</v>
      </c>
      <c r="BE542">
        <v>45544</v>
      </c>
      <c r="BF542" t="s">
        <v>1816</v>
      </c>
      <c r="BG542" t="s">
        <v>2086</v>
      </c>
      <c r="BH542" t="s">
        <v>86</v>
      </c>
      <c r="BI542" t="s">
        <v>106</v>
      </c>
      <c r="BL542" t="s">
        <v>106</v>
      </c>
      <c r="BT542" s="2">
        <f>Tabla1[[#This Row],[FECHA_TRASPLANTE]]</f>
        <v>45201.25</v>
      </c>
      <c r="BU542">
        <f>IF(Tabla1[[#This Row],[FALLECIDO SI/NO]]="NO",0,1)</f>
        <v>0</v>
      </c>
      <c r="BV542" s="3">
        <f ca="1">IF(Tabla1[[#This Row],[FALLECIDO_COD]]=0,TODAY()-Tabla1[[#This Row],[FECHA_TRASPLANTE]],Tabla1[[#This Row],[FECHA DE DEFUNCIÓN]]-Tabla1[[#This Row],[FECHA_TRASPLANTE]])</f>
        <v>673.75</v>
      </c>
      <c r="BW542" s="3">
        <f ca="1">IF(Tabla1[[#This Row],[FALLECIDO_COD]]=0,TODAY()-Tabla1[[#This Row],[FECHA_TRASPLANTE]],Tabla1[[#This Row],[FECHA DE DEFUNCIÓN]]-Tabla1[[#This Row],[FECHA_TRASPLANTE]])/30.4375</f>
        <v>22.135523613963038</v>
      </c>
      <c r="BX542" s="3">
        <f ca="1">IF(Tabla1[[#This Row],[FALLECIDO_COD]]=0,TODAY()-Tabla1[[#This Row],[FECHA_TRASPLANTE]],Tabla1[[#This Row],[FECHA DE DEFUNCIÓN]]-Tabla1[[#This Row],[FECHA_TRASPLANTE]])/365.25</f>
        <v>1.8446269678302532</v>
      </c>
      <c r="BY542"/>
      <c r="BZ542"/>
    </row>
    <row r="543" spans="1:78" hidden="1" x14ac:dyDescent="0.35">
      <c r="A543" t="s">
        <v>75</v>
      </c>
      <c r="B543" t="s">
        <v>1828</v>
      </c>
      <c r="C543" t="s">
        <v>2087</v>
      </c>
      <c r="D543" t="s">
        <v>1129</v>
      </c>
      <c r="E543" t="s">
        <v>77</v>
      </c>
      <c r="H543" s="2">
        <v>30052</v>
      </c>
      <c r="I543">
        <v>42</v>
      </c>
      <c r="K543" t="s">
        <v>2088</v>
      </c>
      <c r="L543" t="s">
        <v>203</v>
      </c>
      <c r="M543" t="s">
        <v>228</v>
      </c>
      <c r="N543" s="11">
        <v>104660890</v>
      </c>
      <c r="O543" s="16">
        <v>45209.25</v>
      </c>
      <c r="P543" t="s">
        <v>90</v>
      </c>
      <c r="Q543" s="2">
        <v>20594</v>
      </c>
      <c r="R543" s="3">
        <f>(Tabla1[[#This Row],[FECHA_TRASPLANTE]]-Tabla1[[#This Row],[FECHA_NAC]])/365.25</f>
        <v>67.392881587953454</v>
      </c>
      <c r="S543" t="s">
        <v>200</v>
      </c>
      <c r="T543"/>
      <c r="U543" t="s">
        <v>1992</v>
      </c>
      <c r="V543" t="s">
        <v>1824</v>
      </c>
      <c r="W543" t="s">
        <v>82</v>
      </c>
      <c r="X543" t="s">
        <v>91</v>
      </c>
      <c r="Y543" t="s">
        <v>161</v>
      </c>
      <c r="Z543" t="s">
        <v>234</v>
      </c>
      <c r="AD543">
        <v>9</v>
      </c>
      <c r="AF543" t="s">
        <v>978</v>
      </c>
      <c r="AG543" t="s">
        <v>978</v>
      </c>
      <c r="AH543" t="s">
        <v>2089</v>
      </c>
      <c r="AM543" t="s">
        <v>86</v>
      </c>
      <c r="AN543" s="2">
        <v>45368</v>
      </c>
      <c r="AO543" t="s">
        <v>2090</v>
      </c>
      <c r="AP543" t="s">
        <v>86</v>
      </c>
      <c r="AQ543" t="s">
        <v>358</v>
      </c>
      <c r="AV543" s="2"/>
      <c r="AY543" t="s">
        <v>106</v>
      </c>
      <c r="BJ543" s="2"/>
      <c r="BO543">
        <v>1820105579</v>
      </c>
      <c r="BP543" t="s">
        <v>81</v>
      </c>
      <c r="BQ543" t="s">
        <v>2091</v>
      </c>
      <c r="BT543" s="2">
        <f>Tabla1[[#This Row],[FECHA_TRASPLANTE]]</f>
        <v>45209.25</v>
      </c>
      <c r="BU543">
        <f>IF(Tabla1[[#This Row],[FALLECIDO SI/NO]]="NO",0,1)</f>
        <v>1</v>
      </c>
      <c r="BV543" s="3">
        <f ca="1">IF(Tabla1[[#This Row],[FALLECIDO_COD]]=0,TODAY()-Tabla1[[#This Row],[FECHA_TRASPLANTE]],Tabla1[[#This Row],[FECHA DE DEFUNCIÓN]]-Tabla1[[#This Row],[FECHA_TRASPLANTE]])</f>
        <v>158.75</v>
      </c>
      <c r="BW543" s="3">
        <f ca="1">IF(Tabla1[[#This Row],[FALLECIDO_COD]]=0,TODAY()-Tabla1[[#This Row],[FECHA_TRASPLANTE]],Tabla1[[#This Row],[FECHA DE DEFUNCIÓN]]-Tabla1[[#This Row],[FECHA_TRASPLANTE]])/30.4375</f>
        <v>5.2156057494866532</v>
      </c>
      <c r="BX543" s="3">
        <f ca="1">IF(Tabla1[[#This Row],[FALLECIDO_COD]]=0,TODAY()-Tabla1[[#This Row],[FECHA_TRASPLANTE]],Tabla1[[#This Row],[FECHA DE DEFUNCIÓN]]-Tabla1[[#This Row],[FECHA_TRASPLANTE]])/365.25</f>
        <v>0.4346338124572211</v>
      </c>
      <c r="BY543"/>
      <c r="BZ543"/>
    </row>
    <row r="544" spans="1:78" hidden="1" x14ac:dyDescent="0.35">
      <c r="A544" t="s">
        <v>376</v>
      </c>
      <c r="B544" t="s">
        <v>376</v>
      </c>
      <c r="C544" t="s">
        <v>2092</v>
      </c>
      <c r="D544" t="s">
        <v>1129</v>
      </c>
      <c r="E544" t="s">
        <v>77</v>
      </c>
      <c r="G544" t="s">
        <v>200</v>
      </c>
      <c r="H544" s="2" t="s">
        <v>1819</v>
      </c>
      <c r="I544">
        <v>34</v>
      </c>
      <c r="J544" t="s">
        <v>1820</v>
      </c>
      <c r="K544" t="s">
        <v>2093</v>
      </c>
      <c r="L544" t="s">
        <v>141</v>
      </c>
      <c r="M544" t="s">
        <v>448</v>
      </c>
      <c r="N544" s="11">
        <v>209130456</v>
      </c>
      <c r="O544" s="2">
        <v>45209.25</v>
      </c>
      <c r="P544" t="s">
        <v>81</v>
      </c>
      <c r="Q544" s="2">
        <v>39817</v>
      </c>
      <c r="R544" s="3">
        <f>(Tabla1[[#This Row],[FECHA_TRASPLANTE]]-Tabla1[[#This Row],[FECHA_NAC]])/365.25</f>
        <v>14.763175906913073</v>
      </c>
      <c r="S544" t="s">
        <v>200</v>
      </c>
      <c r="T544"/>
      <c r="U544" t="s">
        <v>2094</v>
      </c>
      <c r="V544" t="s">
        <v>1838</v>
      </c>
      <c r="W544" t="s">
        <v>82</v>
      </c>
      <c r="X544" t="s">
        <v>115</v>
      </c>
      <c r="Y544" t="s">
        <v>1636</v>
      </c>
      <c r="Z544" t="s">
        <v>311</v>
      </c>
      <c r="AD544">
        <v>0</v>
      </c>
      <c r="AF544" t="s">
        <v>816</v>
      </c>
      <c r="AG544" t="s">
        <v>816</v>
      </c>
      <c r="AH544" t="s">
        <v>816</v>
      </c>
      <c r="AI544" t="s">
        <v>816</v>
      </c>
      <c r="AJ544" t="s">
        <v>816</v>
      </c>
      <c r="AK544" t="s">
        <v>816</v>
      </c>
      <c r="AM544" t="s">
        <v>106</v>
      </c>
      <c r="AO544"/>
      <c r="AQ544" t="s">
        <v>358</v>
      </c>
      <c r="AV544" s="2"/>
      <c r="AY544" t="s">
        <v>106</v>
      </c>
      <c r="AZ544"/>
      <c r="BO544" t="s">
        <v>1979</v>
      </c>
      <c r="BP544" t="s">
        <v>90</v>
      </c>
      <c r="BQ544" t="s">
        <v>82</v>
      </c>
      <c r="BS544" t="s">
        <v>1888</v>
      </c>
      <c r="BT544" s="2">
        <f>Tabla1[[#This Row],[FECHA_TRASPLANTE]]</f>
        <v>45209.25</v>
      </c>
      <c r="BU544">
        <f>IF(Tabla1[[#This Row],[FALLECIDO SI/NO]]="NO",0,1)</f>
        <v>0</v>
      </c>
      <c r="BV544" s="3">
        <f ca="1">IF(Tabla1[[#This Row],[FALLECIDO_COD]]=0,TODAY()-Tabla1[[#This Row],[FECHA_TRASPLANTE]],Tabla1[[#This Row],[FECHA DE DEFUNCIÓN]]-Tabla1[[#This Row],[FECHA_TRASPLANTE]])</f>
        <v>665.75</v>
      </c>
      <c r="BW544" s="3">
        <f ca="1">IF(Tabla1[[#This Row],[FALLECIDO_COD]]=0,TODAY()-Tabla1[[#This Row],[FECHA_TRASPLANTE]],Tabla1[[#This Row],[FECHA DE DEFUNCIÓN]]-Tabla1[[#This Row],[FECHA_TRASPLANTE]])/30.4375</f>
        <v>21.872689938398356</v>
      </c>
      <c r="BX544" s="3">
        <f ca="1">IF(Tabla1[[#This Row],[FALLECIDO_COD]]=0,TODAY()-Tabla1[[#This Row],[FECHA_TRASPLANTE]],Tabla1[[#This Row],[FECHA DE DEFUNCIÓN]]-Tabla1[[#This Row],[FECHA_TRASPLANTE]])/365.25</f>
        <v>1.8227241615331964</v>
      </c>
      <c r="BY544"/>
      <c r="BZ544"/>
    </row>
    <row r="545" spans="1:78" hidden="1" x14ac:dyDescent="0.35">
      <c r="A545" t="s">
        <v>75</v>
      </c>
      <c r="B545" t="s">
        <v>1828</v>
      </c>
      <c r="C545" t="s">
        <v>2095</v>
      </c>
      <c r="D545" t="s">
        <v>1129</v>
      </c>
      <c r="E545" t="s">
        <v>77</v>
      </c>
      <c r="H545" s="2">
        <v>33230</v>
      </c>
      <c r="I545">
        <v>32</v>
      </c>
      <c r="K545" t="s">
        <v>2096</v>
      </c>
      <c r="L545" t="s">
        <v>531</v>
      </c>
      <c r="M545" t="s">
        <v>109</v>
      </c>
      <c r="N545" s="11">
        <v>109100512</v>
      </c>
      <c r="O545" s="16">
        <v>45237.25</v>
      </c>
      <c r="P545" t="s">
        <v>90</v>
      </c>
      <c r="Q545" s="2">
        <v>27536</v>
      </c>
      <c r="R545" s="3">
        <f>(Tabla1[[#This Row],[FECHA_TRASPLANTE]]-Tabla1[[#This Row],[FECHA_NAC]])/365.25</f>
        <v>48.463381245722111</v>
      </c>
      <c r="S545" t="s">
        <v>205</v>
      </c>
      <c r="T545"/>
      <c r="U545" t="s">
        <v>1992</v>
      </c>
      <c r="V545" t="s">
        <v>1824</v>
      </c>
      <c r="W545" t="s">
        <v>82</v>
      </c>
      <c r="X545" t="s">
        <v>91</v>
      </c>
      <c r="Y545" t="s">
        <v>84</v>
      </c>
      <c r="Z545" t="s">
        <v>457</v>
      </c>
      <c r="AD545">
        <v>9</v>
      </c>
      <c r="AF545" t="s">
        <v>978</v>
      </c>
      <c r="AG545" t="s">
        <v>978</v>
      </c>
      <c r="AH545" t="s">
        <v>978</v>
      </c>
      <c r="AM545" t="s">
        <v>106</v>
      </c>
      <c r="AO545"/>
      <c r="AQ545" t="s">
        <v>358</v>
      </c>
      <c r="AV545" s="2"/>
      <c r="AY545" t="s">
        <v>106</v>
      </c>
      <c r="AZ545"/>
      <c r="BJ545" s="2"/>
      <c r="BO545">
        <v>114550039</v>
      </c>
      <c r="BP545" t="s">
        <v>81</v>
      </c>
      <c r="BQ545" t="s">
        <v>82</v>
      </c>
      <c r="BT545" s="2">
        <f>Tabla1[[#This Row],[FECHA_TRASPLANTE]]</f>
        <v>45237.25</v>
      </c>
      <c r="BU545">
        <f>IF(Tabla1[[#This Row],[FALLECIDO SI/NO]]="NO",0,1)</f>
        <v>0</v>
      </c>
      <c r="BV545" s="3">
        <f ca="1">IF(Tabla1[[#This Row],[FALLECIDO_COD]]=0,TODAY()-Tabla1[[#This Row],[FECHA_TRASPLANTE]],Tabla1[[#This Row],[FECHA DE DEFUNCIÓN]]-Tabla1[[#This Row],[FECHA_TRASPLANTE]])</f>
        <v>637.75</v>
      </c>
      <c r="BW545" s="3">
        <f ca="1">IF(Tabla1[[#This Row],[FALLECIDO_COD]]=0,TODAY()-Tabla1[[#This Row],[FECHA_TRASPLANTE]],Tabla1[[#This Row],[FECHA DE DEFUNCIÓN]]-Tabla1[[#This Row],[FECHA_TRASPLANTE]])/30.4375</f>
        <v>20.95277207392197</v>
      </c>
      <c r="BX545" s="3">
        <f ca="1">IF(Tabla1[[#This Row],[FALLECIDO_COD]]=0,TODAY()-Tabla1[[#This Row],[FECHA_TRASPLANTE]],Tabla1[[#This Row],[FECHA DE DEFUNCIÓN]]-Tabla1[[#This Row],[FECHA_TRASPLANTE]])/365.25</f>
        <v>1.7460643394934976</v>
      </c>
      <c r="BY545"/>
      <c r="BZ545"/>
    </row>
    <row r="546" spans="1:78" hidden="1" x14ac:dyDescent="0.35">
      <c r="A546" t="s">
        <v>1126</v>
      </c>
      <c r="B546" t="s">
        <v>1126</v>
      </c>
      <c r="C546" t="s">
        <v>2097</v>
      </c>
      <c r="D546" t="s">
        <v>1333</v>
      </c>
      <c r="E546" t="s">
        <v>77</v>
      </c>
      <c r="F546" t="s">
        <v>86</v>
      </c>
      <c r="G546" t="s">
        <v>205</v>
      </c>
      <c r="I546">
        <v>123.85284052019165</v>
      </c>
      <c r="J546" t="s">
        <v>1919</v>
      </c>
      <c r="N546" s="11">
        <v>108420982</v>
      </c>
      <c r="O546" s="2">
        <v>45237.25</v>
      </c>
      <c r="P546" t="s">
        <v>1669</v>
      </c>
      <c r="Q546" s="2">
        <v>26637.25</v>
      </c>
      <c r="R546" s="3">
        <f>(Tabla1[[#This Row],[FECHA_TRASPLANTE]]-Tabla1[[#This Row],[FECHA_NAC]])/365.25</f>
        <v>50.924024640657088</v>
      </c>
      <c r="S546" t="s">
        <v>205</v>
      </c>
      <c r="U546" t="s">
        <v>1907</v>
      </c>
      <c r="V546" t="s">
        <v>1566</v>
      </c>
      <c r="W546" t="s">
        <v>82</v>
      </c>
      <c r="X546" t="s">
        <v>110</v>
      </c>
      <c r="Y546" t="s">
        <v>801</v>
      </c>
      <c r="Z546" t="s">
        <v>311</v>
      </c>
      <c r="AD546">
        <v>0</v>
      </c>
      <c r="AF546" t="s">
        <v>375</v>
      </c>
      <c r="AG546" t="s">
        <v>375</v>
      </c>
      <c r="AH546" t="s">
        <v>375</v>
      </c>
      <c r="AI546" t="s">
        <v>375</v>
      </c>
      <c r="AM546" t="s">
        <v>106</v>
      </c>
      <c r="AN546" s="2" t="s">
        <v>762</v>
      </c>
      <c r="AO546" s="2" t="s">
        <v>762</v>
      </c>
      <c r="AQ546" t="s">
        <v>358</v>
      </c>
      <c r="AR546" s="2" t="s">
        <v>358</v>
      </c>
      <c r="AS546" s="2"/>
      <c r="AV546" s="2" t="s">
        <v>762</v>
      </c>
      <c r="AY546" t="s">
        <v>106</v>
      </c>
      <c r="AZ546"/>
      <c r="BA546" t="s">
        <v>1552</v>
      </c>
      <c r="BB546">
        <v>1.59</v>
      </c>
      <c r="BC546">
        <v>52</v>
      </c>
      <c r="BD546" t="s">
        <v>86</v>
      </c>
      <c r="BE546">
        <v>45261</v>
      </c>
      <c r="BF546" t="s">
        <v>1905</v>
      </c>
      <c r="BG546" t="s">
        <v>2098</v>
      </c>
      <c r="BH546" t="s">
        <v>86</v>
      </c>
      <c r="BI546" t="s">
        <v>106</v>
      </c>
      <c r="BL546" t="s">
        <v>106</v>
      </c>
      <c r="BT546" s="2">
        <f>Tabla1[[#This Row],[FECHA_TRASPLANTE]]</f>
        <v>45237.25</v>
      </c>
      <c r="BU546">
        <f>IF(Tabla1[[#This Row],[FALLECIDO SI/NO]]="NO",0,1)</f>
        <v>0</v>
      </c>
      <c r="BV546" s="3">
        <f ca="1">IF(Tabla1[[#This Row],[FALLECIDO_COD]]=0,TODAY()-Tabla1[[#This Row],[FECHA_TRASPLANTE]],Tabla1[[#This Row],[FECHA DE DEFUNCIÓN]]-Tabla1[[#This Row],[FECHA_TRASPLANTE]])</f>
        <v>637.75</v>
      </c>
      <c r="BW546" s="3">
        <f ca="1">IF(Tabla1[[#This Row],[FALLECIDO_COD]]=0,TODAY()-Tabla1[[#This Row],[FECHA_TRASPLANTE]],Tabla1[[#This Row],[FECHA DE DEFUNCIÓN]]-Tabla1[[#This Row],[FECHA_TRASPLANTE]])/30.4375</f>
        <v>20.95277207392197</v>
      </c>
      <c r="BX546" s="3">
        <f ca="1">IF(Tabla1[[#This Row],[FALLECIDO_COD]]=0,TODAY()-Tabla1[[#This Row],[FECHA_TRASPLANTE]],Tabla1[[#This Row],[FECHA DE DEFUNCIÓN]]-Tabla1[[#This Row],[FECHA_TRASPLANTE]])/365.25</f>
        <v>1.7460643394934976</v>
      </c>
      <c r="BY546"/>
      <c r="BZ546"/>
    </row>
    <row r="547" spans="1:78" hidden="1" x14ac:dyDescent="0.35">
      <c r="A547" t="s">
        <v>377</v>
      </c>
      <c r="D547" t="s">
        <v>1129</v>
      </c>
      <c r="E547" t="s">
        <v>77</v>
      </c>
      <c r="J547" t="s">
        <v>2099</v>
      </c>
      <c r="K547" t="s">
        <v>2100</v>
      </c>
      <c r="L547" t="s">
        <v>474</v>
      </c>
      <c r="M547" t="s">
        <v>269</v>
      </c>
      <c r="N547" s="11">
        <v>204330346</v>
      </c>
      <c r="O547" s="2">
        <v>45244</v>
      </c>
      <c r="P547" t="s">
        <v>90</v>
      </c>
      <c r="Q547" s="2">
        <v>24727</v>
      </c>
      <c r="R547" s="3">
        <f>(Tabla1[[#This Row],[FECHA_TRASPLANTE]]-Tabla1[[#This Row],[FECHA_NAC]])/365.25</f>
        <v>56.172484599589325</v>
      </c>
      <c r="T547"/>
      <c r="W547" t="s">
        <v>82</v>
      </c>
      <c r="X547" t="s">
        <v>2101</v>
      </c>
      <c r="AM547" t="s">
        <v>106</v>
      </c>
      <c r="AO547"/>
      <c r="AV547" s="2"/>
      <c r="AZ547"/>
      <c r="BT547" s="2">
        <f>Tabla1[[#This Row],[FECHA_TRASPLANTE]]</f>
        <v>45244</v>
      </c>
      <c r="BU547">
        <f>IF(Tabla1[[#This Row],[FALLECIDO SI/NO]]="NO",0,1)</f>
        <v>0</v>
      </c>
      <c r="BV547" s="3">
        <f ca="1">IF(Tabla1[[#This Row],[FALLECIDO_COD]]=0,TODAY()-Tabla1[[#This Row],[FECHA_TRASPLANTE]],Tabla1[[#This Row],[FECHA DE DEFUNCIÓN]]-Tabla1[[#This Row],[FECHA_TRASPLANTE]])</f>
        <v>631</v>
      </c>
      <c r="BW547" s="3">
        <f ca="1">IF(Tabla1[[#This Row],[FALLECIDO_COD]]=0,TODAY()-Tabla1[[#This Row],[FECHA_TRASPLANTE]],Tabla1[[#This Row],[FECHA DE DEFUNCIÓN]]-Tabla1[[#This Row],[FECHA_TRASPLANTE]])/30.4375</f>
        <v>20.73100616016427</v>
      </c>
      <c r="BX547" s="3">
        <f ca="1">IF(Tabla1[[#This Row],[FALLECIDO_COD]]=0,TODAY()-Tabla1[[#This Row],[FECHA_TRASPLANTE]],Tabla1[[#This Row],[FECHA DE DEFUNCIÓN]]-Tabla1[[#This Row],[FECHA_TRASPLANTE]])/365.25</f>
        <v>1.7275838466803559</v>
      </c>
      <c r="BY547"/>
      <c r="BZ547"/>
    </row>
    <row r="548" spans="1:78" hidden="1" x14ac:dyDescent="0.35">
      <c r="A548" t="s">
        <v>1126</v>
      </c>
      <c r="B548" t="s">
        <v>1126</v>
      </c>
      <c r="D548" t="s">
        <v>1333</v>
      </c>
      <c r="E548" t="s">
        <v>77</v>
      </c>
      <c r="F548" t="s">
        <v>86</v>
      </c>
      <c r="G548" t="s">
        <v>200</v>
      </c>
      <c r="I548">
        <v>123.87132101300479</v>
      </c>
      <c r="J548" t="s">
        <v>1919</v>
      </c>
      <c r="N548" s="11">
        <v>502690849</v>
      </c>
      <c r="O548" s="2">
        <v>45244</v>
      </c>
      <c r="P548" t="s">
        <v>1669</v>
      </c>
      <c r="Q548" s="2">
        <v>24951</v>
      </c>
      <c r="R548" s="3">
        <f>(Tabla1[[#This Row],[FECHA_TRASPLANTE]]-Tabla1[[#This Row],[FECHA_NAC]])/365.25</f>
        <v>55.559206023271734</v>
      </c>
      <c r="S548" t="s">
        <v>200</v>
      </c>
      <c r="U548" t="s">
        <v>1925</v>
      </c>
      <c r="V548" t="s">
        <v>1551</v>
      </c>
      <c r="W548" t="s">
        <v>82</v>
      </c>
      <c r="X548" t="s">
        <v>110</v>
      </c>
      <c r="Y548" t="s">
        <v>196</v>
      </c>
      <c r="Z548" t="s">
        <v>797</v>
      </c>
      <c r="AD548">
        <v>0</v>
      </c>
      <c r="AF548" t="s">
        <v>375</v>
      </c>
      <c r="AG548" t="s">
        <v>375</v>
      </c>
      <c r="AH548" t="s">
        <v>375</v>
      </c>
      <c r="AI548" t="s">
        <v>375</v>
      </c>
      <c r="AM548" t="s">
        <v>106</v>
      </c>
      <c r="AN548" s="2" t="s">
        <v>762</v>
      </c>
      <c r="AO548" s="2" t="s">
        <v>762</v>
      </c>
      <c r="AQ548" t="s">
        <v>772</v>
      </c>
      <c r="AR548" s="2" t="s">
        <v>772</v>
      </c>
      <c r="AS548" s="2"/>
      <c r="AV548" s="2">
        <v>45245</v>
      </c>
      <c r="AW548" t="s">
        <v>2102</v>
      </c>
      <c r="AX548" t="s">
        <v>1569</v>
      </c>
      <c r="AY548" t="s">
        <v>106</v>
      </c>
      <c r="AZ548"/>
      <c r="BA548" t="s">
        <v>1552</v>
      </c>
      <c r="BB548">
        <v>10.4</v>
      </c>
      <c r="BC548">
        <v>4</v>
      </c>
      <c r="BD548" t="s">
        <v>86</v>
      </c>
      <c r="BE548">
        <v>45245</v>
      </c>
      <c r="BF548" t="s">
        <v>1905</v>
      </c>
      <c r="BG548" t="s">
        <v>2103</v>
      </c>
      <c r="BH548" t="s">
        <v>86</v>
      </c>
      <c r="BI548" t="s">
        <v>106</v>
      </c>
      <c r="BL548" t="s">
        <v>106</v>
      </c>
      <c r="BT548" s="2">
        <f>Tabla1[[#This Row],[FECHA_TRASPLANTE]]</f>
        <v>45244</v>
      </c>
      <c r="BU548">
        <f>IF(Tabla1[[#This Row],[FALLECIDO SI/NO]]="NO",0,1)</f>
        <v>0</v>
      </c>
      <c r="BV548" s="3">
        <f ca="1">IF(Tabla1[[#This Row],[FALLECIDO_COD]]=0,TODAY()-Tabla1[[#This Row],[FECHA_TRASPLANTE]],Tabla1[[#This Row],[FECHA DE DEFUNCIÓN]]-Tabla1[[#This Row],[FECHA_TRASPLANTE]])</f>
        <v>631</v>
      </c>
      <c r="BW548" s="3">
        <f ca="1">IF(Tabla1[[#This Row],[FALLECIDO_COD]]=0,TODAY()-Tabla1[[#This Row],[FECHA_TRASPLANTE]],Tabla1[[#This Row],[FECHA DE DEFUNCIÓN]]-Tabla1[[#This Row],[FECHA_TRASPLANTE]])/30.4375</f>
        <v>20.73100616016427</v>
      </c>
      <c r="BX548" s="3">
        <f ca="1">IF(Tabla1[[#This Row],[FALLECIDO_COD]]=0,TODAY()-Tabla1[[#This Row],[FECHA_TRASPLANTE]],Tabla1[[#This Row],[FECHA DE DEFUNCIÓN]]-Tabla1[[#This Row],[FECHA_TRASPLANTE]])/365.25</f>
        <v>1.7275838466803559</v>
      </c>
      <c r="BY548"/>
      <c r="BZ548"/>
    </row>
    <row r="549" spans="1:78" hidden="1" x14ac:dyDescent="0.35">
      <c r="A549" t="s">
        <v>377</v>
      </c>
      <c r="D549" t="s">
        <v>1129</v>
      </c>
      <c r="E549" t="s">
        <v>375</v>
      </c>
      <c r="J549" t="s">
        <v>1180</v>
      </c>
      <c r="K549" t="s">
        <v>2104</v>
      </c>
      <c r="L549" t="s">
        <v>108</v>
      </c>
      <c r="M549" t="s">
        <v>866</v>
      </c>
      <c r="N549" s="11">
        <v>114690361</v>
      </c>
      <c r="O549" s="2">
        <v>45245</v>
      </c>
      <c r="P549" t="s">
        <v>81</v>
      </c>
      <c r="Q549" s="2">
        <v>33396</v>
      </c>
      <c r="R549" s="3">
        <f>(Tabla1[[#This Row],[FECHA_TRASPLANTE]]-Tabla1[[#This Row],[FECHA_NAC]])/365.25</f>
        <v>32.440793976728266</v>
      </c>
      <c r="T549"/>
      <c r="W549" t="s">
        <v>82</v>
      </c>
      <c r="X549" t="s">
        <v>91</v>
      </c>
      <c r="Y549" t="s">
        <v>179</v>
      </c>
      <c r="Z549" t="s">
        <v>180</v>
      </c>
      <c r="AM549" t="s">
        <v>106</v>
      </c>
      <c r="AO549"/>
      <c r="AV549" s="2"/>
      <c r="AZ549"/>
      <c r="BT549" s="2">
        <f>Tabla1[[#This Row],[FECHA_TRASPLANTE]]</f>
        <v>45245</v>
      </c>
      <c r="BU549">
        <f>IF(Tabla1[[#This Row],[FALLECIDO SI/NO]]="NO",0,1)</f>
        <v>0</v>
      </c>
      <c r="BV549" s="3">
        <f ca="1">IF(Tabla1[[#This Row],[FALLECIDO_COD]]=0,TODAY()-Tabla1[[#This Row],[FECHA_TRASPLANTE]],Tabla1[[#This Row],[FECHA DE DEFUNCIÓN]]-Tabla1[[#This Row],[FECHA_TRASPLANTE]])</f>
        <v>630</v>
      </c>
      <c r="BW549" s="3">
        <f ca="1">IF(Tabla1[[#This Row],[FALLECIDO_COD]]=0,TODAY()-Tabla1[[#This Row],[FECHA_TRASPLANTE]],Tabla1[[#This Row],[FECHA DE DEFUNCIÓN]]-Tabla1[[#This Row],[FECHA_TRASPLANTE]])/30.4375</f>
        <v>20.698151950718685</v>
      </c>
      <c r="BX549" s="3">
        <f ca="1">IF(Tabla1[[#This Row],[FALLECIDO_COD]]=0,TODAY()-Tabla1[[#This Row],[FECHA_TRASPLANTE]],Tabla1[[#This Row],[FECHA DE DEFUNCIÓN]]-Tabla1[[#This Row],[FECHA_TRASPLANTE]])/365.25</f>
        <v>1.7248459958932238</v>
      </c>
      <c r="BY549"/>
      <c r="BZ549"/>
    </row>
    <row r="550" spans="1:78" hidden="1" x14ac:dyDescent="0.35">
      <c r="A550" t="s">
        <v>1125</v>
      </c>
      <c r="B550" t="s">
        <v>2105</v>
      </c>
      <c r="C550" t="s">
        <v>1334</v>
      </c>
      <c r="D550" t="s">
        <v>1129</v>
      </c>
      <c r="E550" t="s">
        <v>375</v>
      </c>
      <c r="G550" t="s">
        <v>200</v>
      </c>
      <c r="H550" s="2">
        <v>30266.25</v>
      </c>
      <c r="I550">
        <v>41.029431895961672</v>
      </c>
      <c r="J550" t="s">
        <v>1800</v>
      </c>
      <c r="K550" t="s">
        <v>2106</v>
      </c>
      <c r="L550" t="s">
        <v>642</v>
      </c>
      <c r="M550" t="s">
        <v>918</v>
      </c>
      <c r="N550" s="11">
        <v>108060361</v>
      </c>
      <c r="O550" s="2">
        <v>45252.25</v>
      </c>
      <c r="P550" t="s">
        <v>81</v>
      </c>
      <c r="Q550" s="2">
        <v>26177.25</v>
      </c>
      <c r="R550" s="3">
        <f>(Tabla1[[#This Row],[FECHA_TRASPLANTE]]-Tabla1[[#This Row],[FECHA_NAC]])/365.25</f>
        <v>52.224503764544835</v>
      </c>
      <c r="S550" t="s">
        <v>200</v>
      </c>
      <c r="T550">
        <v>45104</v>
      </c>
      <c r="U550" t="s">
        <v>1348</v>
      </c>
      <c r="V550" t="s">
        <v>1824</v>
      </c>
      <c r="W550" t="s">
        <v>82</v>
      </c>
      <c r="X550" t="s">
        <v>91</v>
      </c>
      <c r="Y550" t="s">
        <v>152</v>
      </c>
      <c r="Z550" t="s">
        <v>2107</v>
      </c>
      <c r="AA550">
        <v>1.17</v>
      </c>
      <c r="AD550">
        <v>0</v>
      </c>
      <c r="AF550" t="s">
        <v>375</v>
      </c>
      <c r="AG550" t="s">
        <v>375</v>
      </c>
      <c r="AH550" t="s">
        <v>375</v>
      </c>
      <c r="AM550" t="s">
        <v>106</v>
      </c>
      <c r="AO550" t="s">
        <v>1334</v>
      </c>
      <c r="AQ550" t="s">
        <v>358</v>
      </c>
      <c r="AV550" s="2" t="s">
        <v>1334</v>
      </c>
      <c r="AY550" t="s">
        <v>106</v>
      </c>
      <c r="AZ550"/>
      <c r="BA550" t="s">
        <v>2003</v>
      </c>
      <c r="BD550" t="s">
        <v>106</v>
      </c>
      <c r="BH550" t="s">
        <v>106</v>
      </c>
      <c r="BI550" t="s">
        <v>106</v>
      </c>
      <c r="BJ550" t="s">
        <v>1334</v>
      </c>
      <c r="BL550" t="s">
        <v>106</v>
      </c>
      <c r="BM550" t="s">
        <v>1334</v>
      </c>
      <c r="BN550" t="s">
        <v>1334</v>
      </c>
      <c r="BO550">
        <v>111540893</v>
      </c>
      <c r="BP550" t="s">
        <v>90</v>
      </c>
      <c r="BQ550" t="s">
        <v>1849</v>
      </c>
      <c r="BR550" t="s">
        <v>2108</v>
      </c>
      <c r="BS550" t="s">
        <v>2109</v>
      </c>
      <c r="BT550" s="2">
        <f>Tabla1[[#This Row],[FECHA_TRASPLANTE]]</f>
        <v>45252.25</v>
      </c>
      <c r="BU550">
        <f>IF(Tabla1[[#This Row],[FALLECIDO SI/NO]]="NO",0,1)</f>
        <v>0</v>
      </c>
      <c r="BV550" s="3">
        <f ca="1">IF(Tabla1[[#This Row],[FALLECIDO_COD]]=0,TODAY()-Tabla1[[#This Row],[FECHA_TRASPLANTE]],Tabla1[[#This Row],[FECHA DE DEFUNCIÓN]]-Tabla1[[#This Row],[FECHA_TRASPLANTE]])</f>
        <v>622.75</v>
      </c>
      <c r="BW550" s="3">
        <f ca="1">IF(Tabla1[[#This Row],[FALLECIDO_COD]]=0,TODAY()-Tabla1[[#This Row],[FECHA_TRASPLANTE]],Tabla1[[#This Row],[FECHA DE DEFUNCIÓN]]-Tabla1[[#This Row],[FECHA_TRASPLANTE]])/30.4375</f>
        <v>20.459958932238195</v>
      </c>
      <c r="BX550" s="3">
        <f ca="1">IF(Tabla1[[#This Row],[FALLECIDO_COD]]=0,TODAY()-Tabla1[[#This Row],[FECHA_TRASPLANTE]],Tabla1[[#This Row],[FECHA DE DEFUNCIÓN]]-Tabla1[[#This Row],[FECHA_TRASPLANTE]])/365.25</f>
        <v>1.7049965776865161</v>
      </c>
      <c r="BY550"/>
      <c r="BZ550"/>
    </row>
    <row r="551" spans="1:78" hidden="1" x14ac:dyDescent="0.35">
      <c r="A551" t="s">
        <v>377</v>
      </c>
      <c r="D551" t="s">
        <v>1129</v>
      </c>
      <c r="E551" t="s">
        <v>375</v>
      </c>
      <c r="J551" t="s">
        <v>1160</v>
      </c>
      <c r="K551" t="s">
        <v>231</v>
      </c>
      <c r="L551" t="s">
        <v>94</v>
      </c>
      <c r="M551" t="s">
        <v>229</v>
      </c>
      <c r="N551" s="11">
        <v>110160048</v>
      </c>
      <c r="O551" s="2">
        <v>45259</v>
      </c>
      <c r="P551" t="s">
        <v>81</v>
      </c>
      <c r="Q551" s="2">
        <v>28771</v>
      </c>
      <c r="R551" s="3">
        <f>(Tabla1[[#This Row],[FECHA_TRASPLANTE]]-Tabla1[[#This Row],[FECHA_NAC]])/365.25</f>
        <v>45.141683778234089</v>
      </c>
      <c r="T551"/>
      <c r="W551" t="s">
        <v>82</v>
      </c>
      <c r="X551" t="s">
        <v>91</v>
      </c>
      <c r="Y551" t="s">
        <v>84</v>
      </c>
      <c r="Z551" t="s">
        <v>307</v>
      </c>
      <c r="AM551" t="s">
        <v>106</v>
      </c>
      <c r="AO551"/>
      <c r="AV551" s="2"/>
      <c r="AZ551"/>
      <c r="BT551" s="2">
        <f>Tabla1[[#This Row],[FECHA_TRASPLANTE]]</f>
        <v>45259</v>
      </c>
      <c r="BU551">
        <f>IF(Tabla1[[#This Row],[FALLECIDO SI/NO]]="NO",0,1)</f>
        <v>0</v>
      </c>
      <c r="BV551" s="3">
        <f ca="1">IF(Tabla1[[#This Row],[FALLECIDO_COD]]=0,TODAY()-Tabla1[[#This Row],[FECHA_TRASPLANTE]],Tabla1[[#This Row],[FECHA DE DEFUNCIÓN]]-Tabla1[[#This Row],[FECHA_TRASPLANTE]])</f>
        <v>616</v>
      </c>
      <c r="BW551" s="3">
        <f ca="1">IF(Tabla1[[#This Row],[FALLECIDO_COD]]=0,TODAY()-Tabla1[[#This Row],[FECHA_TRASPLANTE]],Tabla1[[#This Row],[FECHA DE DEFUNCIÓN]]-Tabla1[[#This Row],[FECHA_TRASPLANTE]])/30.4375</f>
        <v>20.238193018480494</v>
      </c>
      <c r="BX551" s="3">
        <f ca="1">IF(Tabla1[[#This Row],[FALLECIDO_COD]]=0,TODAY()-Tabla1[[#This Row],[FECHA_TRASPLANTE]],Tabla1[[#This Row],[FECHA DE DEFUNCIÓN]]-Tabla1[[#This Row],[FECHA_TRASPLANTE]])/365.25</f>
        <v>1.6865160848733745</v>
      </c>
      <c r="BY551"/>
      <c r="BZ551"/>
    </row>
    <row r="552" spans="1:78" hidden="1" x14ac:dyDescent="0.35">
      <c r="A552" t="s">
        <v>1126</v>
      </c>
      <c r="B552" t="s">
        <v>1126</v>
      </c>
      <c r="D552" t="s">
        <v>1333</v>
      </c>
      <c r="E552" t="s">
        <v>375</v>
      </c>
      <c r="F552" t="s">
        <v>106</v>
      </c>
      <c r="G552" t="s">
        <v>210</v>
      </c>
      <c r="H552" s="2">
        <v>35053</v>
      </c>
      <c r="I552">
        <v>27.956194387405887</v>
      </c>
      <c r="J552" t="s">
        <v>746</v>
      </c>
      <c r="N552" s="11">
        <v>304630448</v>
      </c>
      <c r="O552" s="2">
        <v>45264</v>
      </c>
      <c r="P552" t="s">
        <v>81</v>
      </c>
      <c r="Q552" s="2">
        <v>33746</v>
      </c>
      <c r="R552" s="3">
        <f>(Tabla1[[#This Row],[FECHA_TRASPLANTE]]-Tabla1[[#This Row],[FECHA_NAC]])/365.25</f>
        <v>31.534565366187543</v>
      </c>
      <c r="S552" t="s">
        <v>210</v>
      </c>
      <c r="U552" t="s">
        <v>2039</v>
      </c>
      <c r="V552" t="s">
        <v>1551</v>
      </c>
      <c r="W552" t="s">
        <v>82</v>
      </c>
      <c r="X552" t="s">
        <v>110</v>
      </c>
      <c r="Y552" t="s">
        <v>2110</v>
      </c>
      <c r="Z552" t="s">
        <v>2111</v>
      </c>
      <c r="AD552">
        <v>0</v>
      </c>
      <c r="AF552" t="s">
        <v>375</v>
      </c>
      <c r="AG552" t="s">
        <v>375</v>
      </c>
      <c r="AH552" t="s">
        <v>375</v>
      </c>
      <c r="AI552" t="s">
        <v>375</v>
      </c>
      <c r="AM552" t="s">
        <v>106</v>
      </c>
      <c r="AN552" s="2" t="s">
        <v>762</v>
      </c>
      <c r="AO552" s="2" t="s">
        <v>762</v>
      </c>
      <c r="AQ552" t="s">
        <v>358</v>
      </c>
      <c r="AR552" s="2" t="s">
        <v>358</v>
      </c>
      <c r="AS552" s="2"/>
      <c r="AV552" s="2" t="s">
        <v>762</v>
      </c>
      <c r="AY552" t="s">
        <v>106</v>
      </c>
      <c r="AZ552"/>
      <c r="BA552" t="s">
        <v>1812</v>
      </c>
      <c r="BB552">
        <v>1.9</v>
      </c>
      <c r="BC552">
        <v>47</v>
      </c>
      <c r="BD552" t="s">
        <v>106</v>
      </c>
      <c r="BI552" t="s">
        <v>106</v>
      </c>
      <c r="BL552" t="s">
        <v>106</v>
      </c>
      <c r="BT552" s="2">
        <f>Tabla1[[#This Row],[FECHA_TRASPLANTE]]</f>
        <v>45264</v>
      </c>
      <c r="BU552">
        <f>IF(Tabla1[[#This Row],[FALLECIDO SI/NO]]="NO",0,1)</f>
        <v>0</v>
      </c>
      <c r="BV552" s="3">
        <f ca="1">IF(Tabla1[[#This Row],[FALLECIDO_COD]]=0,TODAY()-Tabla1[[#This Row],[FECHA_TRASPLANTE]],Tabla1[[#This Row],[FECHA DE DEFUNCIÓN]]-Tabla1[[#This Row],[FECHA_TRASPLANTE]])</f>
        <v>611</v>
      </c>
      <c r="BW552" s="3">
        <f ca="1">IF(Tabla1[[#This Row],[FALLECIDO_COD]]=0,TODAY()-Tabla1[[#This Row],[FECHA_TRASPLANTE]],Tabla1[[#This Row],[FECHA DE DEFUNCIÓN]]-Tabla1[[#This Row],[FECHA_TRASPLANTE]])/30.4375</f>
        <v>20.073921971252567</v>
      </c>
      <c r="BX552" s="3">
        <f ca="1">IF(Tabla1[[#This Row],[FALLECIDO_COD]]=0,TODAY()-Tabla1[[#This Row],[FECHA_TRASPLANTE]],Tabla1[[#This Row],[FECHA DE DEFUNCIÓN]]-Tabla1[[#This Row],[FECHA_TRASPLANTE]])/365.25</f>
        <v>1.6728268309377139</v>
      </c>
      <c r="BY552"/>
      <c r="BZ552"/>
    </row>
    <row r="553" spans="1:78" hidden="1" x14ac:dyDescent="0.35">
      <c r="A553" t="s">
        <v>377</v>
      </c>
      <c r="D553" t="s">
        <v>1129</v>
      </c>
      <c r="E553" t="s">
        <v>375</v>
      </c>
      <c r="J553" t="s">
        <v>1180</v>
      </c>
      <c r="K553" t="s">
        <v>1204</v>
      </c>
      <c r="L553" t="s">
        <v>1158</v>
      </c>
      <c r="M553" t="s">
        <v>406</v>
      </c>
      <c r="N553" s="11">
        <v>205050369</v>
      </c>
      <c r="O553" s="2">
        <v>45266</v>
      </c>
      <c r="P553" t="s">
        <v>81</v>
      </c>
      <c r="Q553" s="2">
        <v>27664</v>
      </c>
      <c r="R553" s="3">
        <f>(Tabla1[[#This Row],[FECHA_TRASPLANTE]]-Tabla1[[#This Row],[FECHA_NAC]])/365.25</f>
        <v>48.191649555099247</v>
      </c>
      <c r="T553"/>
      <c r="W553" t="s">
        <v>82</v>
      </c>
      <c r="X553" t="s">
        <v>115</v>
      </c>
      <c r="Y553" t="s">
        <v>84</v>
      </c>
      <c r="Z553" t="s">
        <v>115</v>
      </c>
      <c r="AM553" t="s">
        <v>106</v>
      </c>
      <c r="AO553"/>
      <c r="AV553" s="2"/>
      <c r="AZ553"/>
      <c r="BT553" s="2">
        <f>Tabla1[[#This Row],[FECHA_TRASPLANTE]]</f>
        <v>45266</v>
      </c>
      <c r="BU553">
        <f>IF(Tabla1[[#This Row],[FALLECIDO SI/NO]]="NO",0,1)</f>
        <v>0</v>
      </c>
      <c r="BV553" s="3">
        <f ca="1">IF(Tabla1[[#This Row],[FALLECIDO_COD]]=0,TODAY()-Tabla1[[#This Row],[FECHA_TRASPLANTE]],Tabla1[[#This Row],[FECHA DE DEFUNCIÓN]]-Tabla1[[#This Row],[FECHA_TRASPLANTE]])</f>
        <v>609</v>
      </c>
      <c r="BW553" s="3">
        <f ca="1">IF(Tabla1[[#This Row],[FALLECIDO_COD]]=0,TODAY()-Tabla1[[#This Row],[FECHA_TRASPLANTE]],Tabla1[[#This Row],[FECHA DE DEFUNCIÓN]]-Tabla1[[#This Row],[FECHA_TRASPLANTE]])/30.4375</f>
        <v>20.008213552361397</v>
      </c>
      <c r="BX553" s="3">
        <f ca="1">IF(Tabla1[[#This Row],[FALLECIDO_COD]]=0,TODAY()-Tabla1[[#This Row],[FECHA_TRASPLANTE]],Tabla1[[#This Row],[FECHA DE DEFUNCIÓN]]-Tabla1[[#This Row],[FECHA_TRASPLANTE]])/365.25</f>
        <v>1.6673511293634498</v>
      </c>
      <c r="BY553"/>
      <c r="BZ553"/>
    </row>
    <row r="554" spans="1:78" hidden="1" x14ac:dyDescent="0.35">
      <c r="A554" t="s">
        <v>377</v>
      </c>
      <c r="D554" t="s">
        <v>1129</v>
      </c>
      <c r="E554" t="s">
        <v>375</v>
      </c>
      <c r="J554" t="s">
        <v>1154</v>
      </c>
      <c r="K554" t="s">
        <v>2112</v>
      </c>
      <c r="L554" t="s">
        <v>913</v>
      </c>
      <c r="M554" t="s">
        <v>1250</v>
      </c>
      <c r="N554" s="11">
        <v>502980102</v>
      </c>
      <c r="O554" s="2">
        <v>45273</v>
      </c>
      <c r="P554" t="s">
        <v>81</v>
      </c>
      <c r="Q554" s="2">
        <v>28210</v>
      </c>
      <c r="R554" s="3">
        <f>(Tabla1[[#This Row],[FECHA_TRASPLANTE]]-Tabla1[[#This Row],[FECHA_NAC]])/365.25</f>
        <v>46.715947980835047</v>
      </c>
      <c r="T554"/>
      <c r="W554" t="s">
        <v>82</v>
      </c>
      <c r="X554" t="s">
        <v>125</v>
      </c>
      <c r="Y554" t="s">
        <v>667</v>
      </c>
      <c r="Z554" t="s">
        <v>667</v>
      </c>
      <c r="AM554" t="s">
        <v>106</v>
      </c>
      <c r="AO554"/>
      <c r="AV554" s="2"/>
      <c r="AZ554"/>
      <c r="BT554" s="2">
        <f>Tabla1[[#This Row],[FECHA_TRASPLANTE]]</f>
        <v>45273</v>
      </c>
      <c r="BU554">
        <f>IF(Tabla1[[#This Row],[FALLECIDO SI/NO]]="NO",0,1)</f>
        <v>0</v>
      </c>
      <c r="BV554" s="3">
        <f ca="1">IF(Tabla1[[#This Row],[FALLECIDO_COD]]=0,TODAY()-Tabla1[[#This Row],[FECHA_TRASPLANTE]],Tabla1[[#This Row],[FECHA DE DEFUNCIÓN]]-Tabla1[[#This Row],[FECHA_TRASPLANTE]])</f>
        <v>602</v>
      </c>
      <c r="BW554" s="3">
        <f ca="1">IF(Tabla1[[#This Row],[FALLECIDO_COD]]=0,TODAY()-Tabla1[[#This Row],[FECHA_TRASPLANTE]],Tabla1[[#This Row],[FECHA DE DEFUNCIÓN]]-Tabla1[[#This Row],[FECHA_TRASPLANTE]])/30.4375</f>
        <v>19.7782340862423</v>
      </c>
      <c r="BX554" s="3">
        <f ca="1">IF(Tabla1[[#This Row],[FALLECIDO_COD]]=0,TODAY()-Tabla1[[#This Row],[FECHA_TRASPLANTE]],Tabla1[[#This Row],[FECHA DE DEFUNCIÓN]]-Tabla1[[#This Row],[FECHA_TRASPLANTE]])/365.25</f>
        <v>1.6481861738535251</v>
      </c>
      <c r="BY554"/>
      <c r="BZ554"/>
    </row>
    <row r="555" spans="1:78" hidden="1" x14ac:dyDescent="0.35">
      <c r="A555" t="s">
        <v>1126</v>
      </c>
      <c r="B555" t="s">
        <v>1126</v>
      </c>
      <c r="D555" t="s">
        <v>1333</v>
      </c>
      <c r="E555" t="s">
        <v>375</v>
      </c>
      <c r="F555" t="s">
        <v>106</v>
      </c>
      <c r="G555" t="s">
        <v>210</v>
      </c>
      <c r="H555" s="2">
        <v>24105</v>
      </c>
      <c r="I555">
        <v>57.968514715947983</v>
      </c>
      <c r="J555" t="s">
        <v>746</v>
      </c>
      <c r="N555" s="11">
        <v>106420746</v>
      </c>
      <c r="O555" s="2">
        <v>45278</v>
      </c>
      <c r="P555" t="s">
        <v>1669</v>
      </c>
      <c r="Q555" s="2">
        <v>23749</v>
      </c>
      <c r="R555" s="3">
        <f>(Tabla1[[#This Row],[FECHA_TRASPLANTE]]-Tabla1[[#This Row],[FECHA_NAC]])/365.25</f>
        <v>58.943189596167009</v>
      </c>
      <c r="S555" t="s">
        <v>210</v>
      </c>
      <c r="U555" t="s">
        <v>2113</v>
      </c>
      <c r="V555" t="s">
        <v>1551</v>
      </c>
      <c r="W555" t="s">
        <v>82</v>
      </c>
      <c r="X555" t="s">
        <v>91</v>
      </c>
      <c r="Y555" t="s">
        <v>2114</v>
      </c>
      <c r="Z555" t="s">
        <v>2115</v>
      </c>
      <c r="AD555">
        <v>0</v>
      </c>
      <c r="AF555" t="s">
        <v>375</v>
      </c>
      <c r="AG555" t="s">
        <v>375</v>
      </c>
      <c r="AH555" t="s">
        <v>375</v>
      </c>
      <c r="AI555" t="s">
        <v>375</v>
      </c>
      <c r="AM555" t="s">
        <v>106</v>
      </c>
      <c r="AN555" s="2" t="s">
        <v>762</v>
      </c>
      <c r="AO555" s="2" t="s">
        <v>762</v>
      </c>
      <c r="AQ555" t="s">
        <v>358</v>
      </c>
      <c r="AR555" s="2" t="s">
        <v>358</v>
      </c>
      <c r="AS555" s="2"/>
      <c r="AV555" s="2" t="s">
        <v>762</v>
      </c>
      <c r="AY555" t="s">
        <v>106</v>
      </c>
      <c r="AZ555"/>
      <c r="BA555" t="s">
        <v>1812</v>
      </c>
      <c r="BB555">
        <v>0.85</v>
      </c>
      <c r="BC555">
        <v>99</v>
      </c>
      <c r="BD555" t="s">
        <v>106</v>
      </c>
      <c r="BI555" t="s">
        <v>106</v>
      </c>
      <c r="BL555" t="s">
        <v>106</v>
      </c>
      <c r="BT555" s="2">
        <f>Tabla1[[#This Row],[FECHA_TRASPLANTE]]</f>
        <v>45278</v>
      </c>
      <c r="BU555">
        <f>IF(Tabla1[[#This Row],[FALLECIDO SI/NO]]="NO",0,1)</f>
        <v>0</v>
      </c>
      <c r="BV555" s="3">
        <f ca="1">IF(Tabla1[[#This Row],[FALLECIDO_COD]]=0,TODAY()-Tabla1[[#This Row],[FECHA_TRASPLANTE]],Tabla1[[#This Row],[FECHA DE DEFUNCIÓN]]-Tabla1[[#This Row],[FECHA_TRASPLANTE]])</f>
        <v>597</v>
      </c>
      <c r="BW555" s="3">
        <f ca="1">IF(Tabla1[[#This Row],[FALLECIDO_COD]]=0,TODAY()-Tabla1[[#This Row],[FECHA_TRASPLANTE]],Tabla1[[#This Row],[FECHA DE DEFUNCIÓN]]-Tabla1[[#This Row],[FECHA_TRASPLANTE]])/30.4375</f>
        <v>19.613963039014372</v>
      </c>
      <c r="BX555" s="3">
        <f ca="1">IF(Tabla1[[#This Row],[FALLECIDO_COD]]=0,TODAY()-Tabla1[[#This Row],[FECHA_TRASPLANTE]],Tabla1[[#This Row],[FECHA DE DEFUNCIÓN]]-Tabla1[[#This Row],[FECHA_TRASPLANTE]])/365.25</f>
        <v>1.6344969199178645</v>
      </c>
      <c r="BY555"/>
      <c r="BZ555"/>
    </row>
    <row r="556" spans="1:78" hidden="1" x14ac:dyDescent="0.35">
      <c r="A556" t="s">
        <v>376</v>
      </c>
      <c r="B556" t="s">
        <v>376</v>
      </c>
      <c r="C556" t="s">
        <v>2116</v>
      </c>
      <c r="D556" t="s">
        <v>1129</v>
      </c>
      <c r="E556" t="s">
        <v>77</v>
      </c>
      <c r="G556" t="s">
        <v>210</v>
      </c>
      <c r="H556" s="2" t="s">
        <v>1819</v>
      </c>
      <c r="I556">
        <v>30</v>
      </c>
      <c r="J556" t="s">
        <v>1820</v>
      </c>
      <c r="K556" t="s">
        <v>2117</v>
      </c>
      <c r="L556" t="s">
        <v>1002</v>
      </c>
      <c r="M556" t="s">
        <v>272</v>
      </c>
      <c r="N556" s="11">
        <v>703810027</v>
      </c>
      <c r="O556" s="2">
        <v>45280.25</v>
      </c>
      <c r="P556" t="s">
        <v>81</v>
      </c>
      <c r="Q556" s="2">
        <v>41633</v>
      </c>
      <c r="R556" s="3">
        <f>(Tabla1[[#This Row],[FECHA_TRASPLANTE]]-Tabla1[[#This Row],[FECHA_NAC]])/365.25</f>
        <v>9.9856262833675569</v>
      </c>
      <c r="S556" t="s">
        <v>210</v>
      </c>
      <c r="T556"/>
      <c r="U556" t="s">
        <v>2094</v>
      </c>
      <c r="V556" t="s">
        <v>1824</v>
      </c>
      <c r="W556" t="s">
        <v>82</v>
      </c>
      <c r="X556" t="s">
        <v>120</v>
      </c>
      <c r="Y556" t="s">
        <v>755</v>
      </c>
      <c r="Z556" t="s">
        <v>755</v>
      </c>
      <c r="AD556">
        <v>0</v>
      </c>
      <c r="AF556" t="s">
        <v>816</v>
      </c>
      <c r="AG556" t="s">
        <v>816</v>
      </c>
      <c r="AH556" t="s">
        <v>816</v>
      </c>
      <c r="AI556" t="s">
        <v>816</v>
      </c>
      <c r="AJ556" t="s">
        <v>816</v>
      </c>
      <c r="AK556" t="s">
        <v>816</v>
      </c>
      <c r="AM556" t="s">
        <v>106</v>
      </c>
      <c r="AO556"/>
      <c r="AQ556" t="s">
        <v>358</v>
      </c>
      <c r="AV556" s="2"/>
      <c r="AY556" t="s">
        <v>106</v>
      </c>
      <c r="AZ556"/>
      <c r="BO556" t="s">
        <v>1979</v>
      </c>
      <c r="BP556" t="s">
        <v>81</v>
      </c>
      <c r="BQ556" t="s">
        <v>82</v>
      </c>
      <c r="BS556" t="s">
        <v>1888</v>
      </c>
      <c r="BT556" s="2">
        <f>Tabla1[[#This Row],[FECHA_TRASPLANTE]]</f>
        <v>45280.25</v>
      </c>
      <c r="BU556">
        <f>IF(Tabla1[[#This Row],[FALLECIDO SI/NO]]="NO",0,1)</f>
        <v>0</v>
      </c>
      <c r="BV556" s="3">
        <f ca="1">IF(Tabla1[[#This Row],[FALLECIDO_COD]]=0,TODAY()-Tabla1[[#This Row],[FECHA_TRASPLANTE]],Tabla1[[#This Row],[FECHA DE DEFUNCIÓN]]-Tabla1[[#This Row],[FECHA_TRASPLANTE]])</f>
        <v>594.75</v>
      </c>
      <c r="BW556" s="3">
        <f ca="1">IF(Tabla1[[#This Row],[FALLECIDO_COD]]=0,TODAY()-Tabla1[[#This Row],[FECHA_TRASPLANTE]],Tabla1[[#This Row],[FECHA DE DEFUNCIÓN]]-Tabla1[[#This Row],[FECHA_TRASPLANTE]])/30.4375</f>
        <v>19.540041067761805</v>
      </c>
      <c r="BX556" s="3">
        <f ca="1">IF(Tabla1[[#This Row],[FALLECIDO_COD]]=0,TODAY()-Tabla1[[#This Row],[FECHA_TRASPLANTE]],Tabla1[[#This Row],[FECHA DE DEFUNCIÓN]]-Tabla1[[#This Row],[FECHA_TRASPLANTE]])/365.25</f>
        <v>1.6283367556468173</v>
      </c>
      <c r="BY556"/>
      <c r="BZ556"/>
    </row>
    <row r="557" spans="1:78" hidden="1" x14ac:dyDescent="0.35">
      <c r="A557" t="s">
        <v>75</v>
      </c>
      <c r="B557" t="s">
        <v>1828</v>
      </c>
      <c r="C557" t="s">
        <v>2118</v>
      </c>
      <c r="D557" t="s">
        <v>1129</v>
      </c>
      <c r="E557" t="s">
        <v>77</v>
      </c>
      <c r="H557" s="2">
        <v>33999</v>
      </c>
      <c r="I557">
        <v>30</v>
      </c>
      <c r="K557" t="s">
        <v>2119</v>
      </c>
      <c r="L557" t="s">
        <v>2120</v>
      </c>
      <c r="M557" t="s">
        <v>698</v>
      </c>
      <c r="N557" s="11">
        <v>700630379</v>
      </c>
      <c r="O557" s="16">
        <v>45280.25</v>
      </c>
      <c r="P557" t="s">
        <v>81</v>
      </c>
      <c r="Q557" s="2">
        <v>21085</v>
      </c>
      <c r="R557" s="3">
        <f>(Tabla1[[#This Row],[FECHA_TRASPLANTE]]-Tabla1[[#This Row],[FECHA_NAC]])/365.25</f>
        <v>66.242984257357975</v>
      </c>
      <c r="S557" t="s">
        <v>210</v>
      </c>
      <c r="T557"/>
      <c r="U557" t="s">
        <v>1992</v>
      </c>
      <c r="V557" t="s">
        <v>1824</v>
      </c>
      <c r="W557" t="s">
        <v>82</v>
      </c>
      <c r="X557" t="s">
        <v>120</v>
      </c>
      <c r="Y557" t="s">
        <v>1269</v>
      </c>
      <c r="Z557" t="s">
        <v>1269</v>
      </c>
      <c r="AD557">
        <v>34</v>
      </c>
      <c r="AF557" t="s">
        <v>2121</v>
      </c>
      <c r="AG557" t="s">
        <v>2122</v>
      </c>
      <c r="AM557" t="s">
        <v>86</v>
      </c>
      <c r="AN557" s="2">
        <v>45324</v>
      </c>
      <c r="AO557" t="s">
        <v>2123</v>
      </c>
      <c r="AQ557" t="s">
        <v>358</v>
      </c>
      <c r="AV557" s="2"/>
      <c r="AY557" t="s">
        <v>106</v>
      </c>
      <c r="BJ557" s="2"/>
      <c r="BO557">
        <v>304680557</v>
      </c>
      <c r="BP557" t="s">
        <v>81</v>
      </c>
      <c r="BQ557" t="s">
        <v>82</v>
      </c>
      <c r="BT557" s="2">
        <f>Tabla1[[#This Row],[FECHA_TRASPLANTE]]</f>
        <v>45280.25</v>
      </c>
      <c r="BU557">
        <f>IF(Tabla1[[#This Row],[FALLECIDO SI/NO]]="NO",0,1)</f>
        <v>1</v>
      </c>
      <c r="BV557" s="3">
        <f ca="1">IF(Tabla1[[#This Row],[FALLECIDO_COD]]=0,TODAY()-Tabla1[[#This Row],[FECHA_TRASPLANTE]],Tabla1[[#This Row],[FECHA DE DEFUNCIÓN]]-Tabla1[[#This Row],[FECHA_TRASPLANTE]])</f>
        <v>43.75</v>
      </c>
      <c r="BW557" s="3">
        <f ca="1">IF(Tabla1[[#This Row],[FALLECIDO_COD]]=0,TODAY()-Tabla1[[#This Row],[FECHA_TRASPLANTE]],Tabla1[[#This Row],[FECHA DE DEFUNCIÓN]]-Tabla1[[#This Row],[FECHA_TRASPLANTE]])/30.4375</f>
        <v>1.4373716632443532</v>
      </c>
      <c r="BX557" s="3">
        <f ca="1">IF(Tabla1[[#This Row],[FALLECIDO_COD]]=0,TODAY()-Tabla1[[#This Row],[FECHA_TRASPLANTE]],Tabla1[[#This Row],[FECHA DE DEFUNCIÓN]]-Tabla1[[#This Row],[FECHA_TRASPLANTE]])/365.25</f>
        <v>0.11978097193702943</v>
      </c>
      <c r="BY557"/>
      <c r="BZ557"/>
    </row>
    <row r="558" spans="1:78" x14ac:dyDescent="0.35">
      <c r="A558" t="s">
        <v>377</v>
      </c>
      <c r="D558" t="s">
        <v>1129</v>
      </c>
      <c r="E558" t="s">
        <v>77</v>
      </c>
      <c r="J558" t="s">
        <v>1834</v>
      </c>
      <c r="K558" t="s">
        <v>2124</v>
      </c>
      <c r="L558" t="s">
        <v>94</v>
      </c>
      <c r="M558" t="s">
        <v>440</v>
      </c>
      <c r="N558" s="11">
        <v>2060081944</v>
      </c>
      <c r="O558" s="2">
        <v>45297</v>
      </c>
      <c r="P558" t="s">
        <v>90</v>
      </c>
      <c r="Q558" s="2">
        <v>39054</v>
      </c>
      <c r="R558" s="3">
        <f>(Tabla1[[#This Row],[FECHA_TRASPLANTE]]-Tabla1[[#This Row],[FECHA_NAC]])/365.25</f>
        <v>17.09240246406571</v>
      </c>
      <c r="T558"/>
      <c r="W558" t="s">
        <v>146</v>
      </c>
      <c r="X558" t="s">
        <v>2125</v>
      </c>
      <c r="AM558" t="s">
        <v>106</v>
      </c>
      <c r="AO558"/>
      <c r="AQ558" t="s">
        <v>772</v>
      </c>
      <c r="AV558" s="2">
        <v>45302</v>
      </c>
      <c r="AW558" t="s">
        <v>2126</v>
      </c>
      <c r="AX558" t="s">
        <v>2127</v>
      </c>
      <c r="AY558" t="s">
        <v>106</v>
      </c>
      <c r="BI558" t="s">
        <v>106</v>
      </c>
      <c r="BT558" s="17">
        <f>Tabla1[[#This Row],[FECHA_TRASPLANTE]]</f>
        <v>45297</v>
      </c>
      <c r="BU558">
        <f>IF(Tabla1[[#This Row],[FALLECIDO SI/NO]]="NO",0,1)</f>
        <v>0</v>
      </c>
      <c r="BV558" s="3">
        <f ca="1">IF(Tabla1[[#This Row],[FALLECIDO_COD]]=0,TODAY()-Tabla1[[#This Row],[FECHA_TRASPLANTE]],Tabla1[[#This Row],[FECHA DE DEFUNCIÓN]]-Tabla1[[#This Row],[FECHA_TRASPLANTE]])</f>
        <v>578</v>
      </c>
      <c r="BW558" s="3">
        <f ca="1">IF(Tabla1[[#This Row],[FALLECIDO_COD]]=0,TODAY()-Tabla1[[#This Row],[FECHA_TRASPLANTE]],Tabla1[[#This Row],[FECHA DE DEFUNCIÓN]]-Tabla1[[#This Row],[FECHA_TRASPLANTE]])/30.4375</f>
        <v>18.989733059548254</v>
      </c>
      <c r="BX558" s="3">
        <f ca="1">IF(Tabla1[[#This Row],[FALLECIDO_COD]]=0,TODAY()-Tabla1[[#This Row],[FECHA_TRASPLANTE]],Tabla1[[#This Row],[FECHA DE DEFUNCIÓN]]-Tabla1[[#This Row],[FECHA_TRASPLANTE]])/365.25</f>
        <v>1.5824777549623545</v>
      </c>
      <c r="BY558"/>
      <c r="BZ558"/>
    </row>
    <row r="559" spans="1:78" x14ac:dyDescent="0.35">
      <c r="A559" t="s">
        <v>376</v>
      </c>
      <c r="B559" t="s">
        <v>376</v>
      </c>
      <c r="C559" t="s">
        <v>2128</v>
      </c>
      <c r="D559" t="s">
        <v>1129</v>
      </c>
      <c r="E559" t="s">
        <v>77</v>
      </c>
      <c r="G559" t="s">
        <v>200</v>
      </c>
      <c r="H559" s="2" t="s">
        <v>1819</v>
      </c>
      <c r="I559">
        <v>40</v>
      </c>
      <c r="J559" t="s">
        <v>1820</v>
      </c>
      <c r="K559" t="s">
        <v>2129</v>
      </c>
      <c r="L559" t="s">
        <v>605</v>
      </c>
      <c r="M559" t="s">
        <v>132</v>
      </c>
      <c r="N559" s="11">
        <v>120090288</v>
      </c>
      <c r="O559" s="2">
        <v>45329.25</v>
      </c>
      <c r="P559" t="s">
        <v>90</v>
      </c>
      <c r="Q559" s="2">
        <v>39391</v>
      </c>
      <c r="R559" s="3">
        <f>(Tabla1[[#This Row],[FECHA_TRASPLANTE]]-Tabla1[[#This Row],[FECHA_NAC]])/365.25</f>
        <v>16.258042436687202</v>
      </c>
      <c r="S559" t="s">
        <v>200</v>
      </c>
      <c r="T559">
        <v>44749</v>
      </c>
      <c r="U559" t="s">
        <v>2130</v>
      </c>
      <c r="V559" t="s">
        <v>1838</v>
      </c>
      <c r="W559" t="s">
        <v>82</v>
      </c>
      <c r="X559" t="s">
        <v>91</v>
      </c>
      <c r="Y559" t="s">
        <v>108</v>
      </c>
      <c r="Z559" t="s">
        <v>2131</v>
      </c>
      <c r="AD559">
        <v>0</v>
      </c>
      <c r="AF559" t="s">
        <v>816</v>
      </c>
      <c r="AG559" t="s">
        <v>816</v>
      </c>
      <c r="AH559" t="s">
        <v>816</v>
      </c>
      <c r="AI559" t="s">
        <v>816</v>
      </c>
      <c r="AJ559" t="s">
        <v>816</v>
      </c>
      <c r="AK559" t="s">
        <v>816</v>
      </c>
      <c r="AM559" t="s">
        <v>106</v>
      </c>
      <c r="AO559"/>
      <c r="AQ559" t="s">
        <v>358</v>
      </c>
      <c r="AR559" t="s">
        <v>358</v>
      </c>
      <c r="AV559" s="2"/>
      <c r="AY559" t="s">
        <v>106</v>
      </c>
      <c r="BO559" t="s">
        <v>1979</v>
      </c>
      <c r="BP559" t="s">
        <v>2132</v>
      </c>
      <c r="BQ559" t="s">
        <v>82</v>
      </c>
      <c r="BS559" t="s">
        <v>1888</v>
      </c>
      <c r="BT559" s="17">
        <f>Tabla1[[#This Row],[FECHA_TRASPLANTE]]</f>
        <v>45329.25</v>
      </c>
      <c r="BU559">
        <f>IF(Tabla1[[#This Row],[FALLECIDO SI/NO]]="NO",0,1)</f>
        <v>0</v>
      </c>
      <c r="BV559" s="3">
        <f ca="1">IF(Tabla1[[#This Row],[FALLECIDO_COD]]=0,TODAY()-Tabla1[[#This Row],[FECHA_TRASPLANTE]],Tabla1[[#This Row],[FECHA DE DEFUNCIÓN]]-Tabla1[[#This Row],[FECHA_TRASPLANTE]])</f>
        <v>545.75</v>
      </c>
      <c r="BW559" s="3">
        <f ca="1">IF(Tabla1[[#This Row],[FALLECIDO_COD]]=0,TODAY()-Tabla1[[#This Row],[FECHA_TRASPLANTE]],Tabla1[[#This Row],[FECHA DE DEFUNCIÓN]]-Tabla1[[#This Row],[FECHA_TRASPLANTE]])/30.4375</f>
        <v>17.930184804928132</v>
      </c>
      <c r="BX559" s="3">
        <f ca="1">IF(Tabla1[[#This Row],[FALLECIDO_COD]]=0,TODAY()-Tabla1[[#This Row],[FECHA_TRASPLANTE]],Tabla1[[#This Row],[FECHA DE DEFUNCIÓN]]-Tabla1[[#This Row],[FECHA_TRASPLANTE]])/365.25</f>
        <v>1.4941820670773442</v>
      </c>
      <c r="BY559"/>
      <c r="BZ559"/>
    </row>
    <row r="560" spans="1:78" x14ac:dyDescent="0.35">
      <c r="A560" t="s">
        <v>377</v>
      </c>
      <c r="D560" t="s">
        <v>1129</v>
      </c>
      <c r="E560" t="s">
        <v>375</v>
      </c>
      <c r="G560" t="s">
        <v>200</v>
      </c>
      <c r="H560" s="2">
        <v>28812</v>
      </c>
      <c r="I560">
        <v>45.144421629021217</v>
      </c>
      <c r="J560" t="s">
        <v>1898</v>
      </c>
      <c r="K560" t="s">
        <v>1912</v>
      </c>
      <c r="L560" t="s">
        <v>453</v>
      </c>
      <c r="M560" t="s">
        <v>385</v>
      </c>
      <c r="N560" s="11">
        <v>401320785</v>
      </c>
      <c r="O560" s="2">
        <v>45301</v>
      </c>
      <c r="P560" t="s">
        <v>81</v>
      </c>
      <c r="Q560" s="2">
        <v>23092</v>
      </c>
      <c r="R560" s="3">
        <f>(Tabla1[[#This Row],[FECHA_TRASPLANTE]]-Tabla1[[#This Row],[FECHA_NAC]])/365.25</f>
        <v>60.804928131416837</v>
      </c>
      <c r="S560" t="s">
        <v>200</v>
      </c>
      <c r="T560"/>
      <c r="W560" t="s">
        <v>82</v>
      </c>
      <c r="X560" t="s">
        <v>261</v>
      </c>
      <c r="Y560" t="s">
        <v>1455</v>
      </c>
      <c r="Z560" t="s">
        <v>1455</v>
      </c>
      <c r="AM560" t="s">
        <v>106</v>
      </c>
      <c r="AO560"/>
      <c r="AQ560" t="s">
        <v>358</v>
      </c>
      <c r="AR560" t="s">
        <v>358</v>
      </c>
      <c r="AV560" s="2"/>
      <c r="BO560">
        <v>110190403</v>
      </c>
      <c r="BP560" t="s">
        <v>90</v>
      </c>
      <c r="BQ560" t="s">
        <v>82</v>
      </c>
      <c r="BR560" t="s">
        <v>1900</v>
      </c>
      <c r="BS560" t="s">
        <v>2133</v>
      </c>
      <c r="BT560" s="17">
        <f>Tabla1[[#This Row],[FECHA_TRASPLANTE]]</f>
        <v>45301</v>
      </c>
      <c r="BU560">
        <f>IF(Tabla1[[#This Row],[FALLECIDO SI/NO]]="NO",0,1)</f>
        <v>0</v>
      </c>
      <c r="BV560" s="3">
        <f ca="1">IF(Tabla1[[#This Row],[FALLECIDO_COD]]=0,TODAY()-Tabla1[[#This Row],[FECHA_TRASPLANTE]],Tabla1[[#This Row],[FECHA DE DEFUNCIÓN]]-Tabla1[[#This Row],[FECHA_TRASPLANTE]])</f>
        <v>574</v>
      </c>
      <c r="BW560" s="3">
        <f ca="1">IF(Tabla1[[#This Row],[FALLECIDO_COD]]=0,TODAY()-Tabla1[[#This Row],[FECHA_TRASPLANTE]],Tabla1[[#This Row],[FECHA DE DEFUNCIÓN]]-Tabla1[[#This Row],[FECHA_TRASPLANTE]])/30.4375</f>
        <v>18.858316221765914</v>
      </c>
      <c r="BX560" s="3">
        <f ca="1">IF(Tabla1[[#This Row],[FALLECIDO_COD]]=0,TODAY()-Tabla1[[#This Row],[FECHA_TRASPLANTE]],Tabla1[[#This Row],[FECHA DE DEFUNCIÓN]]-Tabla1[[#This Row],[FECHA_TRASPLANTE]])/365.25</f>
        <v>1.5715263518138261</v>
      </c>
      <c r="BY560"/>
      <c r="BZ560"/>
    </row>
    <row r="561" spans="1:78" x14ac:dyDescent="0.35">
      <c r="A561" t="s">
        <v>377</v>
      </c>
      <c r="D561" t="s">
        <v>1129</v>
      </c>
      <c r="E561" t="s">
        <v>375</v>
      </c>
      <c r="G561" t="s">
        <v>210</v>
      </c>
      <c r="H561" s="2">
        <v>36988</v>
      </c>
      <c r="I561">
        <v>22.798083504449007</v>
      </c>
      <c r="J561" t="s">
        <v>746</v>
      </c>
      <c r="K561" t="s">
        <v>2134</v>
      </c>
      <c r="L561" t="s">
        <v>155</v>
      </c>
      <c r="M561" t="s">
        <v>1720</v>
      </c>
      <c r="N561" s="11">
        <v>1900107500</v>
      </c>
      <c r="O561" s="2">
        <v>45315</v>
      </c>
      <c r="P561" t="s">
        <v>81</v>
      </c>
      <c r="Q561" s="2">
        <v>33033</v>
      </c>
      <c r="R561" s="3">
        <f>(Tabla1[[#This Row],[FECHA_TRASPLANTE]]-Tabla1[[#This Row],[FECHA_NAC]])/365.25</f>
        <v>33.626283367556468</v>
      </c>
      <c r="S561" t="s">
        <v>210</v>
      </c>
      <c r="T561"/>
      <c r="W561" t="s">
        <v>2135</v>
      </c>
      <c r="X561" t="s">
        <v>2136</v>
      </c>
      <c r="AM561" t="s">
        <v>106</v>
      </c>
      <c r="AO561"/>
      <c r="AQ561" t="s">
        <v>358</v>
      </c>
      <c r="AR561" t="s">
        <v>358</v>
      </c>
      <c r="AV561" s="2"/>
      <c r="BO561">
        <v>1010104699</v>
      </c>
      <c r="BP561" t="s">
        <v>81</v>
      </c>
      <c r="BQ561" t="s">
        <v>146</v>
      </c>
      <c r="BR561" t="s">
        <v>1854</v>
      </c>
      <c r="BS561" t="s">
        <v>1855</v>
      </c>
      <c r="BT561" s="17">
        <f>Tabla1[[#This Row],[FECHA_TRASPLANTE]]</f>
        <v>45315</v>
      </c>
      <c r="BU561">
        <f>IF(Tabla1[[#This Row],[FALLECIDO SI/NO]]="NO",0,1)</f>
        <v>0</v>
      </c>
      <c r="BV561" s="3">
        <f ca="1">IF(Tabla1[[#This Row],[FALLECIDO_COD]]=0,TODAY()-Tabla1[[#This Row],[FECHA_TRASPLANTE]],Tabla1[[#This Row],[FECHA DE DEFUNCIÓN]]-Tabla1[[#This Row],[FECHA_TRASPLANTE]])</f>
        <v>560</v>
      </c>
      <c r="BW561" s="3">
        <f ca="1">IF(Tabla1[[#This Row],[FALLECIDO_COD]]=0,TODAY()-Tabla1[[#This Row],[FECHA_TRASPLANTE]],Tabla1[[#This Row],[FECHA DE DEFUNCIÓN]]-Tabla1[[#This Row],[FECHA_TRASPLANTE]])/30.4375</f>
        <v>18.39835728952772</v>
      </c>
      <c r="BX561" s="3">
        <f ca="1">IF(Tabla1[[#This Row],[FALLECIDO_COD]]=0,TODAY()-Tabla1[[#This Row],[FECHA_TRASPLANTE]],Tabla1[[#This Row],[FECHA DE DEFUNCIÓN]]-Tabla1[[#This Row],[FECHA_TRASPLANTE]])/365.25</f>
        <v>1.5331964407939767</v>
      </c>
      <c r="BY561"/>
      <c r="BZ561"/>
    </row>
    <row r="562" spans="1:78" x14ac:dyDescent="0.35">
      <c r="A562" t="s">
        <v>75</v>
      </c>
      <c r="B562" t="s">
        <v>1828</v>
      </c>
      <c r="C562" t="s">
        <v>948</v>
      </c>
      <c r="D562" t="s">
        <v>1129</v>
      </c>
      <c r="E562" t="s">
        <v>77</v>
      </c>
      <c r="H562" s="2">
        <v>30520</v>
      </c>
      <c r="I562">
        <v>40</v>
      </c>
      <c r="K562" t="s">
        <v>2137</v>
      </c>
      <c r="L562" t="s">
        <v>866</v>
      </c>
      <c r="M562" t="s">
        <v>98</v>
      </c>
      <c r="N562" s="11">
        <v>103680380</v>
      </c>
      <c r="O562" s="16">
        <v>45372.25</v>
      </c>
      <c r="P562" t="s">
        <v>81</v>
      </c>
      <c r="Q562" s="2">
        <v>17916</v>
      </c>
      <c r="R562" s="3">
        <f>(Tabla1[[#This Row],[FECHA_TRASPLANTE]]-Tabla1[[#This Row],[FECHA_NAC]])/365.25</f>
        <v>75.171115674195761</v>
      </c>
      <c r="S562" t="s">
        <v>200</v>
      </c>
      <c r="T562"/>
      <c r="U562" t="s">
        <v>2138</v>
      </c>
      <c r="V562" t="s">
        <v>1824</v>
      </c>
      <c r="W562" t="s">
        <v>82</v>
      </c>
      <c r="X562" t="s">
        <v>91</v>
      </c>
      <c r="Y562" t="s">
        <v>553</v>
      </c>
      <c r="Z562" t="s">
        <v>1984</v>
      </c>
      <c r="AD562">
        <v>5</v>
      </c>
      <c r="AF562" t="s">
        <v>978</v>
      </c>
      <c r="AG562" t="s">
        <v>2139</v>
      </c>
      <c r="AM562" t="s">
        <v>106</v>
      </c>
      <c r="AO562"/>
      <c r="AQ562" t="s">
        <v>358</v>
      </c>
      <c r="AV562" s="2"/>
      <c r="AY562" t="s">
        <v>106</v>
      </c>
      <c r="BJ562" s="2"/>
      <c r="BO562">
        <v>111790146</v>
      </c>
      <c r="BP562" t="s">
        <v>90</v>
      </c>
      <c r="BQ562" t="s">
        <v>82</v>
      </c>
      <c r="BT562" s="17">
        <f>Tabla1[[#This Row],[FECHA_TRASPLANTE]]</f>
        <v>45372.25</v>
      </c>
      <c r="BU562">
        <f>IF(Tabla1[[#This Row],[FALLECIDO SI/NO]]="NO",0,1)</f>
        <v>0</v>
      </c>
      <c r="BV562" s="3">
        <f ca="1">IF(Tabla1[[#This Row],[FALLECIDO_COD]]=0,TODAY()-Tabla1[[#This Row],[FECHA_TRASPLANTE]],Tabla1[[#This Row],[FECHA DE DEFUNCIÓN]]-Tabla1[[#This Row],[FECHA_TRASPLANTE]])</f>
        <v>502.75</v>
      </c>
      <c r="BW562" s="3">
        <f ca="1">IF(Tabla1[[#This Row],[FALLECIDO_COD]]=0,TODAY()-Tabla1[[#This Row],[FECHA_TRASPLANTE]],Tabla1[[#This Row],[FECHA DE DEFUNCIÓN]]-Tabla1[[#This Row],[FECHA_TRASPLANTE]])/30.4375</f>
        <v>16.517453798767967</v>
      </c>
      <c r="BX562" s="3">
        <f ca="1">IF(Tabla1[[#This Row],[FALLECIDO_COD]]=0,TODAY()-Tabla1[[#This Row],[FECHA_TRASPLANTE]],Tabla1[[#This Row],[FECHA DE DEFUNCIÓN]]-Tabla1[[#This Row],[FECHA_TRASPLANTE]])/365.25</f>
        <v>1.376454483230664</v>
      </c>
      <c r="BY562"/>
      <c r="BZ562"/>
    </row>
    <row r="563" spans="1:78" x14ac:dyDescent="0.35">
      <c r="A563" t="s">
        <v>1126</v>
      </c>
      <c r="B563" t="s">
        <v>1126</v>
      </c>
      <c r="C563" t="s">
        <v>2140</v>
      </c>
      <c r="D563" t="s">
        <v>1333</v>
      </c>
      <c r="E563" t="s">
        <v>77</v>
      </c>
      <c r="F563" t="s">
        <v>86</v>
      </c>
      <c r="I563">
        <v>124.07186858316221</v>
      </c>
      <c r="J563" t="s">
        <v>1919</v>
      </c>
      <c r="K563" t="s">
        <v>2141</v>
      </c>
      <c r="L563" t="s">
        <v>2142</v>
      </c>
      <c r="M563" t="s">
        <v>80</v>
      </c>
      <c r="N563" s="11">
        <v>303250115</v>
      </c>
      <c r="O563" s="2">
        <v>45317.25</v>
      </c>
      <c r="P563" t="s">
        <v>1669</v>
      </c>
      <c r="Q563" s="2">
        <v>26769.25</v>
      </c>
      <c r="R563" s="3">
        <f>(Tabla1[[#This Row],[FECHA_TRASPLANTE]]-Tabla1[[#This Row],[FECHA_NAC]])/365.25</f>
        <v>50.781656399726216</v>
      </c>
      <c r="S563" t="s">
        <v>210</v>
      </c>
      <c r="U563" t="s">
        <v>2143</v>
      </c>
      <c r="V563" t="s">
        <v>1551</v>
      </c>
      <c r="W563" t="s">
        <v>82</v>
      </c>
      <c r="X563" t="s">
        <v>110</v>
      </c>
      <c r="Y563" t="s">
        <v>110</v>
      </c>
      <c r="Z563" t="s">
        <v>867</v>
      </c>
      <c r="AD563">
        <v>3</v>
      </c>
      <c r="AF563" t="s">
        <v>375</v>
      </c>
      <c r="AG563" t="s">
        <v>375</v>
      </c>
      <c r="AH563" t="s">
        <v>375</v>
      </c>
      <c r="AI563" t="s">
        <v>375</v>
      </c>
      <c r="AM563" t="s">
        <v>106</v>
      </c>
      <c r="AN563" s="2" t="s">
        <v>762</v>
      </c>
      <c r="AO563" s="2" t="s">
        <v>762</v>
      </c>
      <c r="AQ563" t="s">
        <v>358</v>
      </c>
      <c r="AR563" s="2" t="s">
        <v>358</v>
      </c>
      <c r="AS563" s="2"/>
      <c r="AV563" s="2" t="s">
        <v>762</v>
      </c>
      <c r="AY563" t="s">
        <v>106</v>
      </c>
      <c r="BA563" t="s">
        <v>1552</v>
      </c>
      <c r="BB563">
        <v>1.54</v>
      </c>
      <c r="BC563">
        <v>42</v>
      </c>
      <c r="BD563" t="s">
        <v>106</v>
      </c>
      <c r="BE563" s="2"/>
      <c r="BI563" t="s">
        <v>106</v>
      </c>
      <c r="BL563" t="s">
        <v>106</v>
      </c>
      <c r="BT563" s="17">
        <f>Tabla1[[#This Row],[FECHA_TRASPLANTE]]</f>
        <v>45317.25</v>
      </c>
      <c r="BU563">
        <f>IF(Tabla1[[#This Row],[FALLECIDO SI/NO]]="NO",0,1)</f>
        <v>0</v>
      </c>
      <c r="BV563" s="3">
        <f ca="1">IF(Tabla1[[#This Row],[FALLECIDO_COD]]=0,TODAY()-Tabla1[[#This Row],[FECHA_TRASPLANTE]],Tabla1[[#This Row],[FECHA DE DEFUNCIÓN]]-Tabla1[[#This Row],[FECHA_TRASPLANTE]])</f>
        <v>557.75</v>
      </c>
      <c r="BW563" s="3">
        <f ca="1">IF(Tabla1[[#This Row],[FALLECIDO_COD]]=0,TODAY()-Tabla1[[#This Row],[FECHA_TRASPLANTE]],Tabla1[[#This Row],[FECHA DE DEFUNCIÓN]]-Tabla1[[#This Row],[FECHA_TRASPLANTE]])/30.4375</f>
        <v>18.324435318275153</v>
      </c>
      <c r="BX563" s="3">
        <f ca="1">IF(Tabla1[[#This Row],[FALLECIDO_COD]]=0,TODAY()-Tabla1[[#This Row],[FECHA_TRASPLANTE]],Tabla1[[#This Row],[FECHA DE DEFUNCIÓN]]-Tabla1[[#This Row],[FECHA_TRASPLANTE]])/365.25</f>
        <v>1.5270362765229295</v>
      </c>
      <c r="BY563"/>
      <c r="BZ563"/>
    </row>
    <row r="564" spans="1:78" x14ac:dyDescent="0.35">
      <c r="A564" t="s">
        <v>376</v>
      </c>
      <c r="B564" t="s">
        <v>376</v>
      </c>
      <c r="C564" t="s">
        <v>2144</v>
      </c>
      <c r="D564" t="s">
        <v>1129</v>
      </c>
      <c r="E564" t="s">
        <v>77</v>
      </c>
      <c r="K564" t="s">
        <v>2145</v>
      </c>
      <c r="L564" t="s">
        <v>99</v>
      </c>
      <c r="M564" t="s">
        <v>141</v>
      </c>
      <c r="N564" s="11">
        <v>121100331</v>
      </c>
      <c r="O564" s="2">
        <v>45499</v>
      </c>
      <c r="P564" t="s">
        <v>90</v>
      </c>
      <c r="Q564" s="2">
        <v>40608</v>
      </c>
      <c r="R564" s="3">
        <f>(Tabla1[[#This Row],[FECHA_TRASPLANTE]]-Tabla1[[#This Row],[FECHA_NAC]])/365.25</f>
        <v>13.390828199863108</v>
      </c>
      <c r="S564" t="s">
        <v>200</v>
      </c>
      <c r="T564">
        <v>44503</v>
      </c>
      <c r="U564" t="s">
        <v>2146</v>
      </c>
      <c r="V564" t="s">
        <v>1838</v>
      </c>
      <c r="W564" t="s">
        <v>82</v>
      </c>
      <c r="X564" t="s">
        <v>91</v>
      </c>
      <c r="Y564" t="s">
        <v>91</v>
      </c>
      <c r="Z564" t="s">
        <v>457</v>
      </c>
      <c r="AM564" t="s">
        <v>106</v>
      </c>
      <c r="AO564"/>
      <c r="AQ564" t="s">
        <v>358</v>
      </c>
      <c r="AV564" s="2"/>
      <c r="AY564" t="s">
        <v>106</v>
      </c>
      <c r="BT564" s="17">
        <f>Tabla1[[#This Row],[FECHA_TRASPLANTE]]</f>
        <v>45499</v>
      </c>
      <c r="BU564">
        <f>IF(Tabla1[[#This Row],[FALLECIDO SI/NO]]="NO",0,1)</f>
        <v>0</v>
      </c>
      <c r="BV564" s="3">
        <f ca="1">IF(Tabla1[[#This Row],[FALLECIDO_COD]]=0,TODAY()-Tabla1[[#This Row],[FECHA_TRASPLANTE]],Tabla1[[#This Row],[FECHA DE DEFUNCIÓN]]-Tabla1[[#This Row],[FECHA_TRASPLANTE]])</f>
        <v>376</v>
      </c>
      <c r="BW564" s="3">
        <f ca="1">IF(Tabla1[[#This Row],[FALLECIDO_COD]]=0,TODAY()-Tabla1[[#This Row],[FECHA_TRASPLANTE]],Tabla1[[#This Row],[FECHA DE DEFUNCIÓN]]-Tabla1[[#This Row],[FECHA_TRASPLANTE]])/30.4375</f>
        <v>12.353182751540041</v>
      </c>
      <c r="BX564" s="3">
        <f ca="1">IF(Tabla1[[#This Row],[FALLECIDO_COD]]=0,TODAY()-Tabla1[[#This Row],[FECHA_TRASPLANTE]],Tabla1[[#This Row],[FECHA DE DEFUNCIÓN]]-Tabla1[[#This Row],[FECHA_TRASPLANTE]])/365.25</f>
        <v>1.0294318959616702</v>
      </c>
      <c r="BY564"/>
      <c r="BZ564"/>
    </row>
    <row r="565" spans="1:78" x14ac:dyDescent="0.35">
      <c r="A565" t="s">
        <v>75</v>
      </c>
      <c r="B565" t="s">
        <v>1828</v>
      </c>
      <c r="C565" t="s">
        <v>2147</v>
      </c>
      <c r="D565" t="s">
        <v>1129</v>
      </c>
      <c r="E565" t="s">
        <v>77</v>
      </c>
      <c r="H565" s="2">
        <v>30966</v>
      </c>
      <c r="I565">
        <v>39</v>
      </c>
      <c r="K565" t="s">
        <v>570</v>
      </c>
      <c r="L565" t="s">
        <v>870</v>
      </c>
      <c r="M565" t="s">
        <v>79</v>
      </c>
      <c r="N565" s="11">
        <v>103740777</v>
      </c>
      <c r="O565" s="16">
        <v>45317.25</v>
      </c>
      <c r="P565" t="s">
        <v>81</v>
      </c>
      <c r="Q565" s="2">
        <v>18059</v>
      </c>
      <c r="R565" s="3">
        <f>(Tabla1[[#This Row],[FECHA_TRASPLANTE]]-Tabla1[[#This Row],[FECHA_NAC]])/365.25</f>
        <v>74.629021218343595</v>
      </c>
      <c r="S565" t="s">
        <v>200</v>
      </c>
      <c r="T565"/>
      <c r="U565" t="s">
        <v>2009</v>
      </c>
      <c r="V565" t="s">
        <v>1824</v>
      </c>
      <c r="W565" t="s">
        <v>82</v>
      </c>
      <c r="X565" t="s">
        <v>91</v>
      </c>
      <c r="Y565" t="s">
        <v>84</v>
      </c>
      <c r="Z565" t="s">
        <v>446</v>
      </c>
      <c r="AD565">
        <v>7</v>
      </c>
      <c r="AF565" t="s">
        <v>978</v>
      </c>
      <c r="AG565" t="s">
        <v>978</v>
      </c>
      <c r="AH565" t="s">
        <v>770</v>
      </c>
      <c r="AM565" t="s">
        <v>86</v>
      </c>
      <c r="AN565" s="2">
        <v>45434</v>
      </c>
      <c r="AO565" t="s">
        <v>2148</v>
      </c>
      <c r="AP565" t="s">
        <v>86</v>
      </c>
      <c r="AQ565" t="s">
        <v>358</v>
      </c>
      <c r="AV565" s="2"/>
      <c r="AY565" t="s">
        <v>106</v>
      </c>
      <c r="BJ565" s="2"/>
      <c r="BO565">
        <v>112310677</v>
      </c>
      <c r="BP565" t="s">
        <v>90</v>
      </c>
      <c r="BQ565" t="s">
        <v>82</v>
      </c>
      <c r="BT565" s="17">
        <f>Tabla1[[#This Row],[FECHA_TRASPLANTE]]</f>
        <v>45317.25</v>
      </c>
      <c r="BU565">
        <f>IF(Tabla1[[#This Row],[FALLECIDO SI/NO]]="NO",0,1)</f>
        <v>1</v>
      </c>
      <c r="BV565" s="3">
        <f ca="1">IF(Tabla1[[#This Row],[FALLECIDO_COD]]=0,TODAY()-Tabla1[[#This Row],[FECHA_TRASPLANTE]],Tabla1[[#This Row],[FECHA DE DEFUNCIÓN]]-Tabla1[[#This Row],[FECHA_TRASPLANTE]])</f>
        <v>116.75</v>
      </c>
      <c r="BW565" s="3">
        <f ca="1">IF(Tabla1[[#This Row],[FALLECIDO_COD]]=0,TODAY()-Tabla1[[#This Row],[FECHA_TRASPLANTE]],Tabla1[[#This Row],[FECHA DE DEFUNCIÓN]]-Tabla1[[#This Row],[FECHA_TRASPLANTE]])/30.4375</f>
        <v>3.8357289527720737</v>
      </c>
      <c r="BX565" s="3">
        <f ca="1">IF(Tabla1[[#This Row],[FALLECIDO_COD]]=0,TODAY()-Tabla1[[#This Row],[FECHA_TRASPLANTE]],Tabla1[[#This Row],[FECHA DE DEFUNCIÓN]]-Tabla1[[#This Row],[FECHA_TRASPLANTE]])/365.25</f>
        <v>0.31964407939767281</v>
      </c>
      <c r="BY565"/>
      <c r="BZ565"/>
    </row>
    <row r="566" spans="1:78" x14ac:dyDescent="0.35">
      <c r="A566" t="s">
        <v>377</v>
      </c>
      <c r="D566" t="s">
        <v>1129</v>
      </c>
      <c r="E566" t="s">
        <v>375</v>
      </c>
      <c r="G566" t="s">
        <v>200</v>
      </c>
      <c r="H566" s="2">
        <v>29796</v>
      </c>
      <c r="I566">
        <v>42.507871321013006</v>
      </c>
      <c r="J566" t="s">
        <v>746</v>
      </c>
      <c r="K566" t="s">
        <v>117</v>
      </c>
      <c r="L566" t="s">
        <v>2149</v>
      </c>
      <c r="M566" t="s">
        <v>918</v>
      </c>
      <c r="N566" s="11">
        <v>109500523</v>
      </c>
      <c r="O566" s="2">
        <v>45322</v>
      </c>
      <c r="P566" t="s">
        <v>90</v>
      </c>
      <c r="Q566" s="2">
        <v>28037</v>
      </c>
      <c r="R566" s="3">
        <f>(Tabla1[[#This Row],[FECHA_TRASPLANTE]]-Tabla1[[#This Row],[FECHA_NAC]])/365.25</f>
        <v>47.323750855578368</v>
      </c>
      <c r="S566" t="s">
        <v>200</v>
      </c>
      <c r="T566"/>
      <c r="W566" t="s">
        <v>82</v>
      </c>
      <c r="X566" t="s">
        <v>261</v>
      </c>
      <c r="Y566" t="s">
        <v>353</v>
      </c>
      <c r="Z566" t="s">
        <v>353</v>
      </c>
      <c r="AM566" t="s">
        <v>106</v>
      </c>
      <c r="AO566"/>
      <c r="AQ566" t="s">
        <v>358</v>
      </c>
      <c r="AR566" t="s">
        <v>358</v>
      </c>
      <c r="AV566" s="2"/>
      <c r="BO566">
        <v>111120042</v>
      </c>
      <c r="BP566" t="s">
        <v>90</v>
      </c>
      <c r="BQ566" t="s">
        <v>82</v>
      </c>
      <c r="BR566" t="s">
        <v>1854</v>
      </c>
      <c r="BS566" t="s">
        <v>1855</v>
      </c>
      <c r="BT566" s="17">
        <f>Tabla1[[#This Row],[FECHA_TRASPLANTE]]</f>
        <v>45322</v>
      </c>
      <c r="BU566">
        <f>IF(Tabla1[[#This Row],[FALLECIDO SI/NO]]="NO",0,1)</f>
        <v>0</v>
      </c>
      <c r="BV566" s="3">
        <f ca="1">IF(Tabla1[[#This Row],[FALLECIDO_COD]]=0,TODAY()-Tabla1[[#This Row],[FECHA_TRASPLANTE]],Tabla1[[#This Row],[FECHA DE DEFUNCIÓN]]-Tabla1[[#This Row],[FECHA_TRASPLANTE]])</f>
        <v>553</v>
      </c>
      <c r="BW566" s="3">
        <f ca="1">IF(Tabla1[[#This Row],[FALLECIDO_COD]]=0,TODAY()-Tabla1[[#This Row],[FECHA_TRASPLANTE]],Tabla1[[#This Row],[FECHA DE DEFUNCIÓN]]-Tabla1[[#This Row],[FECHA_TRASPLANTE]])/30.4375</f>
        <v>18.168377823408623</v>
      </c>
      <c r="BX566" s="3">
        <f ca="1">IF(Tabla1[[#This Row],[FALLECIDO_COD]]=0,TODAY()-Tabla1[[#This Row],[FECHA_TRASPLANTE]],Tabla1[[#This Row],[FECHA DE DEFUNCIÓN]]-Tabla1[[#This Row],[FECHA_TRASPLANTE]])/365.25</f>
        <v>1.514031485284052</v>
      </c>
      <c r="BY566"/>
      <c r="BZ566"/>
    </row>
    <row r="567" spans="1:78" x14ac:dyDescent="0.35">
      <c r="A567" t="s">
        <v>75</v>
      </c>
      <c r="B567" t="s">
        <v>1828</v>
      </c>
      <c r="C567" t="s">
        <v>2150</v>
      </c>
      <c r="D567" t="s">
        <v>1129</v>
      </c>
      <c r="E567" t="s">
        <v>77</v>
      </c>
      <c r="H567" s="2">
        <v>26351</v>
      </c>
      <c r="I567">
        <v>52</v>
      </c>
      <c r="K567" t="s">
        <v>2151</v>
      </c>
      <c r="L567" t="s">
        <v>605</v>
      </c>
      <c r="M567" t="s">
        <v>453</v>
      </c>
      <c r="N567" s="11">
        <v>104031153</v>
      </c>
      <c r="O567" s="16">
        <v>45321.25</v>
      </c>
      <c r="P567" t="s">
        <v>90</v>
      </c>
      <c r="Q567" s="2">
        <v>18931</v>
      </c>
      <c r="R567" s="3">
        <f>(Tabla1[[#This Row],[FECHA_TRASPLANTE]]-Tabla1[[#This Row],[FECHA_NAC]])/365.25</f>
        <v>72.252566735112936</v>
      </c>
      <c r="S567" t="s">
        <v>200</v>
      </c>
      <c r="T567"/>
      <c r="U567" t="s">
        <v>2009</v>
      </c>
      <c r="V567" t="s">
        <v>1824</v>
      </c>
      <c r="W567" t="s">
        <v>82</v>
      </c>
      <c r="X567" t="s">
        <v>91</v>
      </c>
      <c r="Y567" t="s">
        <v>498</v>
      </c>
      <c r="Z567" t="s">
        <v>2152</v>
      </c>
      <c r="AD567">
        <v>19</v>
      </c>
      <c r="AF567" t="s">
        <v>2153</v>
      </c>
      <c r="AG567" t="s">
        <v>2154</v>
      </c>
      <c r="AM567" t="s">
        <v>86</v>
      </c>
      <c r="AN567" s="2">
        <v>45374</v>
      </c>
      <c r="AO567" t="s">
        <v>2155</v>
      </c>
      <c r="AP567" t="s">
        <v>106</v>
      </c>
      <c r="AQ567" t="s">
        <v>358</v>
      </c>
      <c r="AV567" s="2"/>
      <c r="AY567" t="s">
        <v>106</v>
      </c>
      <c r="BJ567" s="2"/>
      <c r="BO567">
        <v>2720098249</v>
      </c>
      <c r="BP567" t="s">
        <v>90</v>
      </c>
      <c r="BQ567" t="s">
        <v>146</v>
      </c>
      <c r="BT567" s="17">
        <f>Tabla1[[#This Row],[FECHA_TRASPLANTE]]</f>
        <v>45321.25</v>
      </c>
      <c r="BU567">
        <f>IF(Tabla1[[#This Row],[FALLECIDO SI/NO]]="NO",0,1)</f>
        <v>1</v>
      </c>
      <c r="BV567" s="3">
        <f ca="1">IF(Tabla1[[#This Row],[FALLECIDO_COD]]=0,TODAY()-Tabla1[[#This Row],[FECHA_TRASPLANTE]],Tabla1[[#This Row],[FECHA DE DEFUNCIÓN]]-Tabla1[[#This Row],[FECHA_TRASPLANTE]])</f>
        <v>52.75</v>
      </c>
      <c r="BW567" s="3">
        <f ca="1">IF(Tabla1[[#This Row],[FALLECIDO_COD]]=0,TODAY()-Tabla1[[#This Row],[FECHA_TRASPLANTE]],Tabla1[[#This Row],[FECHA DE DEFUNCIÓN]]-Tabla1[[#This Row],[FECHA_TRASPLANTE]])/30.4375</f>
        <v>1.7330595482546201</v>
      </c>
      <c r="BX567" s="3">
        <f ca="1">IF(Tabla1[[#This Row],[FALLECIDO_COD]]=0,TODAY()-Tabla1[[#This Row],[FECHA_TRASPLANTE]],Tabla1[[#This Row],[FECHA DE DEFUNCIÓN]]-Tabla1[[#This Row],[FECHA_TRASPLANTE]])/365.25</f>
        <v>0.14442162902121836</v>
      </c>
      <c r="BY567"/>
      <c r="BZ567"/>
    </row>
    <row r="568" spans="1:78" x14ac:dyDescent="0.35">
      <c r="A568" t="s">
        <v>377</v>
      </c>
      <c r="D568" t="s">
        <v>1129</v>
      </c>
      <c r="E568" t="s">
        <v>77</v>
      </c>
      <c r="J568" t="s">
        <v>1834</v>
      </c>
      <c r="K568" t="s">
        <v>2156</v>
      </c>
      <c r="L568" t="s">
        <v>1113</v>
      </c>
      <c r="M568" t="s">
        <v>820</v>
      </c>
      <c r="N568" s="12">
        <v>16564649</v>
      </c>
      <c r="O568" s="2">
        <v>45329</v>
      </c>
      <c r="P568" t="s">
        <v>81</v>
      </c>
      <c r="Q568" s="2">
        <v>23906</v>
      </c>
      <c r="R568" s="3">
        <f>(Tabla1[[#This Row],[FECHA_TRASPLANTE]]-Tabla1[[#This Row],[FECHA_NAC]])/365.25</f>
        <v>58.652977412731005</v>
      </c>
      <c r="S568" t="s">
        <v>200</v>
      </c>
      <c r="T568"/>
      <c r="W568" t="s">
        <v>1132</v>
      </c>
      <c r="X568" t="s">
        <v>83</v>
      </c>
      <c r="Y568" t="s">
        <v>1736</v>
      </c>
      <c r="Z568" t="s">
        <v>1774</v>
      </c>
      <c r="AM568" t="s">
        <v>86</v>
      </c>
      <c r="AN568" s="2">
        <v>45343</v>
      </c>
      <c r="AO568" t="s">
        <v>2157</v>
      </c>
      <c r="AP568" t="s">
        <v>106</v>
      </c>
      <c r="AV568" s="2"/>
      <c r="BT568" s="17">
        <f>Tabla1[[#This Row],[FECHA_TRASPLANTE]]</f>
        <v>45329</v>
      </c>
      <c r="BU568">
        <f>IF(Tabla1[[#This Row],[FALLECIDO SI/NO]]="NO",0,1)</f>
        <v>1</v>
      </c>
      <c r="BV568" s="3">
        <f ca="1">IF(Tabla1[[#This Row],[FALLECIDO_COD]]=0,TODAY()-Tabla1[[#This Row],[FECHA_TRASPLANTE]],Tabla1[[#This Row],[FECHA DE DEFUNCIÓN]]-Tabla1[[#This Row],[FECHA_TRASPLANTE]])</f>
        <v>14</v>
      </c>
      <c r="BW568" s="3">
        <f ca="1">IF(Tabla1[[#This Row],[FALLECIDO_COD]]=0,TODAY()-Tabla1[[#This Row],[FECHA_TRASPLANTE]],Tabla1[[#This Row],[FECHA DE DEFUNCIÓN]]-Tabla1[[#This Row],[FECHA_TRASPLANTE]])/30.4375</f>
        <v>0.45995893223819301</v>
      </c>
      <c r="BX568" s="3">
        <f ca="1">IF(Tabla1[[#This Row],[FALLECIDO_COD]]=0,TODAY()-Tabla1[[#This Row],[FECHA_TRASPLANTE]],Tabla1[[#This Row],[FECHA DE DEFUNCIÓN]]-Tabla1[[#This Row],[FECHA_TRASPLANTE]])/365.25</f>
        <v>3.8329911019849415E-2</v>
      </c>
      <c r="BY568"/>
      <c r="BZ568"/>
    </row>
    <row r="569" spans="1:78" x14ac:dyDescent="0.35">
      <c r="A569" t="s">
        <v>376</v>
      </c>
      <c r="B569" t="s">
        <v>376</v>
      </c>
      <c r="C569" t="s">
        <v>2158</v>
      </c>
      <c r="D569" t="s">
        <v>1129</v>
      </c>
      <c r="E569" t="s">
        <v>77</v>
      </c>
      <c r="G569" t="s">
        <v>200</v>
      </c>
      <c r="H569" s="2" t="s">
        <v>1819</v>
      </c>
      <c r="I569">
        <v>29</v>
      </c>
      <c r="J569" t="s">
        <v>1820</v>
      </c>
      <c r="K569" t="s">
        <v>625</v>
      </c>
      <c r="L569" t="s">
        <v>2159</v>
      </c>
      <c r="M569" t="s">
        <v>94</v>
      </c>
      <c r="N569" s="11">
        <v>209250420</v>
      </c>
      <c r="O569" s="2">
        <v>45297.25</v>
      </c>
      <c r="P569" t="s">
        <v>81</v>
      </c>
      <c r="Q569" s="2">
        <v>40147</v>
      </c>
      <c r="R569" s="3">
        <f>(Tabla1[[#This Row],[FECHA_TRASPLANTE]]-Tabla1[[#This Row],[FECHA_NAC]])/365.25</f>
        <v>14.100616016427105</v>
      </c>
      <c r="S569" t="s">
        <v>200</v>
      </c>
      <c r="T569">
        <v>44883</v>
      </c>
      <c r="U569" t="s">
        <v>2160</v>
      </c>
      <c r="V569" t="s">
        <v>1838</v>
      </c>
      <c r="W569" t="s">
        <v>82</v>
      </c>
      <c r="X569" t="s">
        <v>115</v>
      </c>
      <c r="Y569" t="s">
        <v>197</v>
      </c>
      <c r="Z569" t="s">
        <v>1700</v>
      </c>
      <c r="AD569">
        <v>0</v>
      </c>
      <c r="AF569" t="s">
        <v>816</v>
      </c>
      <c r="AG569" t="s">
        <v>816</v>
      </c>
      <c r="AH569" t="s">
        <v>816</v>
      </c>
      <c r="AI569" t="s">
        <v>816</v>
      </c>
      <c r="AJ569" t="s">
        <v>816</v>
      </c>
      <c r="AK569" t="s">
        <v>816</v>
      </c>
      <c r="AM569" t="s">
        <v>106</v>
      </c>
      <c r="AO569"/>
      <c r="AQ569" t="s">
        <v>358</v>
      </c>
      <c r="AR569" t="s">
        <v>358</v>
      </c>
      <c r="AV569" s="2"/>
      <c r="AY569" t="s">
        <v>106</v>
      </c>
      <c r="BO569" t="s">
        <v>1979</v>
      </c>
      <c r="BP569" t="s">
        <v>2132</v>
      </c>
      <c r="BQ569" t="s">
        <v>82</v>
      </c>
      <c r="BS569" t="s">
        <v>1888</v>
      </c>
      <c r="BT569" s="17">
        <f>Tabla1[[#This Row],[FECHA_TRASPLANTE]]</f>
        <v>45297.25</v>
      </c>
      <c r="BU569">
        <f>IF(Tabla1[[#This Row],[FALLECIDO SI/NO]]="NO",0,1)</f>
        <v>0</v>
      </c>
      <c r="BV569" s="3">
        <f ca="1">IF(Tabla1[[#This Row],[FALLECIDO_COD]]=0,TODAY()-Tabla1[[#This Row],[FECHA_TRASPLANTE]],Tabla1[[#This Row],[FECHA DE DEFUNCIÓN]]-Tabla1[[#This Row],[FECHA_TRASPLANTE]])</f>
        <v>577.75</v>
      </c>
      <c r="BW569" s="3">
        <f ca="1">IF(Tabla1[[#This Row],[FALLECIDO_COD]]=0,TODAY()-Tabla1[[#This Row],[FECHA_TRASPLANTE]],Tabla1[[#This Row],[FECHA DE DEFUNCIÓN]]-Tabla1[[#This Row],[FECHA_TRASPLANTE]])/30.4375</f>
        <v>18.981519507186857</v>
      </c>
      <c r="BX569" s="3">
        <f ca="1">IF(Tabla1[[#This Row],[FALLECIDO_COD]]=0,TODAY()-Tabla1[[#This Row],[FECHA_TRASPLANTE]],Tabla1[[#This Row],[FECHA DE DEFUNCIÓN]]-Tabla1[[#This Row],[FECHA_TRASPLANTE]])/365.25</f>
        <v>1.5817932922655715</v>
      </c>
      <c r="BY569"/>
      <c r="BZ569"/>
    </row>
    <row r="570" spans="1:78" ht="15.5" x14ac:dyDescent="0.35">
      <c r="A570" t="s">
        <v>1126</v>
      </c>
      <c r="B570" t="s">
        <v>1126</v>
      </c>
      <c r="D570" t="s">
        <v>1333</v>
      </c>
      <c r="E570" t="s">
        <v>375</v>
      </c>
      <c r="F570" t="s">
        <v>106</v>
      </c>
      <c r="G570" t="s">
        <v>200</v>
      </c>
      <c r="H570" s="2">
        <v>33975.25</v>
      </c>
      <c r="I570">
        <v>31.09924709103354</v>
      </c>
      <c r="J570" t="s">
        <v>746</v>
      </c>
      <c r="K570" t="s">
        <v>2161</v>
      </c>
      <c r="L570" t="s">
        <v>132</v>
      </c>
      <c r="M570" t="s">
        <v>753</v>
      </c>
      <c r="N570" s="11">
        <v>304220224</v>
      </c>
      <c r="O570" s="2">
        <v>45334.25</v>
      </c>
      <c r="P570" t="s">
        <v>81</v>
      </c>
      <c r="Q570" s="2">
        <v>32009.25</v>
      </c>
      <c r="R570" s="3">
        <f>(Tabla1[[#This Row],[FECHA_TRASPLANTE]]-Tabla1[[#This Row],[FECHA_NAC]])/365.25</f>
        <v>36.481861738535251</v>
      </c>
      <c r="S570" t="s">
        <v>200</v>
      </c>
      <c r="U570" t="s">
        <v>2162</v>
      </c>
      <c r="V570" t="s">
        <v>1551</v>
      </c>
      <c r="W570" t="s">
        <v>82</v>
      </c>
      <c r="X570" t="s">
        <v>110</v>
      </c>
      <c r="Y570" t="s">
        <v>110</v>
      </c>
      <c r="Z570" t="s">
        <v>867</v>
      </c>
      <c r="AD570">
        <v>0</v>
      </c>
      <c r="AF570" t="s">
        <v>375</v>
      </c>
      <c r="AG570" t="s">
        <v>375</v>
      </c>
      <c r="AH570" t="s">
        <v>375</v>
      </c>
      <c r="AI570" t="s">
        <v>375</v>
      </c>
      <c r="AM570" t="s">
        <v>106</v>
      </c>
      <c r="AN570" s="2" t="s">
        <v>762</v>
      </c>
      <c r="AO570" s="2" t="s">
        <v>762</v>
      </c>
      <c r="AQ570" t="s">
        <v>358</v>
      </c>
      <c r="AR570" s="2" t="s">
        <v>358</v>
      </c>
      <c r="AS570" s="2"/>
      <c r="AV570" s="2" t="s">
        <v>762</v>
      </c>
      <c r="AY570" t="s">
        <v>106</v>
      </c>
      <c r="BA570" t="s">
        <v>1812</v>
      </c>
      <c r="BB570">
        <v>1.65</v>
      </c>
      <c r="BC570">
        <v>55</v>
      </c>
      <c r="BD570" t="s">
        <v>106</v>
      </c>
      <c r="BE570" s="2"/>
      <c r="BI570" t="s">
        <v>106</v>
      </c>
      <c r="BL570" t="s">
        <v>106</v>
      </c>
      <c r="BO570" s="10">
        <v>304670692</v>
      </c>
      <c r="BP570" t="s">
        <v>81</v>
      </c>
      <c r="BQ570" t="s">
        <v>82</v>
      </c>
      <c r="BR570" t="s">
        <v>1854</v>
      </c>
      <c r="BS570" t="s">
        <v>1855</v>
      </c>
      <c r="BT570" s="17">
        <f>Tabla1[[#This Row],[FECHA_TRASPLANTE]]</f>
        <v>45334.25</v>
      </c>
      <c r="BU570">
        <f>IF(Tabla1[[#This Row],[FALLECIDO SI/NO]]="NO",0,1)</f>
        <v>0</v>
      </c>
      <c r="BV570" s="3">
        <f ca="1">IF(Tabla1[[#This Row],[FALLECIDO_COD]]=0,TODAY()-Tabla1[[#This Row],[FECHA_TRASPLANTE]],Tabla1[[#This Row],[FECHA DE DEFUNCIÓN]]-Tabla1[[#This Row],[FECHA_TRASPLANTE]])</f>
        <v>540.75</v>
      </c>
      <c r="BW570" s="3">
        <f ca="1">IF(Tabla1[[#This Row],[FALLECIDO_COD]]=0,TODAY()-Tabla1[[#This Row],[FECHA_TRASPLANTE]],Tabla1[[#This Row],[FECHA DE DEFUNCIÓN]]-Tabla1[[#This Row],[FECHA_TRASPLANTE]])/30.4375</f>
        <v>17.765913757700204</v>
      </c>
      <c r="BX570" s="3">
        <f ca="1">IF(Tabla1[[#This Row],[FALLECIDO_COD]]=0,TODAY()-Tabla1[[#This Row],[FECHA_TRASPLANTE]],Tabla1[[#This Row],[FECHA DE DEFUNCIÓN]]-Tabla1[[#This Row],[FECHA_TRASPLANTE]])/365.25</f>
        <v>1.4804928131416837</v>
      </c>
      <c r="BY570"/>
      <c r="BZ570"/>
    </row>
    <row r="571" spans="1:78" x14ac:dyDescent="0.35">
      <c r="A571" t="s">
        <v>377</v>
      </c>
      <c r="D571" t="s">
        <v>1129</v>
      </c>
      <c r="E571" t="s">
        <v>375</v>
      </c>
      <c r="G571" t="s">
        <v>210</v>
      </c>
      <c r="H571" s="2">
        <v>33864</v>
      </c>
      <c r="I571">
        <v>31.408624229979466</v>
      </c>
      <c r="J571" t="s">
        <v>746</v>
      </c>
      <c r="K571" t="s">
        <v>2163</v>
      </c>
      <c r="L571" t="s">
        <v>2164</v>
      </c>
      <c r="M571" t="s">
        <v>465</v>
      </c>
      <c r="N571" s="11">
        <v>114560669</v>
      </c>
      <c r="O571" s="2">
        <v>45336</v>
      </c>
      <c r="P571" t="s">
        <v>81</v>
      </c>
      <c r="Q571" s="2">
        <v>33284</v>
      </c>
      <c r="R571" s="3">
        <f>(Tabla1[[#This Row],[FECHA_TRASPLANTE]]-Tabla1[[#This Row],[FECHA_NAC]])/365.25</f>
        <v>32.996577686516083</v>
      </c>
      <c r="S571" t="s">
        <v>210</v>
      </c>
      <c r="T571"/>
      <c r="W571" t="s">
        <v>82</v>
      </c>
      <c r="X571" t="s">
        <v>91</v>
      </c>
      <c r="Y571" t="s">
        <v>116</v>
      </c>
      <c r="Z571" t="s">
        <v>616</v>
      </c>
      <c r="AM571" t="s">
        <v>106</v>
      </c>
      <c r="AO571"/>
      <c r="AQ571" t="s">
        <v>358</v>
      </c>
      <c r="AR571" t="s">
        <v>358</v>
      </c>
      <c r="AV571" s="2"/>
      <c r="BO571">
        <v>115110945</v>
      </c>
      <c r="BP571" t="s">
        <v>81</v>
      </c>
      <c r="BQ571" t="s">
        <v>82</v>
      </c>
      <c r="BR571" t="s">
        <v>1854</v>
      </c>
      <c r="BS571" t="s">
        <v>1855</v>
      </c>
      <c r="BT571" s="17">
        <f>Tabla1[[#This Row],[FECHA_TRASPLANTE]]</f>
        <v>45336</v>
      </c>
      <c r="BU571">
        <f>IF(Tabla1[[#This Row],[FALLECIDO SI/NO]]="NO",0,1)</f>
        <v>0</v>
      </c>
      <c r="BV571" s="3">
        <f ca="1">IF(Tabla1[[#This Row],[FALLECIDO_COD]]=0,TODAY()-Tabla1[[#This Row],[FECHA_TRASPLANTE]],Tabla1[[#This Row],[FECHA DE DEFUNCIÓN]]-Tabla1[[#This Row],[FECHA_TRASPLANTE]])</f>
        <v>539</v>
      </c>
      <c r="BW571" s="3">
        <f ca="1">IF(Tabla1[[#This Row],[FALLECIDO_COD]]=0,TODAY()-Tabla1[[#This Row],[FECHA_TRASPLANTE]],Tabla1[[#This Row],[FECHA DE DEFUNCIÓN]]-Tabla1[[#This Row],[FECHA_TRASPLANTE]])/30.4375</f>
        <v>17.708418891170432</v>
      </c>
      <c r="BX571" s="3">
        <f ca="1">IF(Tabla1[[#This Row],[FALLECIDO_COD]]=0,TODAY()-Tabla1[[#This Row],[FECHA_TRASPLANTE]],Tabla1[[#This Row],[FECHA DE DEFUNCIÓN]]-Tabla1[[#This Row],[FECHA_TRASPLANTE]])/365.25</f>
        <v>1.4757015742642026</v>
      </c>
      <c r="BY571"/>
      <c r="BZ571"/>
    </row>
    <row r="572" spans="1:78" x14ac:dyDescent="0.35">
      <c r="A572" t="s">
        <v>377</v>
      </c>
      <c r="D572" t="s">
        <v>1129</v>
      </c>
      <c r="E572" t="s">
        <v>77</v>
      </c>
      <c r="J572" t="s">
        <v>1834</v>
      </c>
      <c r="K572" t="s">
        <v>2165</v>
      </c>
      <c r="L572" t="s">
        <v>274</v>
      </c>
      <c r="M572" t="s">
        <v>2166</v>
      </c>
      <c r="N572" s="11">
        <v>401710016</v>
      </c>
      <c r="O572" s="2">
        <v>45340</v>
      </c>
      <c r="P572" t="s">
        <v>81</v>
      </c>
      <c r="Q572" s="2">
        <v>28999</v>
      </c>
      <c r="R572" s="3">
        <f>(Tabla1[[#This Row],[FECHA_TRASPLANTE]]-Tabla1[[#This Row],[FECHA_NAC]])/365.25</f>
        <v>44.739219712525667</v>
      </c>
      <c r="S572" t="s">
        <v>200</v>
      </c>
      <c r="T572"/>
      <c r="W572" t="s">
        <v>82</v>
      </c>
      <c r="X572" t="s">
        <v>261</v>
      </c>
      <c r="Y572" t="s">
        <v>84</v>
      </c>
      <c r="Z572" t="s">
        <v>302</v>
      </c>
      <c r="AM572" t="s">
        <v>106</v>
      </c>
      <c r="AO572"/>
      <c r="AQ572" t="s">
        <v>358</v>
      </c>
      <c r="AR572" t="s">
        <v>358</v>
      </c>
      <c r="AV572" s="2"/>
      <c r="BT572" s="17">
        <f>Tabla1[[#This Row],[FECHA_TRASPLANTE]]</f>
        <v>45340</v>
      </c>
      <c r="BU572">
        <f>IF(Tabla1[[#This Row],[FALLECIDO SI/NO]]="NO",0,1)</f>
        <v>0</v>
      </c>
      <c r="BV572" s="3">
        <f ca="1">IF(Tabla1[[#This Row],[FALLECIDO_COD]]=0,TODAY()-Tabla1[[#This Row],[FECHA_TRASPLANTE]],Tabla1[[#This Row],[FECHA DE DEFUNCIÓN]]-Tabla1[[#This Row],[FECHA_TRASPLANTE]])</f>
        <v>535</v>
      </c>
      <c r="BW572" s="3">
        <f ca="1">IF(Tabla1[[#This Row],[FALLECIDO_COD]]=0,TODAY()-Tabla1[[#This Row],[FECHA_TRASPLANTE]],Tabla1[[#This Row],[FECHA DE DEFUNCIÓN]]-Tabla1[[#This Row],[FECHA_TRASPLANTE]])/30.4375</f>
        <v>17.577002053388089</v>
      </c>
      <c r="BX572" s="3">
        <f ca="1">IF(Tabla1[[#This Row],[FALLECIDO_COD]]=0,TODAY()-Tabla1[[#This Row],[FECHA_TRASPLANTE]],Tabla1[[#This Row],[FECHA DE DEFUNCIÓN]]-Tabla1[[#This Row],[FECHA_TRASPLANTE]])/365.25</f>
        <v>1.4647501711156743</v>
      </c>
      <c r="BY572"/>
      <c r="BZ572"/>
    </row>
    <row r="573" spans="1:78" x14ac:dyDescent="0.35">
      <c r="A573" t="s">
        <v>377</v>
      </c>
      <c r="D573" t="s">
        <v>1129</v>
      </c>
      <c r="E573" t="s">
        <v>375</v>
      </c>
      <c r="G573" t="s">
        <v>200</v>
      </c>
      <c r="H573" s="2">
        <v>27755</v>
      </c>
      <c r="I573">
        <v>48.172484599589325</v>
      </c>
      <c r="J573" t="s">
        <v>1898</v>
      </c>
      <c r="K573" t="s">
        <v>2167</v>
      </c>
      <c r="L573" t="s">
        <v>149</v>
      </c>
      <c r="M573" t="s">
        <v>2168</v>
      </c>
      <c r="N573" s="11">
        <v>601590079</v>
      </c>
      <c r="O573" s="2">
        <v>45350</v>
      </c>
      <c r="P573" t="s">
        <v>81</v>
      </c>
      <c r="Q573" s="2">
        <v>22410</v>
      </c>
      <c r="R573" s="3">
        <f>(Tabla1[[#This Row],[FECHA_TRASPLANTE]]-Tabla1[[#This Row],[FECHA_NAC]])/365.25</f>
        <v>62.806297056810401</v>
      </c>
      <c r="S573" t="s">
        <v>200</v>
      </c>
      <c r="T573"/>
      <c r="W573" t="s">
        <v>82</v>
      </c>
      <c r="X573" t="s">
        <v>91</v>
      </c>
      <c r="Y573" t="s">
        <v>179</v>
      </c>
      <c r="Z573" t="s">
        <v>180</v>
      </c>
      <c r="AM573" t="s">
        <v>106</v>
      </c>
      <c r="AO573"/>
      <c r="AQ573" t="s">
        <v>358</v>
      </c>
      <c r="AR573" t="s">
        <v>358</v>
      </c>
      <c r="AV573" s="2"/>
      <c r="BO573">
        <v>109260871</v>
      </c>
      <c r="BP573" t="s">
        <v>90</v>
      </c>
      <c r="BQ573" t="s">
        <v>82</v>
      </c>
      <c r="BR573" t="s">
        <v>1900</v>
      </c>
      <c r="BS573" t="s">
        <v>1901</v>
      </c>
      <c r="BT573" s="17">
        <f>Tabla1[[#This Row],[FECHA_TRASPLANTE]]</f>
        <v>45350</v>
      </c>
      <c r="BU573">
        <f>IF(Tabla1[[#This Row],[FALLECIDO SI/NO]]="NO",0,1)</f>
        <v>0</v>
      </c>
      <c r="BV573" s="3">
        <f ca="1">IF(Tabla1[[#This Row],[FALLECIDO_COD]]=0,TODAY()-Tabla1[[#This Row],[FECHA_TRASPLANTE]],Tabla1[[#This Row],[FECHA DE DEFUNCIÓN]]-Tabla1[[#This Row],[FECHA_TRASPLANTE]])</f>
        <v>525</v>
      </c>
      <c r="BW573" s="3">
        <f ca="1">IF(Tabla1[[#This Row],[FALLECIDO_COD]]=0,TODAY()-Tabla1[[#This Row],[FECHA_TRASPLANTE]],Tabla1[[#This Row],[FECHA DE DEFUNCIÓN]]-Tabla1[[#This Row],[FECHA_TRASPLANTE]])/30.4375</f>
        <v>17.248459958932237</v>
      </c>
      <c r="BX573" s="3">
        <f ca="1">IF(Tabla1[[#This Row],[FALLECIDO_COD]]=0,TODAY()-Tabla1[[#This Row],[FECHA_TRASPLANTE]],Tabla1[[#This Row],[FECHA DE DEFUNCIÓN]]-Tabla1[[#This Row],[FECHA_TRASPLANTE]])/365.25</f>
        <v>1.4373716632443532</v>
      </c>
      <c r="BY573"/>
      <c r="BZ573"/>
    </row>
    <row r="574" spans="1:78" x14ac:dyDescent="0.35">
      <c r="A574" t="s">
        <v>1126</v>
      </c>
      <c r="B574" t="s">
        <v>1126</v>
      </c>
      <c r="D574" t="s">
        <v>1333</v>
      </c>
      <c r="E574" t="s">
        <v>375</v>
      </c>
      <c r="F574" t="s">
        <v>106</v>
      </c>
      <c r="G574" t="s">
        <v>200</v>
      </c>
      <c r="H574" s="2">
        <v>38200.25</v>
      </c>
      <c r="I574">
        <v>19.589322381930184</v>
      </c>
      <c r="J574" t="s">
        <v>746</v>
      </c>
      <c r="K574" t="s">
        <v>2169</v>
      </c>
      <c r="L574" t="s">
        <v>132</v>
      </c>
      <c r="M574" t="s">
        <v>1685</v>
      </c>
      <c r="N574" s="11">
        <v>118200941</v>
      </c>
      <c r="O574" s="2">
        <v>45355.25</v>
      </c>
      <c r="P574" t="s">
        <v>81</v>
      </c>
      <c r="Q574" s="2">
        <v>37143.25</v>
      </c>
      <c r="R574" s="3">
        <f>(Tabla1[[#This Row],[FECHA_TRASPLANTE]]-Tabla1[[#This Row],[FECHA_NAC]])/365.25</f>
        <v>22.483230663928815</v>
      </c>
      <c r="S574" t="s">
        <v>200</v>
      </c>
      <c r="U574" t="s">
        <v>1814</v>
      </c>
      <c r="V574" t="s">
        <v>1566</v>
      </c>
      <c r="W574" t="s">
        <v>82</v>
      </c>
      <c r="X574" t="s">
        <v>110</v>
      </c>
      <c r="Y574" t="s">
        <v>110</v>
      </c>
      <c r="Z574" t="s">
        <v>867</v>
      </c>
      <c r="AD574">
        <v>0</v>
      </c>
      <c r="AF574" t="s">
        <v>375</v>
      </c>
      <c r="AG574" t="s">
        <v>375</v>
      </c>
      <c r="AH574" t="s">
        <v>375</v>
      </c>
      <c r="AI574" t="s">
        <v>375</v>
      </c>
      <c r="AM574" t="s">
        <v>106</v>
      </c>
      <c r="AN574" s="2" t="s">
        <v>762</v>
      </c>
      <c r="AO574" s="2" t="s">
        <v>762</v>
      </c>
      <c r="AQ574" t="s">
        <v>358</v>
      </c>
      <c r="AR574" s="2" t="s">
        <v>358</v>
      </c>
      <c r="AS574" s="2"/>
      <c r="AV574" s="2" t="s">
        <v>762</v>
      </c>
      <c r="AY574" t="s">
        <v>106</v>
      </c>
      <c r="BA574" t="s">
        <v>1812</v>
      </c>
      <c r="BD574" t="s">
        <v>106</v>
      </c>
      <c r="BE574" s="2"/>
      <c r="BI574" t="s">
        <v>106</v>
      </c>
      <c r="BL574" t="s">
        <v>106</v>
      </c>
      <c r="BO574">
        <v>305530699</v>
      </c>
      <c r="BP574" t="s">
        <v>81</v>
      </c>
      <c r="BQ574" t="s">
        <v>82</v>
      </c>
      <c r="BR574" t="s">
        <v>2170</v>
      </c>
      <c r="BS574" t="s">
        <v>2171</v>
      </c>
      <c r="BT574" s="17">
        <f>Tabla1[[#This Row],[FECHA_TRASPLANTE]]</f>
        <v>45355.25</v>
      </c>
      <c r="BU574">
        <f>IF(Tabla1[[#This Row],[FALLECIDO SI/NO]]="NO",0,1)</f>
        <v>0</v>
      </c>
      <c r="BV574" s="3">
        <f ca="1">IF(Tabla1[[#This Row],[FALLECIDO_COD]]=0,TODAY()-Tabla1[[#This Row],[FECHA_TRASPLANTE]],Tabla1[[#This Row],[FECHA DE DEFUNCIÓN]]-Tabla1[[#This Row],[FECHA_TRASPLANTE]])</f>
        <v>519.75</v>
      </c>
      <c r="BW574" s="3">
        <f ca="1">IF(Tabla1[[#This Row],[FALLECIDO_COD]]=0,TODAY()-Tabla1[[#This Row],[FECHA_TRASPLANTE]],Tabla1[[#This Row],[FECHA DE DEFUNCIÓN]]-Tabla1[[#This Row],[FECHA_TRASPLANTE]])/30.4375</f>
        <v>17.075975359342916</v>
      </c>
      <c r="BX574" s="3">
        <f ca="1">IF(Tabla1[[#This Row],[FALLECIDO_COD]]=0,TODAY()-Tabla1[[#This Row],[FECHA_TRASPLANTE]],Tabla1[[#This Row],[FECHA DE DEFUNCIÓN]]-Tabla1[[#This Row],[FECHA_TRASPLANTE]])/365.25</f>
        <v>1.4229979466119096</v>
      </c>
      <c r="BY574"/>
      <c r="BZ574"/>
    </row>
    <row r="575" spans="1:78" x14ac:dyDescent="0.35">
      <c r="A575" t="s">
        <v>377</v>
      </c>
      <c r="D575" t="s">
        <v>1129</v>
      </c>
      <c r="E575" t="s">
        <v>375</v>
      </c>
      <c r="G575" t="s">
        <v>210</v>
      </c>
      <c r="H575" s="2">
        <v>31788</v>
      </c>
      <c r="I575">
        <v>37.149897330595479</v>
      </c>
      <c r="J575" t="s">
        <v>746</v>
      </c>
      <c r="K575" t="s">
        <v>2172</v>
      </c>
      <c r="L575" t="s">
        <v>251</v>
      </c>
      <c r="M575" t="s">
        <v>156</v>
      </c>
      <c r="N575" s="11">
        <v>106140180</v>
      </c>
      <c r="O575" s="2">
        <v>45357</v>
      </c>
      <c r="P575" t="s">
        <v>81</v>
      </c>
      <c r="Q575" s="2">
        <v>23284</v>
      </c>
      <c r="R575" s="3">
        <f>(Tabla1[[#This Row],[FECHA_TRASPLANTE]]-Tabla1[[#This Row],[FECHA_NAC]])/365.25</f>
        <v>60.432580424366868</v>
      </c>
      <c r="S575" t="s">
        <v>210</v>
      </c>
      <c r="T575"/>
      <c r="W575" t="s">
        <v>82</v>
      </c>
      <c r="X575" t="s">
        <v>115</v>
      </c>
      <c r="Y575" t="s">
        <v>84</v>
      </c>
      <c r="Z575" t="s">
        <v>115</v>
      </c>
      <c r="AM575" t="s">
        <v>106</v>
      </c>
      <c r="AO575"/>
      <c r="AQ575" t="s">
        <v>358</v>
      </c>
      <c r="AR575" t="s">
        <v>358</v>
      </c>
      <c r="AV575" s="2"/>
      <c r="BO575">
        <v>206290265</v>
      </c>
      <c r="BP575" t="s">
        <v>90</v>
      </c>
      <c r="BQ575" t="s">
        <v>82</v>
      </c>
      <c r="BR575" t="s">
        <v>1806</v>
      </c>
      <c r="BS575" t="s">
        <v>2005</v>
      </c>
      <c r="BT575" s="17">
        <f>Tabla1[[#This Row],[FECHA_TRASPLANTE]]</f>
        <v>45357</v>
      </c>
      <c r="BU575">
        <f>IF(Tabla1[[#This Row],[FALLECIDO SI/NO]]="NO",0,1)</f>
        <v>0</v>
      </c>
      <c r="BV575" s="3">
        <f ca="1">IF(Tabla1[[#This Row],[FALLECIDO_COD]]=0,TODAY()-Tabla1[[#This Row],[FECHA_TRASPLANTE]],Tabla1[[#This Row],[FECHA DE DEFUNCIÓN]]-Tabla1[[#This Row],[FECHA_TRASPLANTE]])</f>
        <v>518</v>
      </c>
      <c r="BW575" s="3">
        <f ca="1">IF(Tabla1[[#This Row],[FALLECIDO_COD]]=0,TODAY()-Tabla1[[#This Row],[FECHA_TRASPLANTE]],Tabla1[[#This Row],[FECHA DE DEFUNCIÓN]]-Tabla1[[#This Row],[FECHA_TRASPLANTE]])/30.4375</f>
        <v>17.018480492813143</v>
      </c>
      <c r="BX575" s="3">
        <f ca="1">IF(Tabla1[[#This Row],[FALLECIDO_COD]]=0,TODAY()-Tabla1[[#This Row],[FECHA_TRASPLANTE]],Tabla1[[#This Row],[FECHA DE DEFUNCIÓN]]-Tabla1[[#This Row],[FECHA_TRASPLANTE]])/365.25</f>
        <v>1.4182067077344285</v>
      </c>
      <c r="BY575"/>
      <c r="BZ575"/>
    </row>
    <row r="576" spans="1:78" x14ac:dyDescent="0.35">
      <c r="A576" t="s">
        <v>377</v>
      </c>
      <c r="D576" t="s">
        <v>1129</v>
      </c>
      <c r="E576" t="s">
        <v>375</v>
      </c>
      <c r="G576" t="s">
        <v>200</v>
      </c>
      <c r="H576" s="2">
        <v>33156</v>
      </c>
      <c r="I576">
        <v>33.42368240930869</v>
      </c>
      <c r="J576" t="s">
        <v>746</v>
      </c>
      <c r="K576" t="s">
        <v>2173</v>
      </c>
      <c r="L576" t="s">
        <v>2174</v>
      </c>
      <c r="M576" t="s">
        <v>692</v>
      </c>
      <c r="N576" s="11">
        <v>106400737</v>
      </c>
      <c r="O576" s="2">
        <v>45364</v>
      </c>
      <c r="P576" t="s">
        <v>90</v>
      </c>
      <c r="Q576" s="2">
        <v>23706</v>
      </c>
      <c r="R576" s="3">
        <f>(Tabla1[[#This Row],[FECHA_TRASPLANTE]]-Tabla1[[#This Row],[FECHA_NAC]])/365.25</f>
        <v>59.296372347707049</v>
      </c>
      <c r="T576"/>
      <c r="W576" t="s">
        <v>82</v>
      </c>
      <c r="X576" t="s">
        <v>2175</v>
      </c>
      <c r="AM576" t="s">
        <v>106</v>
      </c>
      <c r="AO576"/>
      <c r="AV576" s="2"/>
      <c r="BO576">
        <v>114460244</v>
      </c>
      <c r="BP576" t="s">
        <v>81</v>
      </c>
      <c r="BQ576" t="s">
        <v>82</v>
      </c>
      <c r="BR576" t="s">
        <v>1806</v>
      </c>
      <c r="BS576" t="s">
        <v>2005</v>
      </c>
      <c r="BT576" s="17">
        <f>Tabla1[[#This Row],[FECHA_TRASPLANTE]]</f>
        <v>45364</v>
      </c>
      <c r="BU576">
        <f>IF(Tabla1[[#This Row],[FALLECIDO SI/NO]]="NO",0,1)</f>
        <v>0</v>
      </c>
      <c r="BV576" s="3">
        <f ca="1">IF(Tabla1[[#This Row],[FALLECIDO_COD]]=0,TODAY()-Tabla1[[#This Row],[FECHA_TRASPLANTE]],Tabla1[[#This Row],[FECHA DE DEFUNCIÓN]]-Tabla1[[#This Row],[FECHA_TRASPLANTE]])</f>
        <v>511</v>
      </c>
      <c r="BW576" s="3">
        <f ca="1">IF(Tabla1[[#This Row],[FALLECIDO_COD]]=0,TODAY()-Tabla1[[#This Row],[FECHA_TRASPLANTE]],Tabla1[[#This Row],[FECHA DE DEFUNCIÓN]]-Tabla1[[#This Row],[FECHA_TRASPLANTE]])/30.4375</f>
        <v>16.788501026694046</v>
      </c>
      <c r="BX576" s="3">
        <f ca="1">IF(Tabla1[[#This Row],[FALLECIDO_COD]]=0,TODAY()-Tabla1[[#This Row],[FECHA_TRASPLANTE]],Tabla1[[#This Row],[FECHA DE DEFUNCIÓN]]-Tabla1[[#This Row],[FECHA_TRASPLANTE]])/365.25</f>
        <v>1.3990417522245038</v>
      </c>
      <c r="BY576"/>
      <c r="BZ576"/>
    </row>
    <row r="577" spans="1:78" x14ac:dyDescent="0.35">
      <c r="A577" t="s">
        <v>377</v>
      </c>
      <c r="D577" t="s">
        <v>1129</v>
      </c>
      <c r="E577" t="s">
        <v>375</v>
      </c>
      <c r="G577" t="s">
        <v>210</v>
      </c>
      <c r="H577" s="2">
        <v>33522</v>
      </c>
      <c r="I577">
        <v>32.440793976728266</v>
      </c>
      <c r="J577" t="s">
        <v>1898</v>
      </c>
      <c r="K577" t="s">
        <v>2176</v>
      </c>
      <c r="L577" t="s">
        <v>141</v>
      </c>
      <c r="M577" t="s">
        <v>1090</v>
      </c>
      <c r="N577" s="11">
        <v>116320261</v>
      </c>
      <c r="O577" s="2">
        <v>45371</v>
      </c>
      <c r="P577" t="s">
        <v>90</v>
      </c>
      <c r="Q577" s="2">
        <v>35101</v>
      </c>
      <c r="R577" s="3">
        <f>(Tabla1[[#This Row],[FECHA_TRASPLANTE]]-Tabla1[[#This Row],[FECHA_NAC]])/365.25</f>
        <v>28.11772758384668</v>
      </c>
      <c r="T577"/>
      <c r="W577" t="s">
        <v>82</v>
      </c>
      <c r="X577" t="s">
        <v>91</v>
      </c>
      <c r="Y577" t="s">
        <v>116</v>
      </c>
      <c r="Z577" t="s">
        <v>116</v>
      </c>
      <c r="AM577" t="s">
        <v>106</v>
      </c>
      <c r="AO577"/>
      <c r="AV577" s="2"/>
      <c r="BO577">
        <v>114800359</v>
      </c>
      <c r="BP577" t="s">
        <v>81</v>
      </c>
      <c r="BQ577" t="s">
        <v>82</v>
      </c>
      <c r="BR577" t="s">
        <v>1900</v>
      </c>
      <c r="BS577" t="s">
        <v>1901</v>
      </c>
      <c r="BT577" s="17">
        <f>Tabla1[[#This Row],[FECHA_TRASPLANTE]]</f>
        <v>45371</v>
      </c>
      <c r="BU577">
        <f>IF(Tabla1[[#This Row],[FALLECIDO SI/NO]]="NO",0,1)</f>
        <v>0</v>
      </c>
      <c r="BV577" s="3">
        <f ca="1">IF(Tabla1[[#This Row],[FALLECIDO_COD]]=0,TODAY()-Tabla1[[#This Row],[FECHA_TRASPLANTE]],Tabla1[[#This Row],[FECHA DE DEFUNCIÓN]]-Tabla1[[#This Row],[FECHA_TRASPLANTE]])</f>
        <v>504</v>
      </c>
      <c r="BW577" s="3">
        <f ca="1">IF(Tabla1[[#This Row],[FALLECIDO_COD]]=0,TODAY()-Tabla1[[#This Row],[FECHA_TRASPLANTE]],Tabla1[[#This Row],[FECHA DE DEFUNCIÓN]]-Tabla1[[#This Row],[FECHA_TRASPLANTE]])/30.4375</f>
        <v>16.558521560574949</v>
      </c>
      <c r="BX577" s="3">
        <f ca="1">IF(Tabla1[[#This Row],[FALLECIDO_COD]]=0,TODAY()-Tabla1[[#This Row],[FECHA_TRASPLANTE]],Tabla1[[#This Row],[FECHA DE DEFUNCIÓN]]-Tabla1[[#This Row],[FECHA_TRASPLANTE]])/365.25</f>
        <v>1.3798767967145791</v>
      </c>
      <c r="BY577"/>
      <c r="BZ577"/>
    </row>
    <row r="578" spans="1:78" x14ac:dyDescent="0.35">
      <c r="A578" t="s">
        <v>1126</v>
      </c>
      <c r="B578" t="s">
        <v>1126</v>
      </c>
      <c r="C578" t="s">
        <v>2177</v>
      </c>
      <c r="D578" t="s">
        <v>1333</v>
      </c>
      <c r="E578" t="s">
        <v>77</v>
      </c>
      <c r="F578" t="s">
        <v>86</v>
      </c>
      <c r="I578">
        <v>124.22176591375771</v>
      </c>
      <c r="J578" t="s">
        <v>1820</v>
      </c>
      <c r="N578" s="11">
        <v>105700354</v>
      </c>
      <c r="O578" s="2">
        <v>45372</v>
      </c>
      <c r="P578" t="s">
        <v>1669</v>
      </c>
      <c r="Q578" s="2">
        <v>22360.25</v>
      </c>
      <c r="R578" s="3">
        <f>(Tabla1[[#This Row],[FECHA_TRASPLANTE]]-Tabla1[[#This Row],[FECHA_NAC]])/365.25</f>
        <v>63.002737850787135</v>
      </c>
      <c r="S578" t="s">
        <v>200</v>
      </c>
      <c r="U578" t="s">
        <v>1925</v>
      </c>
      <c r="V578" t="s">
        <v>1566</v>
      </c>
      <c r="W578" t="s">
        <v>82</v>
      </c>
      <c r="X578" t="s">
        <v>91</v>
      </c>
      <c r="Y578" t="s">
        <v>1751</v>
      </c>
      <c r="Z578" t="s">
        <v>1036</v>
      </c>
      <c r="AD578">
        <v>0</v>
      </c>
      <c r="AF578" t="s">
        <v>375</v>
      </c>
      <c r="AG578" t="s">
        <v>375</v>
      </c>
      <c r="AH578" t="s">
        <v>375</v>
      </c>
      <c r="AI578" t="s">
        <v>375</v>
      </c>
      <c r="AM578" t="s">
        <v>106</v>
      </c>
      <c r="AN578" s="2" t="s">
        <v>762</v>
      </c>
      <c r="AO578" s="2" t="s">
        <v>762</v>
      </c>
      <c r="AQ578" t="s">
        <v>358</v>
      </c>
      <c r="AR578" s="2" t="s">
        <v>358</v>
      </c>
      <c r="AS578" s="2"/>
      <c r="AV578" s="2" t="s">
        <v>762</v>
      </c>
      <c r="AY578" t="s">
        <v>106</v>
      </c>
      <c r="BA578" t="s">
        <v>1552</v>
      </c>
      <c r="BD578" t="s">
        <v>106</v>
      </c>
      <c r="BE578" s="2"/>
      <c r="BI578" t="s">
        <v>106</v>
      </c>
      <c r="BL578" t="s">
        <v>106</v>
      </c>
      <c r="BT578" s="17">
        <f>Tabla1[[#This Row],[FECHA_TRASPLANTE]]</f>
        <v>45372</v>
      </c>
      <c r="BU578">
        <f>IF(Tabla1[[#This Row],[FALLECIDO SI/NO]]="NO",0,1)</f>
        <v>0</v>
      </c>
      <c r="BV578" s="3">
        <f ca="1">IF(Tabla1[[#This Row],[FALLECIDO_COD]]=0,TODAY()-Tabla1[[#This Row],[FECHA_TRASPLANTE]],Tabla1[[#This Row],[FECHA DE DEFUNCIÓN]]-Tabla1[[#This Row],[FECHA_TRASPLANTE]])</f>
        <v>503</v>
      </c>
      <c r="BW578" s="3">
        <f ca="1">IF(Tabla1[[#This Row],[FALLECIDO_COD]]=0,TODAY()-Tabla1[[#This Row],[FECHA_TRASPLANTE]],Tabla1[[#This Row],[FECHA DE DEFUNCIÓN]]-Tabla1[[#This Row],[FECHA_TRASPLANTE]])/30.4375</f>
        <v>16.525667351129364</v>
      </c>
      <c r="BX578" s="3">
        <f ca="1">IF(Tabla1[[#This Row],[FALLECIDO_COD]]=0,TODAY()-Tabla1[[#This Row],[FECHA_TRASPLANTE]],Tabla1[[#This Row],[FECHA DE DEFUNCIÓN]]-Tabla1[[#This Row],[FECHA_TRASPLANTE]])/365.25</f>
        <v>1.377138945927447</v>
      </c>
      <c r="BY578"/>
      <c r="BZ578"/>
    </row>
    <row r="579" spans="1:78" x14ac:dyDescent="0.35">
      <c r="A579" t="s">
        <v>75</v>
      </c>
      <c r="B579" t="s">
        <v>1828</v>
      </c>
      <c r="C579" t="s">
        <v>2178</v>
      </c>
      <c r="D579" t="s">
        <v>1129</v>
      </c>
      <c r="E579" t="s">
        <v>77</v>
      </c>
      <c r="H579" s="2">
        <v>20577</v>
      </c>
      <c r="I579">
        <v>68</v>
      </c>
      <c r="K579" t="s">
        <v>2179</v>
      </c>
      <c r="L579" t="s">
        <v>432</v>
      </c>
      <c r="M579" t="s">
        <v>2180</v>
      </c>
      <c r="N579" s="11">
        <v>105420110</v>
      </c>
      <c r="O579" s="16">
        <v>45494</v>
      </c>
      <c r="P579" t="s">
        <v>90</v>
      </c>
      <c r="Q579" s="2">
        <v>20555</v>
      </c>
      <c r="R579" s="3">
        <f>(Tabla1[[#This Row],[FECHA_TRASPLANTE]]-Tabla1[[#This Row],[FECHA_NAC]])/365.25</f>
        <v>68.279260780287473</v>
      </c>
      <c r="S579" t="s">
        <v>200</v>
      </c>
      <c r="T579"/>
      <c r="U579" t="s">
        <v>1830</v>
      </c>
      <c r="V579" t="s">
        <v>1838</v>
      </c>
      <c r="W579" t="s">
        <v>82</v>
      </c>
      <c r="X579" t="s">
        <v>91</v>
      </c>
      <c r="Y579" t="s">
        <v>161</v>
      </c>
      <c r="Z579" t="s">
        <v>162</v>
      </c>
      <c r="AD579">
        <v>2</v>
      </c>
      <c r="AF579" t="s">
        <v>2181</v>
      </c>
      <c r="AM579" t="s">
        <v>86</v>
      </c>
      <c r="AN579" s="2">
        <v>45497</v>
      </c>
      <c r="AO579" t="s">
        <v>2182</v>
      </c>
      <c r="AP579" t="s">
        <v>106</v>
      </c>
      <c r="AQ579" t="s">
        <v>358</v>
      </c>
      <c r="AV579" s="2"/>
      <c r="AY579" t="s">
        <v>106</v>
      </c>
      <c r="BJ579" s="2"/>
      <c r="BO579">
        <v>104720138</v>
      </c>
      <c r="BP579" t="s">
        <v>90</v>
      </c>
      <c r="BQ579" t="s">
        <v>82</v>
      </c>
      <c r="BT579" s="17">
        <f>Tabla1[[#This Row],[FECHA_TRASPLANTE]]</f>
        <v>45494</v>
      </c>
      <c r="BU579">
        <f>IF(Tabla1[[#This Row],[FALLECIDO SI/NO]]="NO",0,1)</f>
        <v>1</v>
      </c>
      <c r="BV579" s="3">
        <f ca="1">IF(Tabla1[[#This Row],[FALLECIDO_COD]]=0,TODAY()-Tabla1[[#This Row],[FECHA_TRASPLANTE]],Tabla1[[#This Row],[FECHA DE DEFUNCIÓN]]-Tabla1[[#This Row],[FECHA_TRASPLANTE]])</f>
        <v>3</v>
      </c>
      <c r="BW579" s="3">
        <f ca="1">IF(Tabla1[[#This Row],[FALLECIDO_COD]]=0,TODAY()-Tabla1[[#This Row],[FECHA_TRASPLANTE]],Tabla1[[#This Row],[FECHA DE DEFUNCIÓN]]-Tabla1[[#This Row],[FECHA_TRASPLANTE]])/30.4375</f>
        <v>9.856262833675565E-2</v>
      </c>
      <c r="BX579" s="3">
        <f ca="1">IF(Tabla1[[#This Row],[FALLECIDO_COD]]=0,TODAY()-Tabla1[[#This Row],[FECHA_TRASPLANTE]],Tabla1[[#This Row],[FECHA DE DEFUNCIÓN]]-Tabla1[[#This Row],[FECHA_TRASPLANTE]])/365.25</f>
        <v>8.2135523613963042E-3</v>
      </c>
      <c r="BY579"/>
      <c r="BZ579"/>
    </row>
    <row r="580" spans="1:78" x14ac:dyDescent="0.35">
      <c r="A580" t="s">
        <v>377</v>
      </c>
      <c r="D580" t="s">
        <v>1129</v>
      </c>
      <c r="E580" t="s">
        <v>77</v>
      </c>
      <c r="J580" t="s">
        <v>2099</v>
      </c>
      <c r="K580" t="s">
        <v>2183</v>
      </c>
      <c r="L580" t="s">
        <v>141</v>
      </c>
      <c r="M580" t="s">
        <v>141</v>
      </c>
      <c r="N580" s="11">
        <v>801080875</v>
      </c>
      <c r="O580" s="2">
        <v>45376</v>
      </c>
      <c r="P580" t="s">
        <v>81</v>
      </c>
      <c r="Q580" s="2">
        <v>29578</v>
      </c>
      <c r="R580" s="3">
        <f>(Tabla1[[#This Row],[FECHA_TRASPLANTE]]-Tabla1[[#This Row],[FECHA_NAC]])/365.25</f>
        <v>43.252566735112936</v>
      </c>
      <c r="T580"/>
      <c r="W580" t="s">
        <v>82</v>
      </c>
      <c r="X580" t="s">
        <v>115</v>
      </c>
      <c r="Y580" t="s">
        <v>365</v>
      </c>
      <c r="Z580" t="s">
        <v>386</v>
      </c>
      <c r="AM580" t="s">
        <v>106</v>
      </c>
      <c r="AO580"/>
      <c r="AV580" s="2"/>
      <c r="BT580" s="17">
        <f>Tabla1[[#This Row],[FECHA_TRASPLANTE]]</f>
        <v>45376</v>
      </c>
      <c r="BU580">
        <f>IF(Tabla1[[#This Row],[FALLECIDO SI/NO]]="NO",0,1)</f>
        <v>0</v>
      </c>
      <c r="BV580" s="3">
        <f ca="1">IF(Tabla1[[#This Row],[FALLECIDO_COD]]=0,TODAY()-Tabla1[[#This Row],[FECHA_TRASPLANTE]],Tabla1[[#This Row],[FECHA DE DEFUNCIÓN]]-Tabla1[[#This Row],[FECHA_TRASPLANTE]])</f>
        <v>499</v>
      </c>
      <c r="BW580" s="3">
        <f ca="1">IF(Tabla1[[#This Row],[FALLECIDO_COD]]=0,TODAY()-Tabla1[[#This Row],[FECHA_TRASPLANTE]],Tabla1[[#This Row],[FECHA DE DEFUNCIÓN]]-Tabla1[[#This Row],[FECHA_TRASPLANTE]])/30.4375</f>
        <v>16.394250513347021</v>
      </c>
      <c r="BX580" s="3">
        <f ca="1">IF(Tabla1[[#This Row],[FALLECIDO_COD]]=0,TODAY()-Tabla1[[#This Row],[FECHA_TRASPLANTE]],Tabla1[[#This Row],[FECHA DE DEFUNCIÓN]]-Tabla1[[#This Row],[FECHA_TRASPLANTE]])/365.25</f>
        <v>1.3661875427789185</v>
      </c>
      <c r="BY580"/>
      <c r="BZ580"/>
    </row>
    <row r="581" spans="1:78" x14ac:dyDescent="0.35">
      <c r="A581" t="s">
        <v>75</v>
      </c>
      <c r="B581" t="s">
        <v>1828</v>
      </c>
      <c r="C581" t="s">
        <v>959</v>
      </c>
      <c r="D581" t="s">
        <v>1129</v>
      </c>
      <c r="E581" t="s">
        <v>77</v>
      </c>
      <c r="H581" s="2">
        <v>34459</v>
      </c>
      <c r="I581">
        <v>30</v>
      </c>
      <c r="K581" t="s">
        <v>604</v>
      </c>
      <c r="L581" t="s">
        <v>132</v>
      </c>
      <c r="M581" t="s">
        <v>274</v>
      </c>
      <c r="N581" s="11">
        <v>105540318</v>
      </c>
      <c r="O581" s="16">
        <v>45437</v>
      </c>
      <c r="P581" t="s">
        <v>81</v>
      </c>
      <c r="Q581" s="2">
        <v>22342</v>
      </c>
      <c r="R581" s="3">
        <f>(Tabla1[[#This Row],[FECHA_TRASPLANTE]]-Tabla1[[#This Row],[FECHA_NAC]])/365.25</f>
        <v>63.230663928815879</v>
      </c>
      <c r="S581" t="s">
        <v>210</v>
      </c>
      <c r="T581"/>
      <c r="U581" t="s">
        <v>2184</v>
      </c>
      <c r="V581" t="s">
        <v>1838</v>
      </c>
      <c r="W581" t="s">
        <v>82</v>
      </c>
      <c r="X581" t="s">
        <v>91</v>
      </c>
      <c r="Y581" t="s">
        <v>157</v>
      </c>
      <c r="Z581" t="s">
        <v>158</v>
      </c>
      <c r="AD581">
        <v>9</v>
      </c>
      <c r="AF581" t="s">
        <v>978</v>
      </c>
      <c r="AG581" t="s">
        <v>978</v>
      </c>
      <c r="AM581" t="s">
        <v>106</v>
      </c>
      <c r="AO581"/>
      <c r="AQ581" t="s">
        <v>358</v>
      </c>
      <c r="AV581" s="2"/>
      <c r="AY581" t="s">
        <v>106</v>
      </c>
      <c r="BJ581" s="2"/>
      <c r="BO581">
        <v>115690348</v>
      </c>
      <c r="BP581" t="s">
        <v>81</v>
      </c>
      <c r="BQ581" t="s">
        <v>82</v>
      </c>
      <c r="BT581" s="17">
        <f>Tabla1[[#This Row],[FECHA_TRASPLANTE]]</f>
        <v>45437</v>
      </c>
      <c r="BU581">
        <f>IF(Tabla1[[#This Row],[FALLECIDO SI/NO]]="NO",0,1)</f>
        <v>0</v>
      </c>
      <c r="BV581" s="3">
        <f ca="1">IF(Tabla1[[#This Row],[FALLECIDO_COD]]=0,TODAY()-Tabla1[[#This Row],[FECHA_TRASPLANTE]],Tabla1[[#This Row],[FECHA DE DEFUNCIÓN]]-Tabla1[[#This Row],[FECHA_TRASPLANTE]])</f>
        <v>438</v>
      </c>
      <c r="BW581" s="3">
        <f ca="1">IF(Tabla1[[#This Row],[FALLECIDO_COD]]=0,TODAY()-Tabla1[[#This Row],[FECHA_TRASPLANTE]],Tabla1[[#This Row],[FECHA DE DEFUNCIÓN]]-Tabla1[[#This Row],[FECHA_TRASPLANTE]])/30.4375</f>
        <v>14.390143737166325</v>
      </c>
      <c r="BX581" s="3">
        <f ca="1">IF(Tabla1[[#This Row],[FALLECIDO_COD]]=0,TODAY()-Tabla1[[#This Row],[FECHA_TRASPLANTE]],Tabla1[[#This Row],[FECHA DE DEFUNCIÓN]]-Tabla1[[#This Row],[FECHA_TRASPLANTE]])/365.25</f>
        <v>1.1991786447638604</v>
      </c>
      <c r="BY581"/>
      <c r="BZ581"/>
    </row>
    <row r="582" spans="1:78" x14ac:dyDescent="0.35">
      <c r="A582" t="s">
        <v>1126</v>
      </c>
      <c r="B582" t="s">
        <v>1126</v>
      </c>
      <c r="C582" t="s">
        <v>2185</v>
      </c>
      <c r="D582" t="s">
        <v>1333</v>
      </c>
      <c r="E582" t="s">
        <v>77</v>
      </c>
      <c r="F582" t="s">
        <v>86</v>
      </c>
      <c r="I582">
        <v>124.23613963039014</v>
      </c>
      <c r="J582" t="s">
        <v>1820</v>
      </c>
      <c r="N582" s="11">
        <v>303450110</v>
      </c>
      <c r="O582" s="2">
        <v>45377.25</v>
      </c>
      <c r="P582" t="s">
        <v>1669</v>
      </c>
      <c r="Q582" s="2">
        <v>28138.25</v>
      </c>
      <c r="R582" s="3">
        <f>(Tabla1[[#This Row],[FECHA_TRASPLANTE]]-Tabla1[[#This Row],[FECHA_NAC]])/365.25</f>
        <v>47.197809719370291</v>
      </c>
      <c r="S582" t="s">
        <v>210</v>
      </c>
      <c r="U582" t="s">
        <v>1925</v>
      </c>
      <c r="V582" t="s">
        <v>1566</v>
      </c>
      <c r="W582" t="s">
        <v>82</v>
      </c>
      <c r="X582" t="s">
        <v>110</v>
      </c>
      <c r="Y582" t="s">
        <v>801</v>
      </c>
      <c r="Z582" t="s">
        <v>1908</v>
      </c>
      <c r="AD582">
        <v>0</v>
      </c>
      <c r="AF582" t="s">
        <v>375</v>
      </c>
      <c r="AG582" t="s">
        <v>375</v>
      </c>
      <c r="AH582" t="s">
        <v>375</v>
      </c>
      <c r="AI582" t="s">
        <v>375</v>
      </c>
      <c r="AM582" t="s">
        <v>106</v>
      </c>
      <c r="AN582" s="2" t="s">
        <v>762</v>
      </c>
      <c r="AO582" s="2" t="s">
        <v>762</v>
      </c>
      <c r="AQ582" t="s">
        <v>358</v>
      </c>
      <c r="AR582" s="2" t="s">
        <v>358</v>
      </c>
      <c r="AS582" s="2"/>
      <c r="AV582" s="2" t="s">
        <v>762</v>
      </c>
      <c r="AY582" t="s">
        <v>106</v>
      </c>
      <c r="BA582" t="s">
        <v>1552</v>
      </c>
      <c r="BB582">
        <v>0.76</v>
      </c>
      <c r="BC582">
        <v>97</v>
      </c>
      <c r="BD582" t="s">
        <v>106</v>
      </c>
      <c r="BE582" s="2"/>
      <c r="BI582" t="s">
        <v>106</v>
      </c>
      <c r="BL582" t="s">
        <v>106</v>
      </c>
      <c r="BT582" s="17">
        <f>Tabla1[[#This Row],[FECHA_TRASPLANTE]]</f>
        <v>45377.25</v>
      </c>
      <c r="BU582">
        <f>IF(Tabla1[[#This Row],[FALLECIDO SI/NO]]="NO",0,1)</f>
        <v>0</v>
      </c>
      <c r="BV582" s="3">
        <f ca="1">IF(Tabla1[[#This Row],[FALLECIDO_COD]]=0,TODAY()-Tabla1[[#This Row],[FECHA_TRASPLANTE]],Tabla1[[#This Row],[FECHA DE DEFUNCIÓN]]-Tabla1[[#This Row],[FECHA_TRASPLANTE]])</f>
        <v>497.75</v>
      </c>
      <c r="BW582" s="3">
        <f ca="1">IF(Tabla1[[#This Row],[FALLECIDO_COD]]=0,TODAY()-Tabla1[[#This Row],[FECHA_TRASPLANTE]],Tabla1[[#This Row],[FECHA DE DEFUNCIÓN]]-Tabla1[[#This Row],[FECHA_TRASPLANTE]])/30.4375</f>
        <v>16.353182751540039</v>
      </c>
      <c r="BX582" s="3">
        <f ca="1">IF(Tabla1[[#This Row],[FALLECIDO_COD]]=0,TODAY()-Tabla1[[#This Row],[FECHA_TRASPLANTE]],Tabla1[[#This Row],[FECHA DE DEFUNCIÓN]]-Tabla1[[#This Row],[FECHA_TRASPLANTE]])/365.25</f>
        <v>1.3627652292950034</v>
      </c>
      <c r="BY582"/>
      <c r="BZ582"/>
    </row>
    <row r="583" spans="1:78" x14ac:dyDescent="0.35">
      <c r="A583" t="s">
        <v>377</v>
      </c>
      <c r="D583" t="s">
        <v>1129</v>
      </c>
      <c r="E583" t="s">
        <v>375</v>
      </c>
      <c r="G583" t="s">
        <v>200</v>
      </c>
      <c r="H583" s="2">
        <v>28839</v>
      </c>
      <c r="I583">
        <v>45.338809034907598</v>
      </c>
      <c r="J583" t="s">
        <v>1898</v>
      </c>
      <c r="K583" t="s">
        <v>2186</v>
      </c>
      <c r="L583" t="s">
        <v>94</v>
      </c>
      <c r="M583" t="s">
        <v>595</v>
      </c>
      <c r="N583" s="11">
        <v>502650292</v>
      </c>
      <c r="O583" s="2">
        <v>45399</v>
      </c>
      <c r="P583" t="s">
        <v>81</v>
      </c>
      <c r="Q583" s="2">
        <v>25955</v>
      </c>
      <c r="R583" s="3">
        <f>(Tabla1[[#This Row],[FECHA_TRASPLANTE]]-Tabla1[[#This Row],[FECHA_NAC]])/365.25</f>
        <v>53.234770704996578</v>
      </c>
      <c r="S583" t="s">
        <v>344</v>
      </c>
      <c r="T583"/>
      <c r="W583" t="s">
        <v>82</v>
      </c>
      <c r="X583" t="s">
        <v>125</v>
      </c>
      <c r="Y583" t="s">
        <v>667</v>
      </c>
      <c r="Z583" t="s">
        <v>2187</v>
      </c>
      <c r="AM583" t="s">
        <v>106</v>
      </c>
      <c r="AO583"/>
      <c r="AV583" s="2"/>
      <c r="BO583">
        <v>503110546</v>
      </c>
      <c r="BP583" t="s">
        <v>81</v>
      </c>
      <c r="BQ583" t="s">
        <v>82</v>
      </c>
      <c r="BR583" t="s">
        <v>1900</v>
      </c>
      <c r="BS583" t="s">
        <v>1901</v>
      </c>
      <c r="BT583" s="17">
        <f>Tabla1[[#This Row],[FECHA_TRASPLANTE]]</f>
        <v>45399</v>
      </c>
      <c r="BU583">
        <f>IF(Tabla1[[#This Row],[FALLECIDO SI/NO]]="NO",0,1)</f>
        <v>0</v>
      </c>
      <c r="BV583" s="3">
        <f ca="1">IF(Tabla1[[#This Row],[FALLECIDO_COD]]=0,TODAY()-Tabla1[[#This Row],[FECHA_TRASPLANTE]],Tabla1[[#This Row],[FECHA DE DEFUNCIÓN]]-Tabla1[[#This Row],[FECHA_TRASPLANTE]])</f>
        <v>476</v>
      </c>
      <c r="BW583" s="3">
        <f ca="1">IF(Tabla1[[#This Row],[FALLECIDO_COD]]=0,TODAY()-Tabla1[[#This Row],[FECHA_TRASPLANTE]],Tabla1[[#This Row],[FECHA DE DEFUNCIÓN]]-Tabla1[[#This Row],[FECHA_TRASPLANTE]])/30.4375</f>
        <v>15.638603696098563</v>
      </c>
      <c r="BX583" s="3">
        <f ca="1">IF(Tabla1[[#This Row],[FALLECIDO_COD]]=0,TODAY()-Tabla1[[#This Row],[FECHA_TRASPLANTE]],Tabla1[[#This Row],[FECHA DE DEFUNCIÓN]]-Tabla1[[#This Row],[FECHA_TRASPLANTE]])/365.25</f>
        <v>1.3032169746748803</v>
      </c>
      <c r="BY583"/>
      <c r="BZ583"/>
    </row>
    <row r="584" spans="1:78" x14ac:dyDescent="0.35">
      <c r="A584" t="s">
        <v>377</v>
      </c>
      <c r="D584" t="s">
        <v>1129</v>
      </c>
      <c r="E584" t="s">
        <v>375</v>
      </c>
      <c r="G584" t="s">
        <v>910</v>
      </c>
      <c r="H584" s="2">
        <v>37807</v>
      </c>
      <c r="I584">
        <v>20.804928131416837</v>
      </c>
      <c r="J584" t="s">
        <v>746</v>
      </c>
      <c r="K584" t="s">
        <v>2188</v>
      </c>
      <c r="L584" t="s">
        <v>2189</v>
      </c>
      <c r="M584" t="s">
        <v>619</v>
      </c>
      <c r="N584" s="11">
        <v>205920793</v>
      </c>
      <c r="O584" s="2">
        <v>45406</v>
      </c>
      <c r="P584" t="s">
        <v>90</v>
      </c>
      <c r="Q584" s="2">
        <v>30771</v>
      </c>
      <c r="R584" s="3">
        <f>(Tabla1[[#This Row],[FECHA_TRASPLANTE]]-Tabla1[[#This Row],[FECHA_NAC]])/365.25</f>
        <v>40.068446269678304</v>
      </c>
      <c r="T584"/>
      <c r="W584" t="s">
        <v>82</v>
      </c>
      <c r="X584" t="s">
        <v>115</v>
      </c>
      <c r="Y584" t="s">
        <v>84</v>
      </c>
      <c r="Z584" t="s">
        <v>115</v>
      </c>
      <c r="AM584" t="s">
        <v>106</v>
      </c>
      <c r="AO584"/>
      <c r="AV584" s="2"/>
      <c r="BO584">
        <v>208430134</v>
      </c>
      <c r="BP584" t="s">
        <v>90</v>
      </c>
      <c r="BQ584" t="s">
        <v>82</v>
      </c>
      <c r="BR584" t="s">
        <v>1806</v>
      </c>
      <c r="BS584" t="s">
        <v>2005</v>
      </c>
      <c r="BT584" s="17">
        <f>Tabla1[[#This Row],[FECHA_TRASPLANTE]]</f>
        <v>45406</v>
      </c>
      <c r="BU584">
        <f>IF(Tabla1[[#This Row],[FALLECIDO SI/NO]]="NO",0,1)</f>
        <v>0</v>
      </c>
      <c r="BV584" s="3">
        <f ca="1">IF(Tabla1[[#This Row],[FALLECIDO_COD]]=0,TODAY()-Tabla1[[#This Row],[FECHA_TRASPLANTE]],Tabla1[[#This Row],[FECHA DE DEFUNCIÓN]]-Tabla1[[#This Row],[FECHA_TRASPLANTE]])</f>
        <v>469</v>
      </c>
      <c r="BW584" s="3">
        <f ca="1">IF(Tabla1[[#This Row],[FALLECIDO_COD]]=0,TODAY()-Tabla1[[#This Row],[FECHA_TRASPLANTE]],Tabla1[[#This Row],[FECHA DE DEFUNCIÓN]]-Tabla1[[#This Row],[FECHA_TRASPLANTE]])/30.4375</f>
        <v>15.408624229979466</v>
      </c>
      <c r="BX584" s="3">
        <f ca="1">IF(Tabla1[[#This Row],[FALLECIDO_COD]]=0,TODAY()-Tabla1[[#This Row],[FECHA_TRASPLANTE]],Tabla1[[#This Row],[FECHA DE DEFUNCIÓN]]-Tabla1[[#This Row],[FECHA_TRASPLANTE]])/365.25</f>
        <v>1.2840520191649556</v>
      </c>
      <c r="BY584"/>
      <c r="BZ584"/>
    </row>
    <row r="585" spans="1:78" x14ac:dyDescent="0.35">
      <c r="A585" t="s">
        <v>75</v>
      </c>
      <c r="B585" t="s">
        <v>1828</v>
      </c>
      <c r="D585" t="s">
        <v>1129</v>
      </c>
      <c r="E585" t="s">
        <v>375</v>
      </c>
      <c r="G585" t="s">
        <v>200</v>
      </c>
      <c r="H585" s="2">
        <v>29581.25</v>
      </c>
      <c r="I585">
        <v>43.397672826830934</v>
      </c>
      <c r="J585" t="s">
        <v>746</v>
      </c>
      <c r="K585" t="s">
        <v>387</v>
      </c>
      <c r="L585" t="s">
        <v>289</v>
      </c>
      <c r="M585" t="s">
        <v>132</v>
      </c>
      <c r="N585" s="11">
        <v>108720995</v>
      </c>
      <c r="O585" s="16">
        <v>45432.25</v>
      </c>
      <c r="P585" t="s">
        <v>81</v>
      </c>
      <c r="Q585" s="2">
        <v>27093</v>
      </c>
      <c r="R585" s="3">
        <f>(Tabla1[[#This Row],[FECHA_TRASPLANTE]]-Tabla1[[#This Row],[FECHA_NAC]])/365.25</f>
        <v>50.210130047912386</v>
      </c>
      <c r="S585" t="s">
        <v>200</v>
      </c>
      <c r="T585"/>
      <c r="U585" t="s">
        <v>2190</v>
      </c>
      <c r="V585" t="s">
        <v>1824</v>
      </c>
      <c r="W585" t="s">
        <v>82</v>
      </c>
      <c r="X585" t="s">
        <v>91</v>
      </c>
      <c r="Y585" t="s">
        <v>211</v>
      </c>
      <c r="Z585" t="s">
        <v>286</v>
      </c>
      <c r="AD585">
        <v>5</v>
      </c>
      <c r="AF585" t="s">
        <v>375</v>
      </c>
      <c r="AG585" t="s">
        <v>375</v>
      </c>
      <c r="AH585" t="s">
        <v>375</v>
      </c>
      <c r="AM585" t="s">
        <v>106</v>
      </c>
      <c r="AO585"/>
      <c r="AQ585" t="s">
        <v>358</v>
      </c>
      <c r="AV585" s="2"/>
      <c r="AY585" t="s">
        <v>106</v>
      </c>
      <c r="AZ585" s="2" t="s">
        <v>2003</v>
      </c>
      <c r="BD585" t="s">
        <v>106</v>
      </c>
      <c r="BI585" t="s">
        <v>106</v>
      </c>
      <c r="BJ585" s="2"/>
      <c r="BO585">
        <v>110910535</v>
      </c>
      <c r="BP585" t="s">
        <v>90</v>
      </c>
      <c r="BQ585" t="s">
        <v>82</v>
      </c>
      <c r="BR585" t="s">
        <v>1854</v>
      </c>
      <c r="BS585" t="s">
        <v>1855</v>
      </c>
      <c r="BT585" s="17">
        <f>Tabla1[[#This Row],[FECHA_TRASPLANTE]]</f>
        <v>45432.25</v>
      </c>
      <c r="BU585">
        <f>IF(Tabla1[[#This Row],[FALLECIDO SI/NO]]="NO",0,1)</f>
        <v>0</v>
      </c>
      <c r="BV585" s="3">
        <f ca="1">IF(Tabla1[[#This Row],[FALLECIDO_COD]]=0,TODAY()-Tabla1[[#This Row],[FECHA_TRASPLANTE]],Tabla1[[#This Row],[FECHA DE DEFUNCIÓN]]-Tabla1[[#This Row],[FECHA_TRASPLANTE]])</f>
        <v>442.75</v>
      </c>
      <c r="BW585" s="3">
        <f ca="1">IF(Tabla1[[#This Row],[FALLECIDO_COD]]=0,TODAY()-Tabla1[[#This Row],[FECHA_TRASPLANTE]],Tabla1[[#This Row],[FECHA DE DEFUNCIÓN]]-Tabla1[[#This Row],[FECHA_TRASPLANTE]])/30.4375</f>
        <v>14.546201232032855</v>
      </c>
      <c r="BX585" s="3">
        <f ca="1">IF(Tabla1[[#This Row],[FALLECIDO_COD]]=0,TODAY()-Tabla1[[#This Row],[FECHA_TRASPLANTE]],Tabla1[[#This Row],[FECHA DE DEFUNCIÓN]]-Tabla1[[#This Row],[FECHA_TRASPLANTE]])/365.25</f>
        <v>1.2121834360027379</v>
      </c>
      <c r="BY585"/>
      <c r="BZ585"/>
    </row>
    <row r="586" spans="1:78" x14ac:dyDescent="0.35">
      <c r="A586" t="s">
        <v>75</v>
      </c>
      <c r="B586" t="s">
        <v>1828</v>
      </c>
      <c r="C586" t="s">
        <v>2150</v>
      </c>
      <c r="D586" t="s">
        <v>1129</v>
      </c>
      <c r="E586" t="s">
        <v>77</v>
      </c>
      <c r="H586" s="2">
        <v>26351</v>
      </c>
      <c r="I586">
        <v>52</v>
      </c>
      <c r="K586" t="s">
        <v>2191</v>
      </c>
      <c r="L586" t="s">
        <v>141</v>
      </c>
      <c r="M586" t="s">
        <v>228</v>
      </c>
      <c r="N586" s="11">
        <v>106770721</v>
      </c>
      <c r="O586" s="16">
        <v>45322.25</v>
      </c>
      <c r="P586" t="s">
        <v>81</v>
      </c>
      <c r="Q586" s="2">
        <v>24305</v>
      </c>
      <c r="R586" s="3">
        <f>(Tabla1[[#This Row],[FECHA_TRASPLANTE]]-Tabla1[[#This Row],[FECHA_NAC]])/365.25</f>
        <v>57.542094455852158</v>
      </c>
      <c r="S586" t="s">
        <v>200</v>
      </c>
      <c r="T586"/>
      <c r="U586" t="s">
        <v>2009</v>
      </c>
      <c r="V586" t="s">
        <v>1824</v>
      </c>
      <c r="W586" t="s">
        <v>82</v>
      </c>
      <c r="X586" t="s">
        <v>91</v>
      </c>
      <c r="Y586" t="s">
        <v>176</v>
      </c>
      <c r="Z586" t="s">
        <v>2192</v>
      </c>
      <c r="AD586">
        <v>0</v>
      </c>
      <c r="AF586" t="s">
        <v>2193</v>
      </c>
      <c r="AM586" t="s">
        <v>86</v>
      </c>
      <c r="AN586" s="2">
        <v>45322</v>
      </c>
      <c r="AO586" t="s">
        <v>2194</v>
      </c>
      <c r="AP586" t="s">
        <v>106</v>
      </c>
      <c r="AQ586" t="s">
        <v>358</v>
      </c>
      <c r="AV586" s="2"/>
      <c r="AY586" t="s">
        <v>106</v>
      </c>
      <c r="BJ586" s="2"/>
      <c r="BO586">
        <v>2720098249</v>
      </c>
      <c r="BP586" t="s">
        <v>90</v>
      </c>
      <c r="BQ586" t="s">
        <v>146</v>
      </c>
      <c r="BT586" s="17">
        <f>Tabla1[[#This Row],[FECHA_TRASPLANTE]]</f>
        <v>45322.25</v>
      </c>
      <c r="BU586">
        <f>IF(Tabla1[[#This Row],[FALLECIDO SI/NO]]="NO",0,1)</f>
        <v>1</v>
      </c>
      <c r="BV586" s="3">
        <f ca="1">IF(Tabla1[[#This Row],[FALLECIDO_COD]]=0,TODAY()-Tabla1[[#This Row],[FECHA_TRASPLANTE]],Tabla1[[#This Row],[FECHA DE DEFUNCIÓN]]-Tabla1[[#This Row],[FECHA_TRASPLANTE]])</f>
        <v>-0.25</v>
      </c>
      <c r="BW586" s="3">
        <f ca="1">IF(Tabla1[[#This Row],[FALLECIDO_COD]]=0,TODAY()-Tabla1[[#This Row],[FECHA_TRASPLANTE]],Tabla1[[#This Row],[FECHA DE DEFUNCIÓN]]-Tabla1[[#This Row],[FECHA_TRASPLANTE]])/30.4375</f>
        <v>-8.2135523613963042E-3</v>
      </c>
      <c r="BX586" s="3">
        <f ca="1">IF(Tabla1[[#This Row],[FALLECIDO_COD]]=0,TODAY()-Tabla1[[#This Row],[FECHA_TRASPLANTE]],Tabla1[[#This Row],[FECHA DE DEFUNCIÓN]]-Tabla1[[#This Row],[FECHA_TRASPLANTE]])/365.25</f>
        <v>-6.8446269678302531E-4</v>
      </c>
      <c r="BY586"/>
      <c r="BZ586"/>
    </row>
    <row r="587" spans="1:78" x14ac:dyDescent="0.35">
      <c r="A587" t="s">
        <v>1125</v>
      </c>
      <c r="B587" t="s">
        <v>1125</v>
      </c>
      <c r="C587" t="s">
        <v>2195</v>
      </c>
      <c r="D587" t="s">
        <v>1129</v>
      </c>
      <c r="E587" t="s">
        <v>77</v>
      </c>
      <c r="F587" t="s">
        <v>106</v>
      </c>
      <c r="K587" t="s">
        <v>2196</v>
      </c>
      <c r="L587" t="s">
        <v>465</v>
      </c>
      <c r="M587" t="s">
        <v>2197</v>
      </c>
      <c r="N587" s="11">
        <v>104790798</v>
      </c>
      <c r="O587" s="2">
        <v>45569</v>
      </c>
      <c r="P587" t="s">
        <v>81</v>
      </c>
      <c r="Q587" s="2">
        <v>21040</v>
      </c>
      <c r="R587" s="3">
        <f>(Tabla1[[#This Row],[FECHA_TRASPLANTE]]-Tabla1[[#This Row],[FECHA_NAC]])/365.25</f>
        <v>67.156741957563312</v>
      </c>
      <c r="S587" t="s">
        <v>210</v>
      </c>
      <c r="U587" t="s">
        <v>1348</v>
      </c>
      <c r="W587" t="s">
        <v>82</v>
      </c>
      <c r="X587" t="s">
        <v>91</v>
      </c>
      <c r="Y587" t="s">
        <v>116</v>
      </c>
      <c r="Z587" t="s">
        <v>510</v>
      </c>
      <c r="AM587" t="s">
        <v>106</v>
      </c>
      <c r="AO587"/>
      <c r="AV587" s="2"/>
      <c r="BT587" s="17">
        <f>Tabla1[[#This Row],[FECHA_TRASPLANTE]]</f>
        <v>45569</v>
      </c>
      <c r="BU587">
        <f>IF(Tabla1[[#This Row],[FALLECIDO SI/NO]]="NO",0,1)</f>
        <v>0</v>
      </c>
      <c r="BV587" s="3">
        <f ca="1">IF(Tabla1[[#This Row],[FALLECIDO_COD]]=0,TODAY()-Tabla1[[#This Row],[FECHA_TRASPLANTE]],Tabla1[[#This Row],[FECHA DE DEFUNCIÓN]]-Tabla1[[#This Row],[FECHA_TRASPLANTE]])</f>
        <v>306</v>
      </c>
      <c r="BW587" s="3">
        <f ca="1">IF(Tabla1[[#This Row],[FALLECIDO_COD]]=0,TODAY()-Tabla1[[#This Row],[FECHA_TRASPLANTE]],Tabla1[[#This Row],[FECHA DE DEFUNCIÓN]]-Tabla1[[#This Row],[FECHA_TRASPLANTE]])/30.4375</f>
        <v>10.053388090349076</v>
      </c>
      <c r="BX587" s="3">
        <f ca="1">IF(Tabla1[[#This Row],[FALLECIDO_COD]]=0,TODAY()-Tabla1[[#This Row],[FECHA_TRASPLANTE]],Tabla1[[#This Row],[FECHA DE DEFUNCIÓN]]-Tabla1[[#This Row],[FECHA_TRASPLANTE]])/365.25</f>
        <v>0.83778234086242298</v>
      </c>
      <c r="BY587"/>
      <c r="BZ587"/>
    </row>
    <row r="588" spans="1:78" x14ac:dyDescent="0.35">
      <c r="A588" t="s">
        <v>377</v>
      </c>
      <c r="D588" t="s">
        <v>1129</v>
      </c>
      <c r="E588" t="s">
        <v>375</v>
      </c>
      <c r="G588" t="s">
        <v>200</v>
      </c>
      <c r="H588" s="2">
        <v>30727</v>
      </c>
      <c r="I588">
        <v>40.284736481861735</v>
      </c>
      <c r="J588" t="s">
        <v>1898</v>
      </c>
      <c r="K588" t="s">
        <v>2198</v>
      </c>
      <c r="L588" t="s">
        <v>94</v>
      </c>
      <c r="M588" t="s">
        <v>487</v>
      </c>
      <c r="N588" s="11">
        <v>109860591</v>
      </c>
      <c r="O588" s="2">
        <v>45441</v>
      </c>
      <c r="P588" t="s">
        <v>81</v>
      </c>
      <c r="Q588" s="2">
        <v>28452</v>
      </c>
      <c r="R588" s="3">
        <f>(Tabla1[[#This Row],[FECHA_TRASPLANTE]]-Tabla1[[#This Row],[FECHA_NAC]])/365.25</f>
        <v>46.513347022587268</v>
      </c>
      <c r="S588" t="s">
        <v>344</v>
      </c>
      <c r="T588"/>
      <c r="W588" t="s">
        <v>82</v>
      </c>
      <c r="X588" t="s">
        <v>261</v>
      </c>
      <c r="Y588" t="s">
        <v>1455</v>
      </c>
      <c r="Z588" t="s">
        <v>1455</v>
      </c>
      <c r="AM588" t="s">
        <v>106</v>
      </c>
      <c r="AO588"/>
      <c r="AV588" s="2"/>
      <c r="BO588">
        <v>401830027</v>
      </c>
      <c r="BP588" t="s">
        <v>90</v>
      </c>
      <c r="BQ588" t="s">
        <v>82</v>
      </c>
      <c r="BR588" t="s">
        <v>1900</v>
      </c>
      <c r="BS588" t="s">
        <v>1901</v>
      </c>
      <c r="BT588" s="17">
        <f>Tabla1[[#This Row],[FECHA_TRASPLANTE]]</f>
        <v>45441</v>
      </c>
      <c r="BU588">
        <f>IF(Tabla1[[#This Row],[FALLECIDO SI/NO]]="NO",0,1)</f>
        <v>0</v>
      </c>
      <c r="BV588" s="3">
        <f ca="1">IF(Tabla1[[#This Row],[FALLECIDO_COD]]=0,TODAY()-Tabla1[[#This Row],[FECHA_TRASPLANTE]],Tabla1[[#This Row],[FECHA DE DEFUNCIÓN]]-Tabla1[[#This Row],[FECHA_TRASPLANTE]])</f>
        <v>434</v>
      </c>
      <c r="BW588" s="3">
        <f ca="1">IF(Tabla1[[#This Row],[FALLECIDO_COD]]=0,TODAY()-Tabla1[[#This Row],[FECHA_TRASPLANTE]],Tabla1[[#This Row],[FECHA DE DEFUNCIÓN]]-Tabla1[[#This Row],[FECHA_TRASPLANTE]])/30.4375</f>
        <v>14.258726899383984</v>
      </c>
      <c r="BX588" s="3">
        <f ca="1">IF(Tabla1[[#This Row],[FALLECIDO_COD]]=0,TODAY()-Tabla1[[#This Row],[FECHA_TRASPLANTE]],Tabla1[[#This Row],[FECHA DE DEFUNCIÓN]]-Tabla1[[#This Row],[FECHA_TRASPLANTE]])/365.25</f>
        <v>1.1882272416153319</v>
      </c>
      <c r="BY588"/>
      <c r="BZ588"/>
    </row>
    <row r="589" spans="1:78" x14ac:dyDescent="0.35">
      <c r="A589" t="s">
        <v>377</v>
      </c>
      <c r="D589" t="s">
        <v>1129</v>
      </c>
      <c r="E589" t="s">
        <v>77</v>
      </c>
      <c r="J589" t="s">
        <v>1834</v>
      </c>
      <c r="K589" t="s">
        <v>2199</v>
      </c>
      <c r="L589" t="s">
        <v>820</v>
      </c>
      <c r="M589" t="s">
        <v>1673</v>
      </c>
      <c r="N589" s="11">
        <v>1830101913</v>
      </c>
      <c r="O589" s="2">
        <v>45452</v>
      </c>
      <c r="P589" t="s">
        <v>81</v>
      </c>
      <c r="Q589" s="2">
        <v>30347</v>
      </c>
      <c r="R589" s="3">
        <f>(Tabla1[[#This Row],[FECHA_TRASPLANTE]]-Tabla1[[#This Row],[FECHA_NAC]])/365.25</f>
        <v>41.355236139630392</v>
      </c>
      <c r="T589"/>
      <c r="W589" t="s">
        <v>146</v>
      </c>
      <c r="X589" t="s">
        <v>261</v>
      </c>
      <c r="Y589" t="s">
        <v>1036</v>
      </c>
      <c r="Z589" t="s">
        <v>1036</v>
      </c>
      <c r="AM589" t="s">
        <v>106</v>
      </c>
      <c r="AO589"/>
      <c r="AV589" s="2"/>
      <c r="BT589" s="17">
        <f>Tabla1[[#This Row],[FECHA_TRASPLANTE]]</f>
        <v>45452</v>
      </c>
      <c r="BU589">
        <f>IF(Tabla1[[#This Row],[FALLECIDO SI/NO]]="NO",0,1)</f>
        <v>0</v>
      </c>
      <c r="BV589" s="3">
        <f ca="1">IF(Tabla1[[#This Row],[FALLECIDO_COD]]=0,TODAY()-Tabla1[[#This Row],[FECHA_TRASPLANTE]],Tabla1[[#This Row],[FECHA DE DEFUNCIÓN]]-Tabla1[[#This Row],[FECHA_TRASPLANTE]])</f>
        <v>423</v>
      </c>
      <c r="BW589" s="3">
        <f ca="1">IF(Tabla1[[#This Row],[FALLECIDO_COD]]=0,TODAY()-Tabla1[[#This Row],[FECHA_TRASPLANTE]],Tabla1[[#This Row],[FECHA DE DEFUNCIÓN]]-Tabla1[[#This Row],[FECHA_TRASPLANTE]])/30.4375</f>
        <v>13.897330595482547</v>
      </c>
      <c r="BX589" s="3">
        <f ca="1">IF(Tabla1[[#This Row],[FALLECIDO_COD]]=0,TODAY()-Tabla1[[#This Row],[FECHA_TRASPLANTE]],Tabla1[[#This Row],[FECHA DE DEFUNCIÓN]]-Tabla1[[#This Row],[FECHA_TRASPLANTE]])/365.25</f>
        <v>1.1581108829568789</v>
      </c>
      <c r="BY589"/>
      <c r="BZ589"/>
    </row>
    <row r="590" spans="1:78" x14ac:dyDescent="0.35">
      <c r="A590" t="s">
        <v>1125</v>
      </c>
      <c r="B590" t="s">
        <v>1125</v>
      </c>
      <c r="C590" t="s">
        <v>2200</v>
      </c>
      <c r="D590" t="s">
        <v>1129</v>
      </c>
      <c r="E590" t="s">
        <v>77</v>
      </c>
      <c r="F590" t="s">
        <v>106</v>
      </c>
      <c r="G590" t="s">
        <v>200</v>
      </c>
      <c r="H590" s="2">
        <v>38605</v>
      </c>
      <c r="I590">
        <v>19.030800821355236</v>
      </c>
      <c r="J590" t="s">
        <v>1928</v>
      </c>
      <c r="K590" t="s">
        <v>2201</v>
      </c>
      <c r="L590" t="s">
        <v>156</v>
      </c>
      <c r="M590" t="s">
        <v>277</v>
      </c>
      <c r="N590" s="11">
        <v>107740261</v>
      </c>
      <c r="O590" s="2">
        <v>45556</v>
      </c>
      <c r="P590" t="s">
        <v>1669</v>
      </c>
      <c r="Q590" s="2">
        <v>16278</v>
      </c>
      <c r="R590" s="3">
        <f>(Tabla1[[#This Row],[FECHA_TRASPLANTE]]-Tabla1[[#This Row],[FECHA_NAC]])/365.25</f>
        <v>80.158795345653658</v>
      </c>
      <c r="S590" t="s">
        <v>205</v>
      </c>
      <c r="T590">
        <v>44280</v>
      </c>
      <c r="U590" t="s">
        <v>1348</v>
      </c>
      <c r="V590" t="s">
        <v>1824</v>
      </c>
      <c r="W590" t="s">
        <v>82</v>
      </c>
      <c r="X590" t="s">
        <v>91</v>
      </c>
      <c r="Y590" t="s">
        <v>116</v>
      </c>
      <c r="Z590" t="s">
        <v>116</v>
      </c>
      <c r="AA590">
        <v>6.46</v>
      </c>
      <c r="AD590">
        <v>1</v>
      </c>
      <c r="AF590" t="s">
        <v>770</v>
      </c>
      <c r="AG590" t="s">
        <v>770</v>
      </c>
      <c r="AH590" t="s">
        <v>770</v>
      </c>
      <c r="AI590" t="s">
        <v>770</v>
      </c>
      <c r="AJ590" t="s">
        <v>770</v>
      </c>
      <c r="AK590" t="s">
        <v>770</v>
      </c>
      <c r="AL590" t="s">
        <v>770</v>
      </c>
      <c r="AM590" t="s">
        <v>86</v>
      </c>
      <c r="AN590" s="2">
        <v>45557</v>
      </c>
      <c r="AO590" t="s">
        <v>2202</v>
      </c>
      <c r="AP590" t="s">
        <v>106</v>
      </c>
      <c r="AQ590" t="s">
        <v>1334</v>
      </c>
      <c r="AR590" t="s">
        <v>1334</v>
      </c>
      <c r="AS590" t="s">
        <v>1334</v>
      </c>
      <c r="AT590" t="s">
        <v>1334</v>
      </c>
      <c r="AU590" t="s">
        <v>1334</v>
      </c>
      <c r="AV590" s="2" t="s">
        <v>1334</v>
      </c>
      <c r="AW590" t="s">
        <v>1334</v>
      </c>
      <c r="AY590" t="s">
        <v>106</v>
      </c>
      <c r="BA590" t="s">
        <v>1917</v>
      </c>
      <c r="BB590" t="s">
        <v>1334</v>
      </c>
      <c r="BC590" t="s">
        <v>1334</v>
      </c>
      <c r="BD590" t="s">
        <v>106</v>
      </c>
      <c r="BH590" t="s">
        <v>106</v>
      </c>
      <c r="BI590" t="s">
        <v>106</v>
      </c>
      <c r="BJ590" t="s">
        <v>1334</v>
      </c>
      <c r="BL590" t="s">
        <v>106</v>
      </c>
      <c r="BM590" t="s">
        <v>1334</v>
      </c>
      <c r="BN590" t="s">
        <v>1334</v>
      </c>
      <c r="BO590">
        <v>119450385</v>
      </c>
      <c r="BP590" t="s">
        <v>81</v>
      </c>
      <c r="BQ590" t="s">
        <v>1849</v>
      </c>
      <c r="BS590" t="s">
        <v>2203</v>
      </c>
      <c r="BT590" s="17">
        <f>Tabla1[[#This Row],[FECHA_TRASPLANTE]]</f>
        <v>45556</v>
      </c>
      <c r="BU590">
        <f>IF(Tabla1[[#This Row],[FALLECIDO SI/NO]]="NO",0,1)</f>
        <v>1</v>
      </c>
      <c r="BV590" s="3">
        <f ca="1">IF(Tabla1[[#This Row],[FALLECIDO_COD]]=0,TODAY()-Tabla1[[#This Row],[FECHA_TRASPLANTE]],Tabla1[[#This Row],[FECHA DE DEFUNCIÓN]]-Tabla1[[#This Row],[FECHA_TRASPLANTE]])</f>
        <v>1</v>
      </c>
      <c r="BW590" s="3">
        <f ca="1">IF(Tabla1[[#This Row],[FALLECIDO_COD]]=0,TODAY()-Tabla1[[#This Row],[FECHA_TRASPLANTE]],Tabla1[[#This Row],[FECHA DE DEFUNCIÓN]]-Tabla1[[#This Row],[FECHA_TRASPLANTE]])/30.4375</f>
        <v>3.2854209445585217E-2</v>
      </c>
      <c r="BX590" s="3">
        <f ca="1">IF(Tabla1[[#This Row],[FALLECIDO_COD]]=0,TODAY()-Tabla1[[#This Row],[FECHA_TRASPLANTE]],Tabla1[[#This Row],[FECHA DE DEFUNCIÓN]]-Tabla1[[#This Row],[FECHA_TRASPLANTE]])/365.25</f>
        <v>2.7378507871321013E-3</v>
      </c>
      <c r="BY590"/>
      <c r="BZ590"/>
    </row>
    <row r="591" spans="1:78" x14ac:dyDescent="0.35">
      <c r="A591" t="s">
        <v>75</v>
      </c>
      <c r="B591" t="s">
        <v>1828</v>
      </c>
      <c r="D591" t="s">
        <v>1129</v>
      </c>
      <c r="E591" t="s">
        <v>375</v>
      </c>
      <c r="G591" t="s">
        <v>200</v>
      </c>
      <c r="H591" s="2">
        <v>35192.25</v>
      </c>
      <c r="I591">
        <v>28.093086926762492</v>
      </c>
      <c r="J591" t="s">
        <v>746</v>
      </c>
      <c r="K591" t="s">
        <v>2204</v>
      </c>
      <c r="L591" t="s">
        <v>954</v>
      </c>
      <c r="M591" t="s">
        <v>843</v>
      </c>
      <c r="N591" s="11">
        <v>702290018</v>
      </c>
      <c r="O591" s="16">
        <v>45453.25</v>
      </c>
      <c r="P591" t="s">
        <v>81</v>
      </c>
      <c r="Q591" s="2">
        <v>34538</v>
      </c>
      <c r="R591" s="3">
        <f>(Tabla1[[#This Row],[FECHA_TRASPLANTE]]-Tabla1[[#This Row],[FECHA_NAC]])/365.25</f>
        <v>29.884325804243669</v>
      </c>
      <c r="S591" t="s">
        <v>200</v>
      </c>
      <c r="T591"/>
      <c r="U591" t="s">
        <v>2184</v>
      </c>
      <c r="V591" t="s">
        <v>1824</v>
      </c>
      <c r="W591" t="s">
        <v>82</v>
      </c>
      <c r="X591" t="s">
        <v>120</v>
      </c>
      <c r="Y591" t="s">
        <v>471</v>
      </c>
      <c r="Z591" t="s">
        <v>226</v>
      </c>
      <c r="AC591">
        <v>1.2</v>
      </c>
      <c r="AD591">
        <v>4</v>
      </c>
      <c r="AF591" t="s">
        <v>375</v>
      </c>
      <c r="AG591" t="s">
        <v>375</v>
      </c>
      <c r="AH591" t="s">
        <v>375</v>
      </c>
      <c r="AM591" t="s">
        <v>106</v>
      </c>
      <c r="AO591"/>
      <c r="AQ591" t="s">
        <v>358</v>
      </c>
      <c r="AV591" s="2"/>
      <c r="AY591" t="s">
        <v>106</v>
      </c>
      <c r="AZ591" s="2" t="s">
        <v>2003</v>
      </c>
      <c r="BD591" t="s">
        <v>106</v>
      </c>
      <c r="BI591" t="s">
        <v>106</v>
      </c>
      <c r="BJ591" s="2"/>
      <c r="BO591">
        <v>702440217</v>
      </c>
      <c r="BP591" t="s">
        <v>90</v>
      </c>
      <c r="BQ591" t="s">
        <v>82</v>
      </c>
      <c r="BR591" t="s">
        <v>1854</v>
      </c>
      <c r="BS591" t="s">
        <v>1855</v>
      </c>
      <c r="BT591" s="17">
        <f>Tabla1[[#This Row],[FECHA_TRASPLANTE]]</f>
        <v>45453.25</v>
      </c>
      <c r="BU591">
        <f>IF(Tabla1[[#This Row],[FALLECIDO SI/NO]]="NO",0,1)</f>
        <v>0</v>
      </c>
      <c r="BV591" s="3">
        <f ca="1">IF(Tabla1[[#This Row],[FALLECIDO_COD]]=0,TODAY()-Tabla1[[#This Row],[FECHA_TRASPLANTE]],Tabla1[[#This Row],[FECHA DE DEFUNCIÓN]]-Tabla1[[#This Row],[FECHA_TRASPLANTE]])</f>
        <v>421.75</v>
      </c>
      <c r="BW591" s="3">
        <f ca="1">IF(Tabla1[[#This Row],[FALLECIDO_COD]]=0,TODAY()-Tabla1[[#This Row],[FECHA_TRASPLANTE]],Tabla1[[#This Row],[FECHA DE DEFUNCIÓN]]-Tabla1[[#This Row],[FECHA_TRASPLANTE]])/30.4375</f>
        <v>13.856262833675565</v>
      </c>
      <c r="BX591" s="3">
        <f ca="1">IF(Tabla1[[#This Row],[FALLECIDO_COD]]=0,TODAY()-Tabla1[[#This Row],[FECHA_TRASPLANTE]],Tabla1[[#This Row],[FECHA DE DEFUNCIÓN]]-Tabla1[[#This Row],[FECHA_TRASPLANTE]])/365.25</f>
        <v>1.1546885694729638</v>
      </c>
      <c r="BY591"/>
      <c r="BZ591"/>
    </row>
    <row r="592" spans="1:78" x14ac:dyDescent="0.35">
      <c r="A592" t="s">
        <v>377</v>
      </c>
      <c r="D592" t="s">
        <v>1129</v>
      </c>
      <c r="E592" t="s">
        <v>77</v>
      </c>
      <c r="J592" t="s">
        <v>2099</v>
      </c>
      <c r="K592" t="s">
        <v>2205</v>
      </c>
      <c r="L592" t="s">
        <v>2206</v>
      </c>
      <c r="M592" t="s">
        <v>2207</v>
      </c>
      <c r="N592" s="11">
        <v>504050732</v>
      </c>
      <c r="O592" s="2">
        <v>45454</v>
      </c>
      <c r="P592" t="s">
        <v>90</v>
      </c>
      <c r="Q592" s="2">
        <v>31029</v>
      </c>
      <c r="R592" s="3">
        <f>(Tabla1[[#This Row],[FECHA_TRASPLANTE]]-Tabla1[[#This Row],[FECHA_NAC]])/365.25</f>
        <v>39.493497604380565</v>
      </c>
      <c r="S592" t="s">
        <v>200</v>
      </c>
      <c r="T592"/>
      <c r="W592" t="s">
        <v>82</v>
      </c>
      <c r="X592" t="s">
        <v>2208</v>
      </c>
      <c r="AM592" t="s">
        <v>106</v>
      </c>
      <c r="AO592"/>
      <c r="AV592" s="2"/>
      <c r="BT592" s="17">
        <f>Tabla1[[#This Row],[FECHA_TRASPLANTE]]</f>
        <v>45454</v>
      </c>
      <c r="BU592">
        <f>IF(Tabla1[[#This Row],[FALLECIDO SI/NO]]="NO",0,1)</f>
        <v>0</v>
      </c>
      <c r="BV592" s="3">
        <f ca="1">IF(Tabla1[[#This Row],[FALLECIDO_COD]]=0,TODAY()-Tabla1[[#This Row],[FECHA_TRASPLANTE]],Tabla1[[#This Row],[FECHA DE DEFUNCIÓN]]-Tabla1[[#This Row],[FECHA_TRASPLANTE]])</f>
        <v>421</v>
      </c>
      <c r="BW592" s="3">
        <f ca="1">IF(Tabla1[[#This Row],[FALLECIDO_COD]]=0,TODAY()-Tabla1[[#This Row],[FECHA_TRASPLANTE]],Tabla1[[#This Row],[FECHA DE DEFUNCIÓN]]-Tabla1[[#This Row],[FECHA_TRASPLANTE]])/30.4375</f>
        <v>13.831622176591376</v>
      </c>
      <c r="BX592" s="3">
        <f ca="1">IF(Tabla1[[#This Row],[FALLECIDO_COD]]=0,TODAY()-Tabla1[[#This Row],[FECHA_TRASPLANTE]],Tabla1[[#This Row],[FECHA DE DEFUNCIÓN]]-Tabla1[[#This Row],[FECHA_TRASPLANTE]])/365.25</f>
        <v>1.1526351813826146</v>
      </c>
      <c r="BY592"/>
      <c r="BZ592"/>
    </row>
    <row r="593" spans="1:78" x14ac:dyDescent="0.35">
      <c r="A593" t="s">
        <v>377</v>
      </c>
      <c r="D593" t="s">
        <v>1129</v>
      </c>
      <c r="E593" t="s">
        <v>375</v>
      </c>
      <c r="G593" t="s">
        <v>200</v>
      </c>
      <c r="H593" s="2">
        <v>31648</v>
      </c>
      <c r="I593">
        <v>37.80150581793292</v>
      </c>
      <c r="J593" t="s">
        <v>1898</v>
      </c>
      <c r="K593" t="s">
        <v>2209</v>
      </c>
      <c r="L593" t="s">
        <v>2210</v>
      </c>
      <c r="M593" t="s">
        <v>2211</v>
      </c>
      <c r="N593" s="11">
        <v>801340226</v>
      </c>
      <c r="O593" s="2">
        <v>45455</v>
      </c>
      <c r="P593" t="s">
        <v>90</v>
      </c>
      <c r="Q593" s="2">
        <v>31374</v>
      </c>
      <c r="R593" s="3">
        <f>(Tabla1[[#This Row],[FECHA_TRASPLANTE]]-Tabla1[[#This Row],[FECHA_NAC]])/365.25</f>
        <v>38.551676933607119</v>
      </c>
      <c r="T593"/>
      <c r="W593" t="s">
        <v>82</v>
      </c>
      <c r="X593" t="s">
        <v>2212</v>
      </c>
      <c r="AM593" t="s">
        <v>106</v>
      </c>
      <c r="AO593"/>
      <c r="AV593" s="2"/>
      <c r="BO593">
        <v>206250246</v>
      </c>
      <c r="BP593" t="s">
        <v>81</v>
      </c>
      <c r="BQ593" t="s">
        <v>82</v>
      </c>
      <c r="BR593" t="s">
        <v>1900</v>
      </c>
      <c r="BS593" t="s">
        <v>1901</v>
      </c>
      <c r="BT593" s="17">
        <f>Tabla1[[#This Row],[FECHA_TRASPLANTE]]</f>
        <v>45455</v>
      </c>
      <c r="BU593">
        <f>IF(Tabla1[[#This Row],[FALLECIDO SI/NO]]="NO",0,1)</f>
        <v>0</v>
      </c>
      <c r="BV593" s="3">
        <f ca="1">IF(Tabla1[[#This Row],[FALLECIDO_COD]]=0,TODAY()-Tabla1[[#This Row],[FECHA_TRASPLANTE]],Tabla1[[#This Row],[FECHA DE DEFUNCIÓN]]-Tabla1[[#This Row],[FECHA_TRASPLANTE]])</f>
        <v>420</v>
      </c>
      <c r="BW593" s="3">
        <f ca="1">IF(Tabla1[[#This Row],[FALLECIDO_COD]]=0,TODAY()-Tabla1[[#This Row],[FECHA_TRASPLANTE]],Tabla1[[#This Row],[FECHA DE DEFUNCIÓN]]-Tabla1[[#This Row],[FECHA_TRASPLANTE]])/30.4375</f>
        <v>13.798767967145791</v>
      </c>
      <c r="BX593" s="3">
        <f ca="1">IF(Tabla1[[#This Row],[FALLECIDO_COD]]=0,TODAY()-Tabla1[[#This Row],[FECHA_TRASPLANTE]],Tabla1[[#This Row],[FECHA DE DEFUNCIÓN]]-Tabla1[[#This Row],[FECHA_TRASPLANTE]])/365.25</f>
        <v>1.1498973305954825</v>
      </c>
      <c r="BY593"/>
      <c r="BZ593"/>
    </row>
    <row r="594" spans="1:78" x14ac:dyDescent="0.35">
      <c r="A594" t="s">
        <v>1125</v>
      </c>
      <c r="B594" t="s">
        <v>1125</v>
      </c>
      <c r="C594" t="s">
        <v>1334</v>
      </c>
      <c r="D594" t="s">
        <v>1129</v>
      </c>
      <c r="E594" t="s">
        <v>375</v>
      </c>
      <c r="F594" t="s">
        <v>106</v>
      </c>
      <c r="G594" t="s">
        <v>205</v>
      </c>
      <c r="H594" s="2">
        <v>25177</v>
      </c>
      <c r="I594">
        <v>55.518822724161531</v>
      </c>
      <c r="J594" t="s">
        <v>746</v>
      </c>
      <c r="K594" t="s">
        <v>2213</v>
      </c>
      <c r="L594" t="s">
        <v>132</v>
      </c>
      <c r="M594" t="s">
        <v>208</v>
      </c>
      <c r="N594" s="11">
        <v>204590310</v>
      </c>
      <c r="O594" s="2">
        <v>45455.25</v>
      </c>
      <c r="P594" t="s">
        <v>81</v>
      </c>
      <c r="Q594" s="2">
        <v>25702.25</v>
      </c>
      <c r="R594" s="3">
        <f>(Tabla1[[#This Row],[FECHA_TRASPLANTE]]-Tabla1[[#This Row],[FECHA_NAC]])/365.25</f>
        <v>54.0807665982204</v>
      </c>
      <c r="S594" t="s">
        <v>200</v>
      </c>
      <c r="T594" s="2">
        <v>43748</v>
      </c>
      <c r="U594" t="s">
        <v>1348</v>
      </c>
      <c r="V594" t="s">
        <v>1838</v>
      </c>
      <c r="W594" t="s">
        <v>82</v>
      </c>
      <c r="X594" t="s">
        <v>115</v>
      </c>
      <c r="Y594" t="s">
        <v>602</v>
      </c>
      <c r="Z594" t="s">
        <v>602</v>
      </c>
      <c r="AA594">
        <v>1.06</v>
      </c>
      <c r="AD594">
        <v>2</v>
      </c>
      <c r="AF594" t="s">
        <v>375</v>
      </c>
      <c r="AG594" t="s">
        <v>375</v>
      </c>
      <c r="AM594" t="s">
        <v>106</v>
      </c>
      <c r="AO594" t="s">
        <v>1334</v>
      </c>
      <c r="AQ594" t="s">
        <v>358</v>
      </c>
      <c r="AV594" s="2"/>
      <c r="AY594" t="s">
        <v>86</v>
      </c>
      <c r="AZ594" s="2">
        <v>45468</v>
      </c>
      <c r="BA594" t="s">
        <v>2003</v>
      </c>
      <c r="BD594" t="s">
        <v>106</v>
      </c>
      <c r="BH594" t="s">
        <v>106</v>
      </c>
      <c r="BI594" t="s">
        <v>106</v>
      </c>
      <c r="BJ594" t="s">
        <v>1334</v>
      </c>
      <c r="BL594" t="s">
        <v>106</v>
      </c>
      <c r="BM594" t="s">
        <v>1334</v>
      </c>
      <c r="BN594" t="s">
        <v>1334</v>
      </c>
      <c r="BO594">
        <v>107340620</v>
      </c>
      <c r="BP594" t="s">
        <v>81</v>
      </c>
      <c r="BQ594" t="s">
        <v>82</v>
      </c>
      <c r="BR594" t="s">
        <v>1854</v>
      </c>
      <c r="BS594" t="s">
        <v>1855</v>
      </c>
      <c r="BT594" s="17">
        <f>Tabla1[[#This Row],[FECHA_TRASPLANTE]]</f>
        <v>45455.25</v>
      </c>
      <c r="BU594">
        <f>IF(Tabla1[[#This Row],[FALLECIDO SI/NO]]="NO",0,1)</f>
        <v>0</v>
      </c>
      <c r="BV594" s="3">
        <f ca="1">IF(Tabla1[[#This Row],[FALLECIDO_COD]]=0,TODAY()-Tabla1[[#This Row],[FECHA_TRASPLANTE]],Tabla1[[#This Row],[FECHA DE DEFUNCIÓN]]-Tabla1[[#This Row],[FECHA_TRASPLANTE]])</f>
        <v>419.75</v>
      </c>
      <c r="BW594" s="3">
        <f ca="1">IF(Tabla1[[#This Row],[FALLECIDO_COD]]=0,TODAY()-Tabla1[[#This Row],[FECHA_TRASPLANTE]],Tabla1[[#This Row],[FECHA DE DEFUNCIÓN]]-Tabla1[[#This Row],[FECHA_TRASPLANTE]])/30.4375</f>
        <v>13.790554414784394</v>
      </c>
      <c r="BX594" s="3">
        <f ca="1">IF(Tabla1[[#This Row],[FALLECIDO_COD]]=0,TODAY()-Tabla1[[#This Row],[FECHA_TRASPLANTE]],Tabla1[[#This Row],[FECHA DE DEFUNCIÓN]]-Tabla1[[#This Row],[FECHA_TRASPLANTE]])/365.25</f>
        <v>1.1492128678986995</v>
      </c>
      <c r="BY594"/>
      <c r="BZ594"/>
    </row>
    <row r="595" spans="1:78" x14ac:dyDescent="0.35">
      <c r="A595" t="s">
        <v>1126</v>
      </c>
      <c r="B595" t="s">
        <v>1126</v>
      </c>
      <c r="D595" t="s">
        <v>1333</v>
      </c>
      <c r="E595" t="s">
        <v>375</v>
      </c>
      <c r="F595" t="s">
        <v>106</v>
      </c>
      <c r="G595" t="s">
        <v>200</v>
      </c>
      <c r="H595" s="2">
        <v>33018</v>
      </c>
      <c r="I595">
        <v>34.064339493497606</v>
      </c>
      <c r="J595" t="s">
        <v>746</v>
      </c>
      <c r="K595" t="s">
        <v>2214</v>
      </c>
      <c r="L595" t="s">
        <v>251</v>
      </c>
      <c r="M595" t="s">
        <v>229</v>
      </c>
      <c r="N595" s="11">
        <v>117310811</v>
      </c>
      <c r="O595" s="2">
        <v>45460</v>
      </c>
      <c r="P595" t="s">
        <v>81</v>
      </c>
      <c r="Q595" s="2">
        <v>36171</v>
      </c>
      <c r="R595" s="3">
        <f>(Tabla1[[#This Row],[FECHA_TRASPLANTE]]-Tabla1[[#This Row],[FECHA_NAC]])/365.25</f>
        <v>25.43189596167009</v>
      </c>
      <c r="S595" t="s">
        <v>200</v>
      </c>
      <c r="U595" t="s">
        <v>1902</v>
      </c>
      <c r="V595" t="s">
        <v>1551</v>
      </c>
      <c r="W595" t="s">
        <v>82</v>
      </c>
      <c r="X595" t="s">
        <v>91</v>
      </c>
      <c r="Y595" t="s">
        <v>1751</v>
      </c>
      <c r="Z595" t="s">
        <v>1036</v>
      </c>
      <c r="AD595">
        <v>0</v>
      </c>
      <c r="AF595" t="s">
        <v>375</v>
      </c>
      <c r="AG595" t="s">
        <v>375</v>
      </c>
      <c r="AH595" t="s">
        <v>375</v>
      </c>
      <c r="AM595" t="s">
        <v>106</v>
      </c>
      <c r="AN595" s="2" t="s">
        <v>762</v>
      </c>
      <c r="AO595" s="2" t="s">
        <v>762</v>
      </c>
      <c r="AQ595" t="s">
        <v>358</v>
      </c>
      <c r="AR595" s="2"/>
      <c r="AS595" s="2"/>
      <c r="AV595" s="2" t="s">
        <v>762</v>
      </c>
      <c r="AY595" t="s">
        <v>106</v>
      </c>
      <c r="BA595" t="s">
        <v>1812</v>
      </c>
      <c r="BD595" t="s">
        <v>106</v>
      </c>
      <c r="BE595" s="2"/>
      <c r="BI595" t="s">
        <v>86</v>
      </c>
      <c r="BJ595">
        <v>45552</v>
      </c>
      <c r="BK595" t="s">
        <v>1641</v>
      </c>
      <c r="BL595" t="s">
        <v>106</v>
      </c>
      <c r="BO595">
        <v>304500465</v>
      </c>
      <c r="BP595" t="s">
        <v>90</v>
      </c>
      <c r="BQ595" t="s">
        <v>82</v>
      </c>
      <c r="BR595" t="s">
        <v>1854</v>
      </c>
      <c r="BS595" t="s">
        <v>1855</v>
      </c>
      <c r="BT595" s="17">
        <f>Tabla1[[#This Row],[FECHA_TRASPLANTE]]</f>
        <v>45460</v>
      </c>
      <c r="BU595">
        <f>IF(Tabla1[[#This Row],[FALLECIDO SI/NO]]="NO",0,1)</f>
        <v>0</v>
      </c>
      <c r="BV595" s="3">
        <f ca="1">IF(Tabla1[[#This Row],[FALLECIDO_COD]]=0,TODAY()-Tabla1[[#This Row],[FECHA_TRASPLANTE]],Tabla1[[#This Row],[FECHA DE DEFUNCIÓN]]-Tabla1[[#This Row],[FECHA_TRASPLANTE]])</f>
        <v>415</v>
      </c>
      <c r="BW595" s="3">
        <f ca="1">IF(Tabla1[[#This Row],[FALLECIDO_COD]]=0,TODAY()-Tabla1[[#This Row],[FECHA_TRASPLANTE]],Tabla1[[#This Row],[FECHA DE DEFUNCIÓN]]-Tabla1[[#This Row],[FECHA_TRASPLANTE]])/30.4375</f>
        <v>13.634496919917865</v>
      </c>
      <c r="BX595" s="3">
        <f ca="1">IF(Tabla1[[#This Row],[FALLECIDO_COD]]=0,TODAY()-Tabla1[[#This Row],[FECHA_TRASPLANTE]],Tabla1[[#This Row],[FECHA DE DEFUNCIÓN]]-Tabla1[[#This Row],[FECHA_TRASPLANTE]])/365.25</f>
        <v>1.1362080766598219</v>
      </c>
      <c r="BY595"/>
      <c r="BZ595"/>
    </row>
    <row r="596" spans="1:78" x14ac:dyDescent="0.35">
      <c r="A596" t="s">
        <v>75</v>
      </c>
      <c r="B596" t="s">
        <v>1828</v>
      </c>
      <c r="D596" t="s">
        <v>1129</v>
      </c>
      <c r="E596" t="s">
        <v>375</v>
      </c>
      <c r="G596" t="s">
        <v>210</v>
      </c>
      <c r="H596" s="2">
        <v>27357</v>
      </c>
      <c r="I596">
        <v>49.582477754962355</v>
      </c>
      <c r="J596" t="s">
        <v>746</v>
      </c>
      <c r="K596" t="s">
        <v>528</v>
      </c>
      <c r="L596" t="s">
        <v>184</v>
      </c>
      <c r="M596" t="s">
        <v>2174</v>
      </c>
      <c r="N596" s="11">
        <v>109320936</v>
      </c>
      <c r="O596" s="16">
        <v>45467</v>
      </c>
      <c r="P596" t="s">
        <v>81</v>
      </c>
      <c r="Q596" s="2">
        <v>27836</v>
      </c>
      <c r="R596" s="3">
        <f>(Tabla1[[#This Row],[FECHA_TRASPLANTE]]-Tabla1[[#This Row],[FECHA_NAC]])/365.25</f>
        <v>48.271047227926076</v>
      </c>
      <c r="S596" t="s">
        <v>210</v>
      </c>
      <c r="T596"/>
      <c r="U596" t="s">
        <v>1830</v>
      </c>
      <c r="V596" t="s">
        <v>1838</v>
      </c>
      <c r="W596" t="s">
        <v>82</v>
      </c>
      <c r="X596" t="s">
        <v>91</v>
      </c>
      <c r="Y596" t="s">
        <v>157</v>
      </c>
      <c r="Z596" t="s">
        <v>158</v>
      </c>
      <c r="AC596">
        <v>1.3</v>
      </c>
      <c r="AD596">
        <v>9</v>
      </c>
      <c r="AF596" t="s">
        <v>375</v>
      </c>
      <c r="AG596" t="s">
        <v>375</v>
      </c>
      <c r="AH596" t="s">
        <v>375</v>
      </c>
      <c r="AM596" t="s">
        <v>106</v>
      </c>
      <c r="AO596"/>
      <c r="AQ596" t="s">
        <v>358</v>
      </c>
      <c r="AV596" s="2"/>
      <c r="AY596" t="s">
        <v>106</v>
      </c>
      <c r="AZ596" s="2" t="s">
        <v>2003</v>
      </c>
      <c r="BD596" t="s">
        <v>106</v>
      </c>
      <c r="BI596" t="s">
        <v>86</v>
      </c>
      <c r="BJ596" s="2">
        <v>45474</v>
      </c>
      <c r="BO596">
        <v>108940867</v>
      </c>
      <c r="BP596" t="s">
        <v>90</v>
      </c>
      <c r="BQ596" t="s">
        <v>82</v>
      </c>
      <c r="BR596" t="s">
        <v>1854</v>
      </c>
      <c r="BS596" t="s">
        <v>1855</v>
      </c>
      <c r="BT596" s="17">
        <f>Tabla1[[#This Row],[FECHA_TRASPLANTE]]</f>
        <v>45467</v>
      </c>
      <c r="BU596">
        <f>IF(Tabla1[[#This Row],[FALLECIDO SI/NO]]="NO",0,1)</f>
        <v>0</v>
      </c>
      <c r="BV596" s="3">
        <f ca="1">IF(Tabla1[[#This Row],[FALLECIDO_COD]]=0,TODAY()-Tabla1[[#This Row],[FECHA_TRASPLANTE]],Tabla1[[#This Row],[FECHA DE DEFUNCIÓN]]-Tabla1[[#This Row],[FECHA_TRASPLANTE]])</f>
        <v>408</v>
      </c>
      <c r="BW596" s="3">
        <f ca="1">IF(Tabla1[[#This Row],[FALLECIDO_COD]]=0,TODAY()-Tabla1[[#This Row],[FECHA_TRASPLANTE]],Tabla1[[#This Row],[FECHA DE DEFUNCIÓN]]-Tabla1[[#This Row],[FECHA_TRASPLANTE]])/30.4375</f>
        <v>13.404517453798768</v>
      </c>
      <c r="BX596" s="3">
        <f ca="1">IF(Tabla1[[#This Row],[FALLECIDO_COD]]=0,TODAY()-Tabla1[[#This Row],[FECHA_TRASPLANTE]],Tabla1[[#This Row],[FECHA DE DEFUNCIÓN]]-Tabla1[[#This Row],[FECHA_TRASPLANTE]])/365.25</f>
        <v>1.1170431211498972</v>
      </c>
      <c r="BY596"/>
      <c r="BZ596"/>
    </row>
    <row r="597" spans="1:78" x14ac:dyDescent="0.35">
      <c r="A597" t="s">
        <v>377</v>
      </c>
      <c r="D597" t="s">
        <v>1129</v>
      </c>
      <c r="E597" t="s">
        <v>77</v>
      </c>
      <c r="J597" t="s">
        <v>2099</v>
      </c>
      <c r="K597" t="s">
        <v>2215</v>
      </c>
      <c r="L597" t="s">
        <v>1720</v>
      </c>
      <c r="M597" t="s">
        <v>678</v>
      </c>
      <c r="N597" s="11">
        <v>18959092</v>
      </c>
      <c r="O597" s="2">
        <v>45479</v>
      </c>
      <c r="P597" t="s">
        <v>81</v>
      </c>
      <c r="Q597" s="2">
        <v>32708</v>
      </c>
      <c r="R597" s="3">
        <f>(Tabla1[[#This Row],[FECHA_TRASPLANTE]]-Tabla1[[#This Row],[FECHA_NAC]])/365.25</f>
        <v>34.965092402464066</v>
      </c>
      <c r="T597"/>
      <c r="W597" t="s">
        <v>146</v>
      </c>
      <c r="X597" t="s">
        <v>2216</v>
      </c>
      <c r="AM597" t="s">
        <v>106</v>
      </c>
      <c r="AO597"/>
      <c r="AV597" s="2"/>
      <c r="BT597" s="17">
        <f>Tabla1[[#This Row],[FECHA_TRASPLANTE]]</f>
        <v>45479</v>
      </c>
      <c r="BU597">
        <f>IF(Tabla1[[#This Row],[FALLECIDO SI/NO]]="NO",0,1)</f>
        <v>0</v>
      </c>
      <c r="BV597" s="3">
        <f ca="1">IF(Tabla1[[#This Row],[FALLECIDO_COD]]=0,TODAY()-Tabla1[[#This Row],[FECHA_TRASPLANTE]],Tabla1[[#This Row],[FECHA DE DEFUNCIÓN]]-Tabla1[[#This Row],[FECHA_TRASPLANTE]])</f>
        <v>396</v>
      </c>
      <c r="BW597" s="3">
        <f ca="1">IF(Tabla1[[#This Row],[FALLECIDO_COD]]=0,TODAY()-Tabla1[[#This Row],[FECHA_TRASPLANTE]],Tabla1[[#This Row],[FECHA DE DEFUNCIÓN]]-Tabla1[[#This Row],[FECHA_TRASPLANTE]])/30.4375</f>
        <v>13.010266940451745</v>
      </c>
      <c r="BX597" s="3">
        <f ca="1">IF(Tabla1[[#This Row],[FALLECIDO_COD]]=0,TODAY()-Tabla1[[#This Row],[FECHA_TRASPLANTE]],Tabla1[[#This Row],[FECHA DE DEFUNCIÓN]]-Tabla1[[#This Row],[FECHA_TRASPLANTE]])/365.25</f>
        <v>1.0841889117043122</v>
      </c>
      <c r="BY597"/>
      <c r="BZ597"/>
    </row>
    <row r="598" spans="1:78" x14ac:dyDescent="0.35">
      <c r="A598" t="s">
        <v>1125</v>
      </c>
      <c r="B598" t="s">
        <v>1125</v>
      </c>
      <c r="C598" t="s">
        <v>2217</v>
      </c>
      <c r="D598" t="s">
        <v>1129</v>
      </c>
      <c r="E598" t="s">
        <v>77</v>
      </c>
      <c r="F598" t="s">
        <v>106</v>
      </c>
      <c r="K598" t="s">
        <v>2218</v>
      </c>
      <c r="L598" t="s">
        <v>1254</v>
      </c>
      <c r="M598" t="s">
        <v>403</v>
      </c>
      <c r="N598" s="11">
        <v>109910002</v>
      </c>
      <c r="O598" s="2">
        <v>45647</v>
      </c>
      <c r="P598" t="s">
        <v>81</v>
      </c>
      <c r="Q598" s="2">
        <v>28498</v>
      </c>
      <c r="R598" s="3">
        <f>(Tabla1[[#This Row],[FECHA_TRASPLANTE]]-Tabla1[[#This Row],[FECHA_NAC]])/365.25</f>
        <v>46.951403148528406</v>
      </c>
      <c r="S598" t="s">
        <v>210</v>
      </c>
      <c r="U598" t="s">
        <v>2219</v>
      </c>
      <c r="W598" t="s">
        <v>82</v>
      </c>
      <c r="X598" t="s">
        <v>91</v>
      </c>
      <c r="Y598" t="s">
        <v>108</v>
      </c>
      <c r="Z598" t="s">
        <v>2220</v>
      </c>
      <c r="AM598" t="s">
        <v>106</v>
      </c>
      <c r="AO598"/>
      <c r="AV598" s="2"/>
      <c r="BT598" s="17">
        <f>Tabla1[[#This Row],[FECHA_TRASPLANTE]]</f>
        <v>45647</v>
      </c>
      <c r="BU598">
        <f>IF(Tabla1[[#This Row],[FALLECIDO SI/NO]]="NO",0,1)</f>
        <v>0</v>
      </c>
      <c r="BV598" s="3">
        <f ca="1">IF(Tabla1[[#This Row],[FALLECIDO_COD]]=0,TODAY()-Tabla1[[#This Row],[FECHA_TRASPLANTE]],Tabla1[[#This Row],[FECHA DE DEFUNCIÓN]]-Tabla1[[#This Row],[FECHA_TRASPLANTE]])</f>
        <v>228</v>
      </c>
      <c r="BW598" s="3">
        <f ca="1">IF(Tabla1[[#This Row],[FALLECIDO_COD]]=0,TODAY()-Tabla1[[#This Row],[FECHA_TRASPLANTE]],Tabla1[[#This Row],[FECHA DE DEFUNCIÓN]]-Tabla1[[#This Row],[FECHA_TRASPLANTE]])/30.4375</f>
        <v>7.4907597535934292</v>
      </c>
      <c r="BX598" s="3">
        <f ca="1">IF(Tabla1[[#This Row],[FALLECIDO_COD]]=0,TODAY()-Tabla1[[#This Row],[FECHA_TRASPLANTE]],Tabla1[[#This Row],[FECHA DE DEFUNCIÓN]]-Tabla1[[#This Row],[FECHA_TRASPLANTE]])/365.25</f>
        <v>0.62422997946611913</v>
      </c>
      <c r="BY598"/>
      <c r="BZ598"/>
    </row>
    <row r="599" spans="1:78" x14ac:dyDescent="0.35">
      <c r="A599" t="s">
        <v>1125</v>
      </c>
      <c r="B599" t="s">
        <v>1125</v>
      </c>
      <c r="C599" t="s">
        <v>2221</v>
      </c>
      <c r="D599" t="s">
        <v>1129</v>
      </c>
      <c r="E599" t="s">
        <v>77</v>
      </c>
      <c r="F599" t="s">
        <v>106</v>
      </c>
      <c r="G599" t="s">
        <v>210</v>
      </c>
      <c r="H599" s="2">
        <v>34459</v>
      </c>
      <c r="I599">
        <v>30.056810403832991</v>
      </c>
      <c r="J599" t="s">
        <v>1928</v>
      </c>
      <c r="K599" t="s">
        <v>2222</v>
      </c>
      <c r="L599" t="s">
        <v>236</v>
      </c>
      <c r="M599" t="s">
        <v>1377</v>
      </c>
      <c r="N599" s="11">
        <v>113610572</v>
      </c>
      <c r="O599" s="2">
        <v>45437.25</v>
      </c>
      <c r="P599" t="s">
        <v>81</v>
      </c>
      <c r="Q599" s="2">
        <v>32373.25</v>
      </c>
      <c r="R599" s="3">
        <f>(Tabla1[[#This Row],[FECHA_TRASPLANTE]]-Tabla1[[#This Row],[FECHA_NAC]])/365.25</f>
        <v>35.767282683093768</v>
      </c>
      <c r="S599" t="s">
        <v>210</v>
      </c>
      <c r="T599" s="2">
        <v>42957</v>
      </c>
      <c r="U599" t="s">
        <v>1348</v>
      </c>
      <c r="V599" t="s">
        <v>1824</v>
      </c>
      <c r="W599" t="s">
        <v>82</v>
      </c>
      <c r="X599" t="s">
        <v>91</v>
      </c>
      <c r="Y599" t="s">
        <v>580</v>
      </c>
      <c r="Z599" t="s">
        <v>510</v>
      </c>
      <c r="AA599">
        <v>5.48</v>
      </c>
      <c r="AD599">
        <v>5</v>
      </c>
      <c r="AF599" t="s">
        <v>375</v>
      </c>
      <c r="AG599" t="s">
        <v>375</v>
      </c>
      <c r="AM599" t="s">
        <v>106</v>
      </c>
      <c r="AO599" t="s">
        <v>1334</v>
      </c>
      <c r="AQ599" t="s">
        <v>358</v>
      </c>
      <c r="AV599" s="2" t="s">
        <v>1334</v>
      </c>
      <c r="AY599" t="s">
        <v>106</v>
      </c>
      <c r="BA599" t="s">
        <v>1917</v>
      </c>
      <c r="BD599" t="s">
        <v>106</v>
      </c>
      <c r="BH599" t="s">
        <v>106</v>
      </c>
      <c r="BI599" t="s">
        <v>106</v>
      </c>
      <c r="BJ599" t="s">
        <v>1334</v>
      </c>
      <c r="BL599" t="s">
        <v>106</v>
      </c>
      <c r="BM599" t="s">
        <v>1334</v>
      </c>
      <c r="BN599" t="s">
        <v>1334</v>
      </c>
      <c r="BO599">
        <v>115690348</v>
      </c>
      <c r="BP599" t="s">
        <v>81</v>
      </c>
      <c r="BQ599" t="s">
        <v>1849</v>
      </c>
      <c r="BS599" t="s">
        <v>2223</v>
      </c>
      <c r="BT599" s="17">
        <f>Tabla1[[#This Row],[FECHA_TRASPLANTE]]</f>
        <v>45437.25</v>
      </c>
      <c r="BU599">
        <f>IF(Tabla1[[#This Row],[FALLECIDO SI/NO]]="NO",0,1)</f>
        <v>0</v>
      </c>
      <c r="BV599" s="3">
        <f ca="1">IF(Tabla1[[#This Row],[FALLECIDO_COD]]=0,TODAY()-Tabla1[[#This Row],[FECHA_TRASPLANTE]],Tabla1[[#This Row],[FECHA DE DEFUNCIÓN]]-Tabla1[[#This Row],[FECHA_TRASPLANTE]])</f>
        <v>437.75</v>
      </c>
      <c r="BW599" s="3">
        <f ca="1">IF(Tabla1[[#This Row],[FALLECIDO_COD]]=0,TODAY()-Tabla1[[#This Row],[FECHA_TRASPLANTE]],Tabla1[[#This Row],[FECHA DE DEFUNCIÓN]]-Tabla1[[#This Row],[FECHA_TRASPLANTE]])/30.4375</f>
        <v>14.381930184804927</v>
      </c>
      <c r="BX599" s="3">
        <f ca="1">IF(Tabla1[[#This Row],[FALLECIDO_COD]]=0,TODAY()-Tabla1[[#This Row],[FECHA_TRASPLANTE]],Tabla1[[#This Row],[FECHA DE DEFUNCIÓN]]-Tabla1[[#This Row],[FECHA_TRASPLANTE]])/365.25</f>
        <v>1.1984941820670774</v>
      </c>
      <c r="BY599"/>
      <c r="BZ599"/>
    </row>
    <row r="600" spans="1:78" x14ac:dyDescent="0.35">
      <c r="A600" t="s">
        <v>377</v>
      </c>
      <c r="D600" t="s">
        <v>1129</v>
      </c>
      <c r="E600" t="s">
        <v>375</v>
      </c>
      <c r="G600" t="s">
        <v>200</v>
      </c>
      <c r="H600" s="2">
        <v>30433</v>
      </c>
      <c r="I600">
        <v>41.204654346338124</v>
      </c>
      <c r="J600" t="s">
        <v>746</v>
      </c>
      <c r="K600" t="s">
        <v>2224</v>
      </c>
      <c r="L600" t="s">
        <v>820</v>
      </c>
      <c r="M600" t="s">
        <v>1257</v>
      </c>
      <c r="N600" s="11">
        <v>2060081619</v>
      </c>
      <c r="O600" s="2">
        <v>45483</v>
      </c>
      <c r="P600" t="s">
        <v>90</v>
      </c>
      <c r="Q600" s="2">
        <v>39075</v>
      </c>
      <c r="R600" s="3">
        <f>(Tabla1[[#This Row],[FECHA_TRASPLANTE]]-Tabla1[[#This Row],[FECHA_NAC]])/365.25</f>
        <v>17.544147843942504</v>
      </c>
      <c r="S600" t="s">
        <v>200</v>
      </c>
      <c r="T600"/>
      <c r="W600" t="s">
        <v>146</v>
      </c>
      <c r="X600" t="s">
        <v>2225</v>
      </c>
      <c r="AM600" t="s">
        <v>106</v>
      </c>
      <c r="AO600"/>
      <c r="AV600" s="2"/>
      <c r="BO600">
        <v>2830101559</v>
      </c>
      <c r="BP600" t="s">
        <v>90</v>
      </c>
      <c r="BQ600" t="s">
        <v>146</v>
      </c>
      <c r="BR600" t="s">
        <v>1806</v>
      </c>
      <c r="BS600" t="s">
        <v>1807</v>
      </c>
      <c r="BT600" s="17">
        <f>Tabla1[[#This Row],[FECHA_TRASPLANTE]]</f>
        <v>45483</v>
      </c>
      <c r="BU600">
        <f>IF(Tabla1[[#This Row],[FALLECIDO SI/NO]]="NO",0,1)</f>
        <v>0</v>
      </c>
      <c r="BV600" s="3">
        <f ca="1">IF(Tabla1[[#This Row],[FALLECIDO_COD]]=0,TODAY()-Tabla1[[#This Row],[FECHA_TRASPLANTE]],Tabla1[[#This Row],[FECHA DE DEFUNCIÓN]]-Tabla1[[#This Row],[FECHA_TRASPLANTE]])</f>
        <v>392</v>
      </c>
      <c r="BW600" s="3">
        <f ca="1">IF(Tabla1[[#This Row],[FALLECIDO_COD]]=0,TODAY()-Tabla1[[#This Row],[FECHA_TRASPLANTE]],Tabla1[[#This Row],[FECHA DE DEFUNCIÓN]]-Tabla1[[#This Row],[FECHA_TRASPLANTE]])/30.4375</f>
        <v>12.878850102669405</v>
      </c>
      <c r="BX600" s="3">
        <f ca="1">IF(Tabla1[[#This Row],[FALLECIDO_COD]]=0,TODAY()-Tabla1[[#This Row],[FECHA_TRASPLANTE]],Tabla1[[#This Row],[FECHA DE DEFUNCIÓN]]-Tabla1[[#This Row],[FECHA_TRASPLANTE]])/365.25</f>
        <v>1.0732375085557837</v>
      </c>
      <c r="BY600"/>
      <c r="BZ600"/>
    </row>
    <row r="601" spans="1:78" x14ac:dyDescent="0.35">
      <c r="A601" t="s">
        <v>1126</v>
      </c>
      <c r="B601" t="s">
        <v>1126</v>
      </c>
      <c r="D601" t="s">
        <v>1333</v>
      </c>
      <c r="E601" t="s">
        <v>375</v>
      </c>
      <c r="F601" t="s">
        <v>106</v>
      </c>
      <c r="G601" t="s">
        <v>2226</v>
      </c>
      <c r="H601" s="2">
        <v>30971</v>
      </c>
      <c r="I601">
        <v>39.745379876796711</v>
      </c>
      <c r="J601" t="s">
        <v>746</v>
      </c>
      <c r="K601" t="s">
        <v>2227</v>
      </c>
      <c r="L601" t="s">
        <v>224</v>
      </c>
      <c r="M601" t="s">
        <v>243</v>
      </c>
      <c r="N601" s="11">
        <v>304120754</v>
      </c>
      <c r="O601" s="2">
        <v>45488</v>
      </c>
      <c r="P601" t="s">
        <v>1669</v>
      </c>
      <c r="Q601" s="2">
        <v>31620</v>
      </c>
      <c r="R601" s="3">
        <f>(Tabla1[[#This Row],[FECHA_TRASPLANTE]]-Tabla1[[#This Row],[FECHA_NAC]])/365.25</f>
        <v>37.968514715947983</v>
      </c>
      <c r="S601" t="s">
        <v>210</v>
      </c>
      <c r="U601" t="s">
        <v>1902</v>
      </c>
      <c r="V601" t="s">
        <v>1551</v>
      </c>
      <c r="W601" t="s">
        <v>82</v>
      </c>
      <c r="X601" t="s">
        <v>110</v>
      </c>
      <c r="Y601" t="s">
        <v>110</v>
      </c>
      <c r="Z601" t="s">
        <v>395</v>
      </c>
      <c r="AD601">
        <v>0</v>
      </c>
      <c r="AF601" t="s">
        <v>375</v>
      </c>
      <c r="AG601" t="s">
        <v>375</v>
      </c>
      <c r="AH601" t="s">
        <v>375</v>
      </c>
      <c r="AI601" t="s">
        <v>762</v>
      </c>
      <c r="AM601" t="s">
        <v>106</v>
      </c>
      <c r="AN601" s="2" t="s">
        <v>762</v>
      </c>
      <c r="AO601" s="2" t="s">
        <v>762</v>
      </c>
      <c r="AQ601" t="s">
        <v>358</v>
      </c>
      <c r="AR601" s="2"/>
      <c r="AS601" s="2"/>
      <c r="AV601" s="2" t="s">
        <v>762</v>
      </c>
      <c r="AY601" t="s">
        <v>106</v>
      </c>
      <c r="BA601" t="s">
        <v>1812</v>
      </c>
      <c r="BD601" t="s">
        <v>106</v>
      </c>
      <c r="BE601" s="2"/>
      <c r="BI601" t="s">
        <v>106</v>
      </c>
      <c r="BL601" t="s">
        <v>106</v>
      </c>
      <c r="BO601">
        <v>303980037</v>
      </c>
      <c r="BP601" t="s">
        <v>81</v>
      </c>
      <c r="BQ601" t="s">
        <v>82</v>
      </c>
      <c r="BR601" t="s">
        <v>1854</v>
      </c>
      <c r="BS601" t="s">
        <v>1855</v>
      </c>
      <c r="BT601" s="17">
        <f>Tabla1[[#This Row],[FECHA_TRASPLANTE]]</f>
        <v>45488</v>
      </c>
      <c r="BU601">
        <f>IF(Tabla1[[#This Row],[FALLECIDO SI/NO]]="NO",0,1)</f>
        <v>0</v>
      </c>
      <c r="BV601" s="3">
        <f ca="1">IF(Tabla1[[#This Row],[FALLECIDO_COD]]=0,TODAY()-Tabla1[[#This Row],[FECHA_TRASPLANTE]],Tabla1[[#This Row],[FECHA DE DEFUNCIÓN]]-Tabla1[[#This Row],[FECHA_TRASPLANTE]])</f>
        <v>387</v>
      </c>
      <c r="BW601" s="3">
        <f ca="1">IF(Tabla1[[#This Row],[FALLECIDO_COD]]=0,TODAY()-Tabla1[[#This Row],[FECHA_TRASPLANTE]],Tabla1[[#This Row],[FECHA DE DEFUNCIÓN]]-Tabla1[[#This Row],[FECHA_TRASPLANTE]])/30.4375</f>
        <v>12.714579055441478</v>
      </c>
      <c r="BX601" s="3">
        <f ca="1">IF(Tabla1[[#This Row],[FALLECIDO_COD]]=0,TODAY()-Tabla1[[#This Row],[FECHA_TRASPLANTE]],Tabla1[[#This Row],[FECHA DE DEFUNCIÓN]]-Tabla1[[#This Row],[FECHA_TRASPLANTE]])/365.25</f>
        <v>1.0595482546201231</v>
      </c>
      <c r="BY601"/>
      <c r="BZ601"/>
    </row>
    <row r="602" spans="1:78" x14ac:dyDescent="0.35">
      <c r="A602" t="s">
        <v>377</v>
      </c>
      <c r="D602" t="s">
        <v>1129</v>
      </c>
      <c r="E602" t="s">
        <v>375</v>
      </c>
      <c r="G602" t="s">
        <v>200</v>
      </c>
      <c r="H602" s="2">
        <v>34535</v>
      </c>
      <c r="I602">
        <v>29.99315537303217</v>
      </c>
      <c r="J602" t="s">
        <v>1898</v>
      </c>
      <c r="K602" t="s">
        <v>2228</v>
      </c>
      <c r="L602" t="s">
        <v>132</v>
      </c>
      <c r="M602" t="s">
        <v>1633</v>
      </c>
      <c r="N602" s="11">
        <v>205930161</v>
      </c>
      <c r="O602" s="2">
        <v>45490</v>
      </c>
      <c r="P602" t="s">
        <v>81</v>
      </c>
      <c r="Q602" s="2">
        <v>30713</v>
      </c>
      <c r="R602" s="3">
        <f>(Tabla1[[#This Row],[FECHA_TRASPLANTE]]-Tabla1[[#This Row],[FECHA_NAC]])/365.25</f>
        <v>40.45722108145106</v>
      </c>
      <c r="T602"/>
      <c r="W602" t="s">
        <v>82</v>
      </c>
      <c r="X602" t="s">
        <v>1944</v>
      </c>
      <c r="AM602" t="s">
        <v>106</v>
      </c>
      <c r="AO602"/>
      <c r="AV602" s="2"/>
      <c r="BO602">
        <v>402230750</v>
      </c>
      <c r="BP602" t="s">
        <v>90</v>
      </c>
      <c r="BQ602" t="s">
        <v>82</v>
      </c>
      <c r="BR602" t="s">
        <v>1900</v>
      </c>
      <c r="BS602" t="s">
        <v>1901</v>
      </c>
      <c r="BT602" s="17">
        <f>Tabla1[[#This Row],[FECHA_TRASPLANTE]]</f>
        <v>45490</v>
      </c>
      <c r="BU602">
        <f>IF(Tabla1[[#This Row],[FALLECIDO SI/NO]]="NO",0,1)</f>
        <v>0</v>
      </c>
      <c r="BV602" s="3">
        <f ca="1">IF(Tabla1[[#This Row],[FALLECIDO_COD]]=0,TODAY()-Tabla1[[#This Row],[FECHA_TRASPLANTE]],Tabla1[[#This Row],[FECHA DE DEFUNCIÓN]]-Tabla1[[#This Row],[FECHA_TRASPLANTE]])</f>
        <v>385</v>
      </c>
      <c r="BW602" s="3">
        <f ca="1">IF(Tabla1[[#This Row],[FALLECIDO_COD]]=0,TODAY()-Tabla1[[#This Row],[FECHA_TRASPLANTE]],Tabla1[[#This Row],[FECHA DE DEFUNCIÓN]]-Tabla1[[#This Row],[FECHA_TRASPLANTE]])/30.4375</f>
        <v>12.648870636550308</v>
      </c>
      <c r="BX602" s="3">
        <f ca="1">IF(Tabla1[[#This Row],[FALLECIDO_COD]]=0,TODAY()-Tabla1[[#This Row],[FECHA_TRASPLANTE]],Tabla1[[#This Row],[FECHA DE DEFUNCIÓN]]-Tabla1[[#This Row],[FECHA_TRASPLANTE]])/365.25</f>
        <v>1.054072553045859</v>
      </c>
      <c r="BY602"/>
      <c r="BZ602"/>
    </row>
    <row r="603" spans="1:78" x14ac:dyDescent="0.35">
      <c r="A603" t="s">
        <v>376</v>
      </c>
      <c r="B603" t="s">
        <v>376</v>
      </c>
      <c r="C603" t="s">
        <v>2200</v>
      </c>
      <c r="D603" t="s">
        <v>1129</v>
      </c>
      <c r="E603" t="s">
        <v>77</v>
      </c>
      <c r="K603" t="s">
        <v>2229</v>
      </c>
      <c r="L603" t="s">
        <v>1426</v>
      </c>
      <c r="M603" t="s">
        <v>1147</v>
      </c>
      <c r="N603" s="11">
        <v>209530851</v>
      </c>
      <c r="O603" s="2">
        <v>45556</v>
      </c>
      <c r="P603" t="s">
        <v>90</v>
      </c>
      <c r="Q603" s="2">
        <v>40884</v>
      </c>
      <c r="R603" s="3">
        <f>(Tabla1[[#This Row],[FECHA_TRASPLANTE]]-Tabla1[[#This Row],[FECHA_NAC]])/365.25</f>
        <v>12.791238877481177</v>
      </c>
      <c r="S603" t="s">
        <v>200</v>
      </c>
      <c r="T603">
        <v>45540</v>
      </c>
      <c r="U603" t="s">
        <v>2160</v>
      </c>
      <c r="V603" t="s">
        <v>1824</v>
      </c>
      <c r="W603" t="s">
        <v>82</v>
      </c>
      <c r="X603" t="s">
        <v>115</v>
      </c>
      <c r="Y603" t="s">
        <v>197</v>
      </c>
      <c r="Z603" t="s">
        <v>2230</v>
      </c>
      <c r="AM603" t="s">
        <v>106</v>
      </c>
      <c r="AO603"/>
      <c r="AQ603" t="s">
        <v>358</v>
      </c>
      <c r="AV603" s="2"/>
      <c r="AY603" t="s">
        <v>106</v>
      </c>
      <c r="BT603" s="17">
        <f>Tabla1[[#This Row],[FECHA_TRASPLANTE]]</f>
        <v>45556</v>
      </c>
      <c r="BU603">
        <f>IF(Tabla1[[#This Row],[FALLECIDO SI/NO]]="NO",0,1)</f>
        <v>0</v>
      </c>
      <c r="BV603" s="3">
        <f ca="1">IF(Tabla1[[#This Row],[FALLECIDO_COD]]=0,TODAY()-Tabla1[[#This Row],[FECHA_TRASPLANTE]],Tabla1[[#This Row],[FECHA DE DEFUNCIÓN]]-Tabla1[[#This Row],[FECHA_TRASPLANTE]])</f>
        <v>319</v>
      </c>
      <c r="BW603" s="3">
        <f ca="1">IF(Tabla1[[#This Row],[FALLECIDO_COD]]=0,TODAY()-Tabla1[[#This Row],[FECHA_TRASPLANTE]],Tabla1[[#This Row],[FECHA DE DEFUNCIÓN]]-Tabla1[[#This Row],[FECHA_TRASPLANTE]])/30.4375</f>
        <v>10.480492813141684</v>
      </c>
      <c r="BX603" s="3">
        <f ca="1">IF(Tabla1[[#This Row],[FALLECIDO_COD]]=0,TODAY()-Tabla1[[#This Row],[FECHA_TRASPLANTE]],Tabla1[[#This Row],[FECHA DE DEFUNCIÓN]]-Tabla1[[#This Row],[FECHA_TRASPLANTE]])/365.25</f>
        <v>0.87337440109514031</v>
      </c>
      <c r="BY603"/>
      <c r="BZ603"/>
    </row>
    <row r="604" spans="1:78" x14ac:dyDescent="0.35">
      <c r="A604" t="s">
        <v>1125</v>
      </c>
      <c r="B604" t="s">
        <v>1125</v>
      </c>
      <c r="C604" t="s">
        <v>1026</v>
      </c>
      <c r="D604" t="s">
        <v>1129</v>
      </c>
      <c r="E604" t="s">
        <v>77</v>
      </c>
      <c r="F604" t="s">
        <v>106</v>
      </c>
      <c r="K604" t="s">
        <v>2231</v>
      </c>
      <c r="L604" t="s">
        <v>188</v>
      </c>
      <c r="M604" t="s">
        <v>753</v>
      </c>
      <c r="N604" s="11">
        <v>113680415</v>
      </c>
      <c r="O604" s="2">
        <v>45654</v>
      </c>
      <c r="P604" t="s">
        <v>81</v>
      </c>
      <c r="Q604" s="2">
        <v>32423</v>
      </c>
      <c r="R604" s="3">
        <f>(Tabla1[[#This Row],[FECHA_TRASPLANTE]]-Tabla1[[#This Row],[FECHA_NAC]])/365.25</f>
        <v>36.224503764544835</v>
      </c>
      <c r="S604" t="s">
        <v>902</v>
      </c>
      <c r="U604" t="s">
        <v>2232</v>
      </c>
      <c r="W604" t="s">
        <v>82</v>
      </c>
      <c r="X604" t="s">
        <v>91</v>
      </c>
      <c r="Y604" t="s">
        <v>553</v>
      </c>
      <c r="Z604" t="s">
        <v>2233</v>
      </c>
      <c r="AM604" t="s">
        <v>106</v>
      </c>
      <c r="AO604"/>
      <c r="AV604" s="2"/>
      <c r="BT604" s="17">
        <f>Tabla1[[#This Row],[FECHA_TRASPLANTE]]</f>
        <v>45654</v>
      </c>
      <c r="BU604">
        <f>IF(Tabla1[[#This Row],[FALLECIDO SI/NO]]="NO",0,1)</f>
        <v>0</v>
      </c>
      <c r="BV604" s="3">
        <f ca="1">IF(Tabla1[[#This Row],[FALLECIDO_COD]]=0,TODAY()-Tabla1[[#This Row],[FECHA_TRASPLANTE]],Tabla1[[#This Row],[FECHA DE DEFUNCIÓN]]-Tabla1[[#This Row],[FECHA_TRASPLANTE]])</f>
        <v>221</v>
      </c>
      <c r="BW604" s="3">
        <f ca="1">IF(Tabla1[[#This Row],[FALLECIDO_COD]]=0,TODAY()-Tabla1[[#This Row],[FECHA_TRASPLANTE]],Tabla1[[#This Row],[FECHA DE DEFUNCIÓN]]-Tabla1[[#This Row],[FECHA_TRASPLANTE]])/30.4375</f>
        <v>7.2607802874743328</v>
      </c>
      <c r="BX604" s="3">
        <f ca="1">IF(Tabla1[[#This Row],[FALLECIDO_COD]]=0,TODAY()-Tabla1[[#This Row],[FECHA_TRASPLANTE]],Tabla1[[#This Row],[FECHA DE DEFUNCIÓN]]-Tabla1[[#This Row],[FECHA_TRASPLANTE]])/365.25</f>
        <v>0.60506502395619444</v>
      </c>
      <c r="BY604"/>
      <c r="BZ604"/>
    </row>
    <row r="605" spans="1:78" x14ac:dyDescent="0.35">
      <c r="A605" t="s">
        <v>75</v>
      </c>
      <c r="B605" t="s">
        <v>1828</v>
      </c>
      <c r="C605" t="s">
        <v>341</v>
      </c>
      <c r="D605" t="s">
        <v>1129</v>
      </c>
      <c r="E605" t="s">
        <v>77</v>
      </c>
      <c r="K605" t="s">
        <v>1249</v>
      </c>
      <c r="L605" t="s">
        <v>233</v>
      </c>
      <c r="M605" t="s">
        <v>642</v>
      </c>
      <c r="N605" s="11">
        <v>108200358</v>
      </c>
      <c r="O605" s="16">
        <v>45647</v>
      </c>
      <c r="P605" t="s">
        <v>81</v>
      </c>
      <c r="Q605" s="2">
        <v>26375</v>
      </c>
      <c r="R605" s="3">
        <f>(Tabla1[[#This Row],[FECHA_TRASPLANTE]]-Tabla1[[#This Row],[FECHA_NAC]])/365.25</f>
        <v>52.763860369609858</v>
      </c>
      <c r="S605" t="s">
        <v>210</v>
      </c>
      <c r="T605"/>
      <c r="U605" t="s">
        <v>1830</v>
      </c>
      <c r="V605" t="s">
        <v>1824</v>
      </c>
      <c r="W605" t="s">
        <v>82</v>
      </c>
      <c r="X605" t="s">
        <v>261</v>
      </c>
      <c r="Y605" t="s">
        <v>353</v>
      </c>
      <c r="Z605" t="s">
        <v>2234</v>
      </c>
      <c r="AM605" t="s">
        <v>106</v>
      </c>
      <c r="AO605"/>
      <c r="AV605" s="2"/>
      <c r="BJ605" s="2"/>
      <c r="BT605" s="17">
        <f>Tabla1[[#This Row],[FECHA_TRASPLANTE]]</f>
        <v>45647</v>
      </c>
      <c r="BU605">
        <f>IF(Tabla1[[#This Row],[FALLECIDO SI/NO]]="NO",0,1)</f>
        <v>0</v>
      </c>
      <c r="BV605" s="3">
        <f ca="1">IF(Tabla1[[#This Row],[FALLECIDO_COD]]=0,TODAY()-Tabla1[[#This Row],[FECHA_TRASPLANTE]],Tabla1[[#This Row],[FECHA DE DEFUNCIÓN]]-Tabla1[[#This Row],[FECHA_TRASPLANTE]])</f>
        <v>228</v>
      </c>
      <c r="BW605" s="3">
        <f ca="1">IF(Tabla1[[#This Row],[FALLECIDO_COD]]=0,TODAY()-Tabla1[[#This Row],[FECHA_TRASPLANTE]],Tabla1[[#This Row],[FECHA DE DEFUNCIÓN]]-Tabla1[[#This Row],[FECHA_TRASPLANTE]])/30.4375</f>
        <v>7.4907597535934292</v>
      </c>
      <c r="BX605" s="3">
        <f ca="1">IF(Tabla1[[#This Row],[FALLECIDO_COD]]=0,TODAY()-Tabla1[[#This Row],[FECHA_TRASPLANTE]],Tabla1[[#This Row],[FECHA DE DEFUNCIÓN]]-Tabla1[[#This Row],[FECHA_TRASPLANTE]])/365.25</f>
        <v>0.62422997946611913</v>
      </c>
      <c r="BY605"/>
      <c r="BZ605"/>
    </row>
    <row r="606" spans="1:78" x14ac:dyDescent="0.35">
      <c r="A606" t="s">
        <v>1126</v>
      </c>
      <c r="B606" t="s">
        <v>1126</v>
      </c>
      <c r="D606" t="s">
        <v>1333</v>
      </c>
      <c r="E606" t="s">
        <v>77</v>
      </c>
      <c r="F606" t="s">
        <v>86</v>
      </c>
      <c r="G606" t="s">
        <v>2235</v>
      </c>
      <c r="I606">
        <v>124.55578370978782</v>
      </c>
      <c r="J606" t="s">
        <v>1820</v>
      </c>
      <c r="N606" s="11">
        <v>302680200</v>
      </c>
      <c r="O606" s="2">
        <v>45494</v>
      </c>
      <c r="P606" t="s">
        <v>1669</v>
      </c>
      <c r="Q606" s="2">
        <v>23460</v>
      </c>
      <c r="R606" s="3">
        <f>(Tabla1[[#This Row],[FECHA_TRASPLANTE]]-Tabla1[[#This Row],[FECHA_NAC]])/365.25</f>
        <v>60.325804243668721</v>
      </c>
      <c r="S606" t="s">
        <v>200</v>
      </c>
      <c r="U606" t="s">
        <v>2236</v>
      </c>
      <c r="V606" t="s">
        <v>1551</v>
      </c>
      <c r="W606" t="s">
        <v>82</v>
      </c>
      <c r="X606" t="s">
        <v>110</v>
      </c>
      <c r="Y606" t="s">
        <v>801</v>
      </c>
      <c r="Z606" t="s">
        <v>1908</v>
      </c>
      <c r="AD606">
        <v>0</v>
      </c>
      <c r="AF606" t="s">
        <v>375</v>
      </c>
      <c r="AG606" t="s">
        <v>375</v>
      </c>
      <c r="AH606" t="s">
        <v>375</v>
      </c>
      <c r="AI606" t="s">
        <v>762</v>
      </c>
      <c r="AM606" t="s">
        <v>106</v>
      </c>
      <c r="AN606" s="2" t="s">
        <v>762</v>
      </c>
      <c r="AO606" s="2" t="s">
        <v>762</v>
      </c>
      <c r="AQ606" t="s">
        <v>358</v>
      </c>
      <c r="AR606" s="2"/>
      <c r="AS606" s="2"/>
      <c r="AV606" s="2" t="s">
        <v>762</v>
      </c>
      <c r="AY606" t="s">
        <v>106</v>
      </c>
      <c r="BA606" t="s">
        <v>1812</v>
      </c>
      <c r="BD606" t="s">
        <v>106</v>
      </c>
      <c r="BE606" s="2"/>
      <c r="BI606" t="s">
        <v>106</v>
      </c>
      <c r="BL606" t="s">
        <v>106</v>
      </c>
      <c r="BT606" s="17">
        <f>Tabla1[[#This Row],[FECHA_TRASPLANTE]]</f>
        <v>45494</v>
      </c>
      <c r="BU606">
        <f>IF(Tabla1[[#This Row],[FALLECIDO SI/NO]]="NO",0,1)</f>
        <v>0</v>
      </c>
      <c r="BV606" s="3">
        <f ca="1">IF(Tabla1[[#This Row],[FALLECIDO_COD]]=0,TODAY()-Tabla1[[#This Row],[FECHA_TRASPLANTE]],Tabla1[[#This Row],[FECHA DE DEFUNCIÓN]]-Tabla1[[#This Row],[FECHA_TRASPLANTE]])</f>
        <v>381</v>
      </c>
      <c r="BW606" s="3">
        <f ca="1">IF(Tabla1[[#This Row],[FALLECIDO_COD]]=0,TODAY()-Tabla1[[#This Row],[FECHA_TRASPLANTE]],Tabla1[[#This Row],[FECHA DE DEFUNCIÓN]]-Tabla1[[#This Row],[FECHA_TRASPLANTE]])/30.4375</f>
        <v>12.517453798767967</v>
      </c>
      <c r="BX606" s="3">
        <f ca="1">IF(Tabla1[[#This Row],[FALLECIDO_COD]]=0,TODAY()-Tabla1[[#This Row],[FECHA_TRASPLANTE]],Tabla1[[#This Row],[FECHA DE DEFUNCIÓN]]-Tabla1[[#This Row],[FECHA_TRASPLANTE]])/365.25</f>
        <v>1.0431211498973305</v>
      </c>
      <c r="BY606"/>
      <c r="BZ606"/>
    </row>
    <row r="607" spans="1:78" x14ac:dyDescent="0.35">
      <c r="A607" t="s">
        <v>75</v>
      </c>
      <c r="B607" t="s">
        <v>1828</v>
      </c>
      <c r="C607" t="s">
        <v>2237</v>
      </c>
      <c r="D607" t="s">
        <v>1129</v>
      </c>
      <c r="E607" t="s">
        <v>77</v>
      </c>
      <c r="H607" s="2">
        <v>33827</v>
      </c>
      <c r="I607">
        <v>31</v>
      </c>
      <c r="K607" t="s">
        <v>2238</v>
      </c>
      <c r="L607" t="s">
        <v>482</v>
      </c>
      <c r="M607" t="s">
        <v>188</v>
      </c>
      <c r="N607" s="11">
        <v>109960865</v>
      </c>
      <c r="O607" s="16">
        <v>45495</v>
      </c>
      <c r="P607" t="s">
        <v>90</v>
      </c>
      <c r="Q607" s="2">
        <v>28574</v>
      </c>
      <c r="R607" s="3">
        <f>(Tabla1[[#This Row],[FECHA_TRASPLANTE]]-Tabla1[[#This Row],[FECHA_NAC]])/365.25</f>
        <v>46.327173169062284</v>
      </c>
      <c r="S607" t="s">
        <v>200</v>
      </c>
      <c r="T607"/>
      <c r="U607" t="s">
        <v>1830</v>
      </c>
      <c r="V607" t="s">
        <v>1824</v>
      </c>
      <c r="W607" t="s">
        <v>82</v>
      </c>
      <c r="X607" t="s">
        <v>91</v>
      </c>
      <c r="Y607" t="s">
        <v>193</v>
      </c>
      <c r="Z607" t="s">
        <v>1498</v>
      </c>
      <c r="AD607">
        <v>1</v>
      </c>
      <c r="AF607" t="s">
        <v>2027</v>
      </c>
      <c r="AM607" t="s">
        <v>86</v>
      </c>
      <c r="AN607" s="2">
        <v>45496</v>
      </c>
      <c r="AO607" t="s">
        <v>2027</v>
      </c>
      <c r="AP607" t="s">
        <v>106</v>
      </c>
      <c r="AQ607" t="s">
        <v>358</v>
      </c>
      <c r="AV607" s="2"/>
      <c r="AY607" t="s">
        <v>106</v>
      </c>
      <c r="BJ607" s="2"/>
      <c r="BO607">
        <v>115270580</v>
      </c>
      <c r="BP607" t="s">
        <v>90</v>
      </c>
      <c r="BQ607" t="s">
        <v>82</v>
      </c>
      <c r="BT607" s="17">
        <f>Tabla1[[#This Row],[FECHA_TRASPLANTE]]</f>
        <v>45495</v>
      </c>
      <c r="BU607">
        <f>IF(Tabla1[[#This Row],[FALLECIDO SI/NO]]="NO",0,1)</f>
        <v>1</v>
      </c>
      <c r="BV607" s="3">
        <f ca="1">IF(Tabla1[[#This Row],[FALLECIDO_COD]]=0,TODAY()-Tabla1[[#This Row],[FECHA_TRASPLANTE]],Tabla1[[#This Row],[FECHA DE DEFUNCIÓN]]-Tabla1[[#This Row],[FECHA_TRASPLANTE]])</f>
        <v>1</v>
      </c>
      <c r="BW607" s="3">
        <f ca="1">IF(Tabla1[[#This Row],[FALLECIDO_COD]]=0,TODAY()-Tabla1[[#This Row],[FECHA_TRASPLANTE]],Tabla1[[#This Row],[FECHA DE DEFUNCIÓN]]-Tabla1[[#This Row],[FECHA_TRASPLANTE]])/30.4375</f>
        <v>3.2854209445585217E-2</v>
      </c>
      <c r="BX607" s="3">
        <f ca="1">IF(Tabla1[[#This Row],[FALLECIDO_COD]]=0,TODAY()-Tabla1[[#This Row],[FECHA_TRASPLANTE]],Tabla1[[#This Row],[FECHA DE DEFUNCIÓN]]-Tabla1[[#This Row],[FECHA_TRASPLANTE]])/365.25</f>
        <v>2.7378507871321013E-3</v>
      </c>
      <c r="BY607"/>
      <c r="BZ607"/>
    </row>
    <row r="608" spans="1:78" x14ac:dyDescent="0.35">
      <c r="A608" t="s">
        <v>377</v>
      </c>
      <c r="D608" t="s">
        <v>1129</v>
      </c>
      <c r="E608" t="s">
        <v>77</v>
      </c>
      <c r="J608" t="s">
        <v>1834</v>
      </c>
      <c r="K608" t="s">
        <v>2239</v>
      </c>
      <c r="L608" t="s">
        <v>2076</v>
      </c>
      <c r="M608" t="s">
        <v>1464</v>
      </c>
      <c r="N608" s="11">
        <v>504190967</v>
      </c>
      <c r="O608" s="2">
        <v>45495</v>
      </c>
      <c r="P608" t="s">
        <v>81</v>
      </c>
      <c r="Q608" s="2">
        <v>35801</v>
      </c>
      <c r="R608" s="3">
        <f>(Tabla1[[#This Row],[FECHA_TRASPLANTE]]-Tabla1[[#This Row],[FECHA_NAC]])/365.25</f>
        <v>26.540725530458591</v>
      </c>
      <c r="T608"/>
      <c r="W608" t="s">
        <v>82</v>
      </c>
      <c r="X608" t="s">
        <v>2240</v>
      </c>
      <c r="AM608" t="s">
        <v>106</v>
      </c>
      <c r="AO608"/>
      <c r="AV608" s="2"/>
      <c r="BT608" s="17">
        <f>Tabla1[[#This Row],[FECHA_TRASPLANTE]]</f>
        <v>45495</v>
      </c>
      <c r="BU608">
        <f>IF(Tabla1[[#This Row],[FALLECIDO SI/NO]]="NO",0,1)</f>
        <v>0</v>
      </c>
      <c r="BV608" s="3">
        <f ca="1">IF(Tabla1[[#This Row],[FALLECIDO_COD]]=0,TODAY()-Tabla1[[#This Row],[FECHA_TRASPLANTE]],Tabla1[[#This Row],[FECHA DE DEFUNCIÓN]]-Tabla1[[#This Row],[FECHA_TRASPLANTE]])</f>
        <v>380</v>
      </c>
      <c r="BW608" s="3">
        <f ca="1">IF(Tabla1[[#This Row],[FALLECIDO_COD]]=0,TODAY()-Tabla1[[#This Row],[FECHA_TRASPLANTE]],Tabla1[[#This Row],[FECHA DE DEFUNCIÓN]]-Tabla1[[#This Row],[FECHA_TRASPLANTE]])/30.4375</f>
        <v>12.484599589322382</v>
      </c>
      <c r="BX608" s="3">
        <f ca="1">IF(Tabla1[[#This Row],[FALLECIDO_COD]]=0,TODAY()-Tabla1[[#This Row],[FECHA_TRASPLANTE]],Tabla1[[#This Row],[FECHA DE DEFUNCIÓN]]-Tabla1[[#This Row],[FECHA_TRASPLANTE]])/365.25</f>
        <v>1.0403832991101984</v>
      </c>
      <c r="BY608"/>
      <c r="BZ608"/>
    </row>
    <row r="609" spans="1:78" x14ac:dyDescent="0.35">
      <c r="A609" t="s">
        <v>377</v>
      </c>
      <c r="D609" t="s">
        <v>1129</v>
      </c>
      <c r="E609" t="s">
        <v>77</v>
      </c>
      <c r="J609" t="s">
        <v>2099</v>
      </c>
      <c r="K609" t="s">
        <v>2241</v>
      </c>
      <c r="L609" t="s">
        <v>432</v>
      </c>
      <c r="M609" t="s">
        <v>2242</v>
      </c>
      <c r="N609" s="11">
        <v>503560948</v>
      </c>
      <c r="O609" s="2">
        <v>45499</v>
      </c>
      <c r="P609" t="s">
        <v>90</v>
      </c>
      <c r="Q609" s="2">
        <v>31805</v>
      </c>
      <c r="R609" s="3">
        <f>(Tabla1[[#This Row],[FECHA_TRASPLANTE]]-Tabla1[[#This Row],[FECHA_NAC]])/365.25</f>
        <v>37.492128678986994</v>
      </c>
      <c r="T609"/>
      <c r="W609" t="s">
        <v>82</v>
      </c>
      <c r="X609" t="s">
        <v>2243</v>
      </c>
      <c r="AM609" t="s">
        <v>106</v>
      </c>
      <c r="AO609"/>
      <c r="AV609" s="2"/>
      <c r="BT609" s="17">
        <f>Tabla1[[#This Row],[FECHA_TRASPLANTE]]</f>
        <v>45499</v>
      </c>
      <c r="BU609">
        <f>IF(Tabla1[[#This Row],[FALLECIDO SI/NO]]="NO",0,1)</f>
        <v>0</v>
      </c>
      <c r="BV609" s="3">
        <f ca="1">IF(Tabla1[[#This Row],[FALLECIDO_COD]]=0,TODAY()-Tabla1[[#This Row],[FECHA_TRASPLANTE]],Tabla1[[#This Row],[FECHA DE DEFUNCIÓN]]-Tabla1[[#This Row],[FECHA_TRASPLANTE]])</f>
        <v>376</v>
      </c>
      <c r="BW609" s="3">
        <f ca="1">IF(Tabla1[[#This Row],[FALLECIDO_COD]]=0,TODAY()-Tabla1[[#This Row],[FECHA_TRASPLANTE]],Tabla1[[#This Row],[FECHA DE DEFUNCIÓN]]-Tabla1[[#This Row],[FECHA_TRASPLANTE]])/30.4375</f>
        <v>12.353182751540041</v>
      </c>
      <c r="BX609" s="3">
        <f ca="1">IF(Tabla1[[#This Row],[FALLECIDO_COD]]=0,TODAY()-Tabla1[[#This Row],[FECHA_TRASPLANTE]],Tabla1[[#This Row],[FECHA DE DEFUNCIÓN]]-Tabla1[[#This Row],[FECHA_TRASPLANTE]])/365.25</f>
        <v>1.0294318959616702</v>
      </c>
      <c r="BY609"/>
      <c r="BZ609"/>
    </row>
    <row r="610" spans="1:78" x14ac:dyDescent="0.35">
      <c r="A610" t="s">
        <v>377</v>
      </c>
      <c r="D610" t="s">
        <v>1129</v>
      </c>
      <c r="E610" t="s">
        <v>375</v>
      </c>
      <c r="G610" t="s">
        <v>200</v>
      </c>
      <c r="H610" s="2">
        <v>35037</v>
      </c>
      <c r="I610">
        <v>28.657084188911703</v>
      </c>
      <c r="J610" t="s">
        <v>746</v>
      </c>
      <c r="K610" t="s">
        <v>2244</v>
      </c>
      <c r="L610" t="s">
        <v>269</v>
      </c>
      <c r="M610" t="s">
        <v>474</v>
      </c>
      <c r="N610" s="11">
        <v>114040979</v>
      </c>
      <c r="O610" s="2">
        <v>45504</v>
      </c>
      <c r="P610" t="s">
        <v>81</v>
      </c>
      <c r="Q610" s="2">
        <v>32776</v>
      </c>
      <c r="R610" s="3">
        <f>(Tabla1[[#This Row],[FECHA_TRASPLANTE]]-Tabla1[[#This Row],[FECHA_NAC]])/365.25</f>
        <v>34.847364818617386</v>
      </c>
      <c r="T610"/>
      <c r="W610" t="s">
        <v>82</v>
      </c>
      <c r="X610" t="s">
        <v>91</v>
      </c>
      <c r="Y610" t="s">
        <v>179</v>
      </c>
      <c r="Z610" t="s">
        <v>621</v>
      </c>
      <c r="AM610" t="s">
        <v>106</v>
      </c>
      <c r="AO610"/>
      <c r="AV610" s="2"/>
      <c r="BO610">
        <v>116260336</v>
      </c>
      <c r="BP610" t="s">
        <v>90</v>
      </c>
      <c r="BQ610" t="s">
        <v>82</v>
      </c>
      <c r="BR610" t="s">
        <v>1854</v>
      </c>
      <c r="BS610" t="s">
        <v>1855</v>
      </c>
      <c r="BT610" s="17">
        <f>Tabla1[[#This Row],[FECHA_TRASPLANTE]]</f>
        <v>45504</v>
      </c>
      <c r="BU610">
        <f>IF(Tabla1[[#This Row],[FALLECIDO SI/NO]]="NO",0,1)</f>
        <v>0</v>
      </c>
      <c r="BV610" s="3">
        <f ca="1">IF(Tabla1[[#This Row],[FALLECIDO_COD]]=0,TODAY()-Tabla1[[#This Row],[FECHA_TRASPLANTE]],Tabla1[[#This Row],[FECHA DE DEFUNCIÓN]]-Tabla1[[#This Row],[FECHA_TRASPLANTE]])</f>
        <v>371</v>
      </c>
      <c r="BW610" s="3">
        <f ca="1">IF(Tabla1[[#This Row],[FALLECIDO_COD]]=0,TODAY()-Tabla1[[#This Row],[FECHA_TRASPLANTE]],Tabla1[[#This Row],[FECHA DE DEFUNCIÓN]]-Tabla1[[#This Row],[FECHA_TRASPLANTE]])/30.4375</f>
        <v>12.188911704312115</v>
      </c>
      <c r="BX610" s="3">
        <f ca="1">IF(Tabla1[[#This Row],[FALLECIDO_COD]]=0,TODAY()-Tabla1[[#This Row],[FECHA_TRASPLANTE]],Tabla1[[#This Row],[FECHA DE DEFUNCIÓN]]-Tabla1[[#This Row],[FECHA_TRASPLANTE]])/365.25</f>
        <v>1.0157426420260096</v>
      </c>
      <c r="BY610"/>
      <c r="BZ610"/>
    </row>
    <row r="611" spans="1:78" x14ac:dyDescent="0.35">
      <c r="A611" t="s">
        <v>377</v>
      </c>
      <c r="D611" t="s">
        <v>1129</v>
      </c>
      <c r="E611" t="s">
        <v>375</v>
      </c>
      <c r="G611" t="s">
        <v>210</v>
      </c>
      <c r="H611" s="2">
        <v>31757</v>
      </c>
      <c r="I611">
        <v>37.675564681724843</v>
      </c>
      <c r="J611" t="s">
        <v>1898</v>
      </c>
      <c r="K611" t="s">
        <v>2245</v>
      </c>
      <c r="L611" t="s">
        <v>2246</v>
      </c>
      <c r="M611" t="s">
        <v>99</v>
      </c>
      <c r="N611" s="11">
        <v>205480205</v>
      </c>
      <c r="O611" s="2">
        <v>45518</v>
      </c>
      <c r="P611" t="s">
        <v>81</v>
      </c>
      <c r="Q611" s="2">
        <v>29306</v>
      </c>
      <c r="R611" s="3">
        <f>(Tabla1[[#This Row],[FECHA_TRASPLANTE]]-Tabla1[[#This Row],[FECHA_NAC]])/365.25</f>
        <v>44.386036960985628</v>
      </c>
      <c r="S611" t="s">
        <v>210</v>
      </c>
      <c r="T611"/>
      <c r="W611" t="s">
        <v>82</v>
      </c>
      <c r="X611" t="s">
        <v>115</v>
      </c>
      <c r="Y611" t="s">
        <v>197</v>
      </c>
      <c r="Z611" t="s">
        <v>454</v>
      </c>
      <c r="AM611" t="s">
        <v>106</v>
      </c>
      <c r="AO611"/>
      <c r="AV611" s="2"/>
      <c r="BO611">
        <v>206270872</v>
      </c>
      <c r="BP611" t="s">
        <v>90</v>
      </c>
      <c r="BQ611" t="s">
        <v>82</v>
      </c>
      <c r="BR611" t="s">
        <v>1900</v>
      </c>
      <c r="BS611" t="s">
        <v>1901</v>
      </c>
      <c r="BT611" s="17">
        <f>Tabla1[[#This Row],[FECHA_TRASPLANTE]]</f>
        <v>45518</v>
      </c>
      <c r="BU611">
        <f>IF(Tabla1[[#This Row],[FALLECIDO SI/NO]]="NO",0,1)</f>
        <v>0</v>
      </c>
      <c r="BV611" s="3">
        <f ca="1">IF(Tabla1[[#This Row],[FALLECIDO_COD]]=0,TODAY()-Tabla1[[#This Row],[FECHA_TRASPLANTE]],Tabla1[[#This Row],[FECHA DE DEFUNCIÓN]]-Tabla1[[#This Row],[FECHA_TRASPLANTE]])</f>
        <v>357</v>
      </c>
      <c r="BW611" s="3">
        <f ca="1">IF(Tabla1[[#This Row],[FALLECIDO_COD]]=0,TODAY()-Tabla1[[#This Row],[FECHA_TRASPLANTE]],Tabla1[[#This Row],[FECHA DE DEFUNCIÓN]]-Tabla1[[#This Row],[FECHA_TRASPLANTE]])/30.4375</f>
        <v>11.728952772073923</v>
      </c>
      <c r="BX611" s="3">
        <f ca="1">IF(Tabla1[[#This Row],[FALLECIDO_COD]]=0,TODAY()-Tabla1[[#This Row],[FECHA_TRASPLANTE]],Tabla1[[#This Row],[FECHA DE DEFUNCIÓN]]-Tabla1[[#This Row],[FECHA_TRASPLANTE]])/365.25</f>
        <v>0.97741273100616022</v>
      </c>
      <c r="BY611"/>
      <c r="BZ611"/>
    </row>
    <row r="612" spans="1:78" x14ac:dyDescent="0.35">
      <c r="A612" t="s">
        <v>75</v>
      </c>
      <c r="B612" t="s">
        <v>1828</v>
      </c>
      <c r="D612" t="s">
        <v>1129</v>
      </c>
      <c r="E612" t="s">
        <v>375</v>
      </c>
      <c r="G612" t="s">
        <v>896</v>
      </c>
      <c r="H612" s="2">
        <v>37769</v>
      </c>
      <c r="I612">
        <v>21.229295003422312</v>
      </c>
      <c r="J612" t="s">
        <v>746</v>
      </c>
      <c r="K612" t="s">
        <v>2247</v>
      </c>
      <c r="L612" t="s">
        <v>274</v>
      </c>
      <c r="M612" t="s">
        <v>1295</v>
      </c>
      <c r="N612" s="11">
        <v>111590576</v>
      </c>
      <c r="O612" s="16">
        <v>45523</v>
      </c>
      <c r="P612" t="s">
        <v>81</v>
      </c>
      <c r="Q612" s="2">
        <v>30295</v>
      </c>
      <c r="R612" s="3">
        <f>(Tabla1[[#This Row],[FECHA_TRASPLANTE]]-Tabla1[[#This Row],[FECHA_NAC]])/365.25</f>
        <v>41.691991786447637</v>
      </c>
      <c r="T612"/>
      <c r="U612" t="s">
        <v>1830</v>
      </c>
      <c r="W612" t="s">
        <v>82</v>
      </c>
      <c r="X612" t="s">
        <v>91</v>
      </c>
      <c r="Y612" t="s">
        <v>193</v>
      </c>
      <c r="Z612" t="s">
        <v>760</v>
      </c>
      <c r="AM612" t="s">
        <v>86</v>
      </c>
      <c r="AN612" s="2">
        <v>45619</v>
      </c>
      <c r="AO612" t="s">
        <v>1677</v>
      </c>
      <c r="AP612" t="s">
        <v>106</v>
      </c>
      <c r="AQ612" t="s">
        <v>358</v>
      </c>
      <c r="AV612" s="2"/>
      <c r="BJ612" s="2"/>
      <c r="BO612">
        <v>118750624</v>
      </c>
      <c r="BP612" t="s">
        <v>81</v>
      </c>
      <c r="BQ612" t="s">
        <v>82</v>
      </c>
      <c r="BR612" t="s">
        <v>1854</v>
      </c>
      <c r="BS612" t="s">
        <v>1855</v>
      </c>
      <c r="BT612" s="17">
        <f>Tabla1[[#This Row],[FECHA_TRASPLANTE]]</f>
        <v>45523</v>
      </c>
      <c r="BU612">
        <f>IF(Tabla1[[#This Row],[FALLECIDO SI/NO]]="NO",0,1)</f>
        <v>1</v>
      </c>
      <c r="BV612" s="3">
        <f ca="1">IF(Tabla1[[#This Row],[FALLECIDO_COD]]=0,TODAY()-Tabla1[[#This Row],[FECHA_TRASPLANTE]],Tabla1[[#This Row],[FECHA DE DEFUNCIÓN]]-Tabla1[[#This Row],[FECHA_TRASPLANTE]])</f>
        <v>96</v>
      </c>
      <c r="BW612" s="3">
        <f ca="1">IF(Tabla1[[#This Row],[FALLECIDO_COD]]=0,TODAY()-Tabla1[[#This Row],[FECHA_TRASPLANTE]],Tabla1[[#This Row],[FECHA DE DEFUNCIÓN]]-Tabla1[[#This Row],[FECHA_TRASPLANTE]])/30.4375</f>
        <v>3.1540041067761808</v>
      </c>
      <c r="BX612" s="3">
        <f ca="1">IF(Tabla1[[#This Row],[FALLECIDO_COD]]=0,TODAY()-Tabla1[[#This Row],[FECHA_TRASPLANTE]],Tabla1[[#This Row],[FECHA DE DEFUNCIÓN]]-Tabla1[[#This Row],[FECHA_TRASPLANTE]])/365.25</f>
        <v>0.26283367556468173</v>
      </c>
      <c r="BY612"/>
      <c r="BZ612"/>
    </row>
    <row r="613" spans="1:78" x14ac:dyDescent="0.35">
      <c r="A613" t="s">
        <v>1126</v>
      </c>
      <c r="B613" t="s">
        <v>1126</v>
      </c>
      <c r="D613" t="s">
        <v>1333</v>
      </c>
      <c r="E613" t="s">
        <v>375</v>
      </c>
      <c r="F613" t="s">
        <v>106</v>
      </c>
      <c r="G613" t="s">
        <v>200</v>
      </c>
      <c r="H613" s="2">
        <v>27172</v>
      </c>
      <c r="I613">
        <v>50.261464750171115</v>
      </c>
      <c r="J613" t="s">
        <v>1898</v>
      </c>
      <c r="K613" t="s">
        <v>2248</v>
      </c>
      <c r="L613" t="s">
        <v>1685</v>
      </c>
      <c r="M613" t="s">
        <v>531</v>
      </c>
      <c r="N613" s="11">
        <v>302860909</v>
      </c>
      <c r="O613" s="2">
        <v>45530</v>
      </c>
      <c r="P613" t="s">
        <v>1549</v>
      </c>
      <c r="Q613" s="2">
        <v>24408</v>
      </c>
      <c r="R613" s="3">
        <f>(Tabla1[[#This Row],[FECHA_TRASPLANTE]]-Tabla1[[#This Row],[FECHA_NAC]])/365.25</f>
        <v>57.828884325804246</v>
      </c>
      <c r="S613" t="s">
        <v>210</v>
      </c>
      <c r="U613" t="s">
        <v>1925</v>
      </c>
      <c r="V613" t="s">
        <v>1551</v>
      </c>
      <c r="W613" t="s">
        <v>82</v>
      </c>
      <c r="X613" t="s">
        <v>110</v>
      </c>
      <c r="Y613" t="s">
        <v>110</v>
      </c>
      <c r="Z613" t="s">
        <v>867</v>
      </c>
      <c r="AD613">
        <v>0</v>
      </c>
      <c r="AF613" t="s">
        <v>375</v>
      </c>
      <c r="AG613" t="s">
        <v>375</v>
      </c>
      <c r="AM613" t="s">
        <v>106</v>
      </c>
      <c r="AN613" s="2" t="s">
        <v>762</v>
      </c>
      <c r="AO613" s="2" t="s">
        <v>762</v>
      </c>
      <c r="AQ613" t="s">
        <v>358</v>
      </c>
      <c r="AR613" s="2"/>
      <c r="AS613" s="2"/>
      <c r="AV613" s="2" t="s">
        <v>762</v>
      </c>
      <c r="AY613" t="s">
        <v>106</v>
      </c>
      <c r="BA613" t="s">
        <v>1812</v>
      </c>
      <c r="BD613" t="s">
        <v>86</v>
      </c>
      <c r="BE613" s="2">
        <v>45576</v>
      </c>
      <c r="BF613" t="s">
        <v>1816</v>
      </c>
      <c r="BG613" t="s">
        <v>1924</v>
      </c>
      <c r="BH613" t="s">
        <v>86</v>
      </c>
      <c r="BI613" t="s">
        <v>106</v>
      </c>
      <c r="BL613" t="s">
        <v>106</v>
      </c>
      <c r="BO613">
        <v>108810378</v>
      </c>
      <c r="BP613" t="s">
        <v>90</v>
      </c>
      <c r="BQ613" t="s">
        <v>82</v>
      </c>
      <c r="BR613" t="s">
        <v>1900</v>
      </c>
      <c r="BS613" t="s">
        <v>1901</v>
      </c>
      <c r="BT613" s="17">
        <f>Tabla1[[#This Row],[FECHA_TRASPLANTE]]</f>
        <v>45530</v>
      </c>
      <c r="BU613">
        <f>IF(Tabla1[[#This Row],[FALLECIDO SI/NO]]="NO",0,1)</f>
        <v>0</v>
      </c>
      <c r="BV613" s="3">
        <f ca="1">IF(Tabla1[[#This Row],[FALLECIDO_COD]]=0,TODAY()-Tabla1[[#This Row],[FECHA_TRASPLANTE]],Tabla1[[#This Row],[FECHA DE DEFUNCIÓN]]-Tabla1[[#This Row],[FECHA_TRASPLANTE]])</f>
        <v>345</v>
      </c>
      <c r="BW613" s="3">
        <f ca="1">IF(Tabla1[[#This Row],[FALLECIDO_COD]]=0,TODAY()-Tabla1[[#This Row],[FECHA_TRASPLANTE]],Tabla1[[#This Row],[FECHA DE DEFUNCIÓN]]-Tabla1[[#This Row],[FECHA_TRASPLANTE]])/30.4375</f>
        <v>11.3347022587269</v>
      </c>
      <c r="BX613" s="3">
        <f ca="1">IF(Tabla1[[#This Row],[FALLECIDO_COD]]=0,TODAY()-Tabla1[[#This Row],[FECHA_TRASPLANTE]],Tabla1[[#This Row],[FECHA DE DEFUNCIÓN]]-Tabla1[[#This Row],[FECHA_TRASPLANTE]])/365.25</f>
        <v>0.94455852156057496</v>
      </c>
      <c r="BY613"/>
      <c r="BZ613"/>
    </row>
    <row r="614" spans="1:78" x14ac:dyDescent="0.35">
      <c r="A614" t="s">
        <v>377</v>
      </c>
      <c r="B614" t="s">
        <v>2249</v>
      </c>
      <c r="C614" t="s">
        <v>1334</v>
      </c>
      <c r="D614" t="s">
        <v>1129</v>
      </c>
      <c r="E614" t="s">
        <v>375</v>
      </c>
      <c r="G614" t="s">
        <v>210</v>
      </c>
      <c r="H614" s="2">
        <v>29889</v>
      </c>
      <c r="I614">
        <v>42.866529774127308</v>
      </c>
      <c r="J614" t="s">
        <v>746</v>
      </c>
      <c r="K614" t="s">
        <v>2250</v>
      </c>
      <c r="L614" t="s">
        <v>521</v>
      </c>
      <c r="M614" t="s">
        <v>2076</v>
      </c>
      <c r="N614" s="11">
        <v>602920991</v>
      </c>
      <c r="O614" s="2">
        <v>45546</v>
      </c>
      <c r="P614" t="s">
        <v>81</v>
      </c>
      <c r="Q614" s="2">
        <v>28773</v>
      </c>
      <c r="R614" s="3">
        <f>(Tabla1[[#This Row],[FECHA_TRASPLANTE]]-Tabla1[[#This Row],[FECHA_NAC]])/365.25</f>
        <v>45.921971252566735</v>
      </c>
      <c r="T614">
        <v>45063</v>
      </c>
      <c r="W614" t="s">
        <v>82</v>
      </c>
      <c r="X614" t="s">
        <v>125</v>
      </c>
      <c r="Y614" t="s">
        <v>441</v>
      </c>
      <c r="Z614" t="s">
        <v>442</v>
      </c>
      <c r="AM614" t="s">
        <v>106</v>
      </c>
      <c r="AO614"/>
      <c r="AV614" s="2"/>
      <c r="BO614">
        <v>503240875</v>
      </c>
      <c r="BP614" t="s">
        <v>81</v>
      </c>
      <c r="BQ614" t="s">
        <v>82</v>
      </c>
      <c r="BR614" t="s">
        <v>1854</v>
      </c>
      <c r="BS614" t="s">
        <v>1855</v>
      </c>
      <c r="BT614" s="17">
        <f>Tabla1[[#This Row],[FECHA_TRASPLANTE]]</f>
        <v>45546</v>
      </c>
      <c r="BU614">
        <f>IF(Tabla1[[#This Row],[FALLECIDO SI/NO]]="NO",0,1)</f>
        <v>0</v>
      </c>
      <c r="BV614" s="3">
        <f ca="1">IF(Tabla1[[#This Row],[FALLECIDO_COD]]=0,TODAY()-Tabla1[[#This Row],[FECHA_TRASPLANTE]],Tabla1[[#This Row],[FECHA DE DEFUNCIÓN]]-Tabla1[[#This Row],[FECHA_TRASPLANTE]])</f>
        <v>329</v>
      </c>
      <c r="BW614" s="3">
        <f ca="1">IF(Tabla1[[#This Row],[FALLECIDO_COD]]=0,TODAY()-Tabla1[[#This Row],[FECHA_TRASPLANTE]],Tabla1[[#This Row],[FECHA DE DEFUNCIÓN]]-Tabla1[[#This Row],[FECHA_TRASPLANTE]])/30.4375</f>
        <v>10.809034907597535</v>
      </c>
      <c r="BX614" s="3">
        <f ca="1">IF(Tabla1[[#This Row],[FALLECIDO_COD]]=0,TODAY()-Tabla1[[#This Row],[FECHA_TRASPLANTE]],Tabla1[[#This Row],[FECHA DE DEFUNCIÓN]]-Tabla1[[#This Row],[FECHA_TRASPLANTE]])/365.25</f>
        <v>0.90075290896646132</v>
      </c>
      <c r="BY614"/>
      <c r="BZ614"/>
    </row>
    <row r="615" spans="1:78" x14ac:dyDescent="0.35">
      <c r="A615" t="s">
        <v>1125</v>
      </c>
      <c r="B615" t="s">
        <v>1125</v>
      </c>
      <c r="C615" t="s">
        <v>1334</v>
      </c>
      <c r="D615" t="s">
        <v>1129</v>
      </c>
      <c r="E615" t="s">
        <v>375</v>
      </c>
      <c r="F615" t="s">
        <v>106</v>
      </c>
      <c r="G615" t="s">
        <v>205</v>
      </c>
      <c r="H615" s="2">
        <v>34342</v>
      </c>
      <c r="I615">
        <v>30.694045174537987</v>
      </c>
      <c r="J615" t="s">
        <v>746</v>
      </c>
      <c r="K615" t="s">
        <v>2251</v>
      </c>
      <c r="L615" t="s">
        <v>2252</v>
      </c>
      <c r="M615" t="s">
        <v>901</v>
      </c>
      <c r="N615" s="11">
        <v>118130717</v>
      </c>
      <c r="O615" s="2">
        <v>45553</v>
      </c>
      <c r="P615" t="s">
        <v>1669</v>
      </c>
      <c r="Q615" s="2">
        <v>37052</v>
      </c>
      <c r="R615" s="3">
        <f>(Tabla1[[#This Row],[FECHA_TRASPLANTE]]-Tabla1[[#This Row],[FECHA_NAC]])/365.25</f>
        <v>23.274469541409992</v>
      </c>
      <c r="S615" t="s">
        <v>205</v>
      </c>
      <c r="T615" s="2">
        <v>44446</v>
      </c>
      <c r="U615" t="s">
        <v>1348</v>
      </c>
      <c r="V615" t="s">
        <v>1824</v>
      </c>
      <c r="W615" t="s">
        <v>82</v>
      </c>
      <c r="X615" t="s">
        <v>252</v>
      </c>
      <c r="Y615" t="s">
        <v>2253</v>
      </c>
      <c r="Z615" t="s">
        <v>888</v>
      </c>
      <c r="AA615">
        <v>0.45</v>
      </c>
      <c r="AD615">
        <v>2</v>
      </c>
      <c r="AF615" t="s">
        <v>375</v>
      </c>
      <c r="AG615" t="s">
        <v>375</v>
      </c>
      <c r="AM615" t="s">
        <v>106</v>
      </c>
      <c r="AO615" t="s">
        <v>1334</v>
      </c>
      <c r="AQ615" t="s">
        <v>358</v>
      </c>
      <c r="AV615" s="2"/>
      <c r="AY615" t="s">
        <v>106</v>
      </c>
      <c r="BA615" t="s">
        <v>1917</v>
      </c>
      <c r="BD615" t="s">
        <v>106</v>
      </c>
      <c r="BH615" t="s">
        <v>106</v>
      </c>
      <c r="BI615" t="s">
        <v>106</v>
      </c>
      <c r="BJ615" t="s">
        <v>1334</v>
      </c>
      <c r="BL615" t="s">
        <v>106</v>
      </c>
      <c r="BM615" t="s">
        <v>1334</v>
      </c>
      <c r="BN615" t="s">
        <v>1334</v>
      </c>
      <c r="BO615">
        <v>115600087</v>
      </c>
      <c r="BP615" t="s">
        <v>90</v>
      </c>
      <c r="BQ615" t="s">
        <v>82</v>
      </c>
      <c r="BR615" t="s">
        <v>1854</v>
      </c>
      <c r="BS615" t="s">
        <v>1855</v>
      </c>
      <c r="BT615" s="17">
        <f>Tabla1[[#This Row],[FECHA_TRASPLANTE]]</f>
        <v>45553</v>
      </c>
      <c r="BU615">
        <f>IF(Tabla1[[#This Row],[FALLECIDO SI/NO]]="NO",0,1)</f>
        <v>0</v>
      </c>
      <c r="BV615" s="3">
        <f ca="1">IF(Tabla1[[#This Row],[FALLECIDO_COD]]=0,TODAY()-Tabla1[[#This Row],[FECHA_TRASPLANTE]],Tabla1[[#This Row],[FECHA DE DEFUNCIÓN]]-Tabla1[[#This Row],[FECHA_TRASPLANTE]])</f>
        <v>322</v>
      </c>
      <c r="BW615" s="3">
        <f ca="1">IF(Tabla1[[#This Row],[FALLECIDO_COD]]=0,TODAY()-Tabla1[[#This Row],[FECHA_TRASPLANTE]],Tabla1[[#This Row],[FECHA DE DEFUNCIÓN]]-Tabla1[[#This Row],[FECHA_TRASPLANTE]])/30.4375</f>
        <v>10.57905544147844</v>
      </c>
      <c r="BX615" s="3">
        <f ca="1">IF(Tabla1[[#This Row],[FALLECIDO_COD]]=0,TODAY()-Tabla1[[#This Row],[FECHA_TRASPLANTE]],Tabla1[[#This Row],[FECHA DE DEFUNCIÓN]]-Tabla1[[#This Row],[FECHA_TRASPLANTE]])/365.25</f>
        <v>0.88158795345653662</v>
      </c>
      <c r="BY615"/>
      <c r="BZ615"/>
    </row>
    <row r="616" spans="1:78" x14ac:dyDescent="0.35">
      <c r="A616" t="s">
        <v>1125</v>
      </c>
      <c r="B616" t="s">
        <v>2105</v>
      </c>
      <c r="C616" t="s">
        <v>327</v>
      </c>
      <c r="D616" t="s">
        <v>1129</v>
      </c>
      <c r="E616" t="s">
        <v>77</v>
      </c>
      <c r="F616" t="s">
        <v>106</v>
      </c>
      <c r="G616" t="s">
        <v>200</v>
      </c>
      <c r="H616" s="2">
        <v>36179</v>
      </c>
      <c r="I616">
        <v>25.498288843258042</v>
      </c>
      <c r="J616" t="s">
        <v>1928</v>
      </c>
      <c r="K616" t="s">
        <v>2254</v>
      </c>
      <c r="L616" t="s">
        <v>132</v>
      </c>
      <c r="M616" t="s">
        <v>386</v>
      </c>
      <c r="N616" s="11">
        <v>114280852</v>
      </c>
      <c r="O616" s="2">
        <v>45492.25</v>
      </c>
      <c r="P616" t="s">
        <v>1549</v>
      </c>
      <c r="Q616" s="2">
        <v>33015.25</v>
      </c>
      <c r="R616" s="3">
        <f>(Tabla1[[#This Row],[FECHA_TRASPLANTE]]-Tabla1[[#This Row],[FECHA_NAC]])/365.25</f>
        <v>34.160164271047229</v>
      </c>
      <c r="S616" t="s">
        <v>200</v>
      </c>
      <c r="T616">
        <v>42076</v>
      </c>
      <c r="U616" t="s">
        <v>1348</v>
      </c>
      <c r="V616" t="s">
        <v>1824</v>
      </c>
      <c r="W616" t="s">
        <v>82</v>
      </c>
      <c r="X616" t="s">
        <v>252</v>
      </c>
      <c r="Y616" t="s">
        <v>2253</v>
      </c>
      <c r="Z616" t="s">
        <v>332</v>
      </c>
      <c r="AA616">
        <v>9.0399999999999991</v>
      </c>
      <c r="AD616">
        <v>7</v>
      </c>
      <c r="AF616" t="s">
        <v>375</v>
      </c>
      <c r="AG616" t="s">
        <v>375</v>
      </c>
      <c r="AH616" t="s">
        <v>770</v>
      </c>
      <c r="AI616" t="s">
        <v>770</v>
      </c>
      <c r="AJ616" t="s">
        <v>770</v>
      </c>
      <c r="AK616" t="s">
        <v>770</v>
      </c>
      <c r="AL616" t="s">
        <v>770</v>
      </c>
      <c r="AM616" t="s">
        <v>86</v>
      </c>
      <c r="AN616" s="2">
        <v>45556</v>
      </c>
      <c r="AO616" t="s">
        <v>2255</v>
      </c>
      <c r="AP616" t="s">
        <v>86</v>
      </c>
      <c r="AQ616" t="s">
        <v>2256</v>
      </c>
      <c r="AR616" t="s">
        <v>1334</v>
      </c>
      <c r="AS616" t="s">
        <v>1334</v>
      </c>
      <c r="AT616" t="s">
        <v>1334</v>
      </c>
      <c r="AU616" t="s">
        <v>1334</v>
      </c>
      <c r="AV616" s="2" t="s">
        <v>1334</v>
      </c>
      <c r="AY616" t="s">
        <v>106</v>
      </c>
      <c r="BA616" t="s">
        <v>1917</v>
      </c>
      <c r="BB616" t="s">
        <v>1334</v>
      </c>
      <c r="BC616" t="s">
        <v>1334</v>
      </c>
      <c r="BD616" t="s">
        <v>106</v>
      </c>
      <c r="BH616" t="s">
        <v>106</v>
      </c>
      <c r="BI616" t="s">
        <v>106</v>
      </c>
      <c r="BJ616" t="s">
        <v>1334</v>
      </c>
      <c r="BL616" t="s">
        <v>106</v>
      </c>
      <c r="BM616" t="s">
        <v>1334</v>
      </c>
      <c r="BN616" t="s">
        <v>1334</v>
      </c>
      <c r="BO616">
        <v>117320791</v>
      </c>
      <c r="BP616" t="s">
        <v>81</v>
      </c>
      <c r="BQ616" t="s">
        <v>1849</v>
      </c>
      <c r="BS616" t="s">
        <v>2257</v>
      </c>
      <c r="BT616" s="17">
        <f>Tabla1[[#This Row],[FECHA_TRASPLANTE]]</f>
        <v>45492.25</v>
      </c>
      <c r="BU616">
        <f>IF(Tabla1[[#This Row],[FALLECIDO SI/NO]]="NO",0,1)</f>
        <v>1</v>
      </c>
      <c r="BV616" s="3">
        <f ca="1">IF(Tabla1[[#This Row],[FALLECIDO_COD]]=0,TODAY()-Tabla1[[#This Row],[FECHA_TRASPLANTE]],Tabla1[[#This Row],[FECHA DE DEFUNCIÓN]]-Tabla1[[#This Row],[FECHA_TRASPLANTE]])</f>
        <v>63.75</v>
      </c>
      <c r="BW616" s="3">
        <f ca="1">IF(Tabla1[[#This Row],[FALLECIDO_COD]]=0,TODAY()-Tabla1[[#This Row],[FECHA_TRASPLANTE]],Tabla1[[#This Row],[FECHA DE DEFUNCIÓN]]-Tabla1[[#This Row],[FECHA_TRASPLANTE]])/30.4375</f>
        <v>2.0944558521560577</v>
      </c>
      <c r="BX616" s="3">
        <f ca="1">IF(Tabla1[[#This Row],[FALLECIDO_COD]]=0,TODAY()-Tabla1[[#This Row],[FECHA_TRASPLANTE]],Tabla1[[#This Row],[FECHA DE DEFUNCIÓN]]-Tabla1[[#This Row],[FECHA_TRASPLANTE]])/365.25</f>
        <v>0.17453798767967146</v>
      </c>
      <c r="BY616"/>
      <c r="BZ616"/>
    </row>
    <row r="617" spans="1:78" x14ac:dyDescent="0.35">
      <c r="A617" t="s">
        <v>376</v>
      </c>
      <c r="B617" t="s">
        <v>376</v>
      </c>
      <c r="C617" t="s">
        <v>2258</v>
      </c>
      <c r="D617" t="s">
        <v>1129</v>
      </c>
      <c r="E617" t="s">
        <v>77</v>
      </c>
      <c r="K617" t="s">
        <v>2259</v>
      </c>
      <c r="L617" t="s">
        <v>240</v>
      </c>
      <c r="M617" t="s">
        <v>1510</v>
      </c>
      <c r="N617" s="11">
        <v>306390281</v>
      </c>
      <c r="O617" s="2">
        <v>45492</v>
      </c>
      <c r="P617" t="s">
        <v>81</v>
      </c>
      <c r="Q617" s="2">
        <v>42879</v>
      </c>
      <c r="R617" s="3">
        <f>(Tabla1[[#This Row],[FECHA_TRASPLANTE]]-Tabla1[[#This Row],[FECHA_NAC]])/365.25</f>
        <v>7.1540041067761804</v>
      </c>
      <c r="S617" t="s">
        <v>200</v>
      </c>
      <c r="T617">
        <v>45240</v>
      </c>
      <c r="U617" t="s">
        <v>2160</v>
      </c>
      <c r="V617" t="s">
        <v>1838</v>
      </c>
      <c r="W617" t="s">
        <v>82</v>
      </c>
      <c r="X617" t="s">
        <v>110</v>
      </c>
      <c r="Y617" t="s">
        <v>110</v>
      </c>
      <c r="Z617" t="s">
        <v>340</v>
      </c>
      <c r="AM617" t="s">
        <v>106</v>
      </c>
      <c r="AO617"/>
      <c r="AQ617" t="s">
        <v>358</v>
      </c>
      <c r="AV617" s="2"/>
      <c r="AY617" t="s">
        <v>106</v>
      </c>
      <c r="BT617" s="17">
        <f>Tabla1[[#This Row],[FECHA_TRASPLANTE]]</f>
        <v>45492</v>
      </c>
      <c r="BU617">
        <f>IF(Tabla1[[#This Row],[FALLECIDO SI/NO]]="NO",0,1)</f>
        <v>0</v>
      </c>
      <c r="BV617" s="3">
        <f ca="1">IF(Tabla1[[#This Row],[FALLECIDO_COD]]=0,TODAY()-Tabla1[[#This Row],[FECHA_TRASPLANTE]],Tabla1[[#This Row],[FECHA DE DEFUNCIÓN]]-Tabla1[[#This Row],[FECHA_TRASPLANTE]])</f>
        <v>383</v>
      </c>
      <c r="BW617" s="3">
        <f ca="1">IF(Tabla1[[#This Row],[FALLECIDO_COD]]=0,TODAY()-Tabla1[[#This Row],[FECHA_TRASPLANTE]],Tabla1[[#This Row],[FECHA DE DEFUNCIÓN]]-Tabla1[[#This Row],[FECHA_TRASPLANTE]])/30.4375</f>
        <v>12.583162217659138</v>
      </c>
      <c r="BX617" s="3">
        <f ca="1">IF(Tabla1[[#This Row],[FALLECIDO_COD]]=0,TODAY()-Tabla1[[#This Row],[FECHA_TRASPLANTE]],Tabla1[[#This Row],[FECHA DE DEFUNCIÓN]]-Tabla1[[#This Row],[FECHA_TRASPLANTE]])/365.25</f>
        <v>1.0485968514715949</v>
      </c>
      <c r="BY617"/>
      <c r="BZ617"/>
    </row>
    <row r="618" spans="1:78" x14ac:dyDescent="0.35">
      <c r="A618" t="s">
        <v>377</v>
      </c>
      <c r="D618" t="s">
        <v>1129</v>
      </c>
      <c r="E618" t="s">
        <v>375</v>
      </c>
      <c r="G618" t="s">
        <v>210</v>
      </c>
      <c r="H618" s="2">
        <v>30179</v>
      </c>
      <c r="I618">
        <v>42.110882956878854</v>
      </c>
      <c r="J618" t="s">
        <v>1898</v>
      </c>
      <c r="K618" t="s">
        <v>2260</v>
      </c>
      <c r="L618" t="s">
        <v>2261</v>
      </c>
      <c r="M618" t="s">
        <v>2262</v>
      </c>
      <c r="N618" s="11">
        <v>112140235</v>
      </c>
      <c r="O618" s="2">
        <v>45560</v>
      </c>
      <c r="P618" t="s">
        <v>81</v>
      </c>
      <c r="Q618" s="2">
        <v>30901</v>
      </c>
      <c r="R618" s="3">
        <f>(Tabla1[[#This Row],[FECHA_TRASPLANTE]]-Tabla1[[#This Row],[FECHA_NAC]])/365.25</f>
        <v>40.134154688569474</v>
      </c>
      <c r="T618"/>
      <c r="W618" t="s">
        <v>82</v>
      </c>
      <c r="X618" t="s">
        <v>125</v>
      </c>
      <c r="AM618" t="s">
        <v>106</v>
      </c>
      <c r="AO618"/>
      <c r="AV618" s="2"/>
      <c r="BO618">
        <v>801430607</v>
      </c>
      <c r="BP618" t="s">
        <v>90</v>
      </c>
      <c r="BQ618" t="s">
        <v>82</v>
      </c>
      <c r="BR618" t="s">
        <v>1900</v>
      </c>
      <c r="BS618" t="s">
        <v>1901</v>
      </c>
      <c r="BT618" s="17">
        <f>Tabla1[[#This Row],[FECHA_TRASPLANTE]]</f>
        <v>45560</v>
      </c>
      <c r="BU618">
        <f>IF(Tabla1[[#This Row],[FALLECIDO SI/NO]]="NO",0,1)</f>
        <v>0</v>
      </c>
      <c r="BV618" s="3">
        <f ca="1">IF(Tabla1[[#This Row],[FALLECIDO_COD]]=0,TODAY()-Tabla1[[#This Row],[FECHA_TRASPLANTE]],Tabla1[[#This Row],[FECHA DE DEFUNCIÓN]]-Tabla1[[#This Row],[FECHA_TRASPLANTE]])</f>
        <v>315</v>
      </c>
      <c r="BW618" s="3">
        <f ca="1">IF(Tabla1[[#This Row],[FALLECIDO_COD]]=0,TODAY()-Tabla1[[#This Row],[FECHA_TRASPLANTE]],Tabla1[[#This Row],[FECHA DE DEFUNCIÓN]]-Tabla1[[#This Row],[FECHA_TRASPLANTE]])/30.4375</f>
        <v>10.349075975359343</v>
      </c>
      <c r="BX618" s="3">
        <f ca="1">IF(Tabla1[[#This Row],[FALLECIDO_COD]]=0,TODAY()-Tabla1[[#This Row],[FECHA_TRASPLANTE]],Tabla1[[#This Row],[FECHA DE DEFUNCIÓN]]-Tabla1[[#This Row],[FECHA_TRASPLANTE]])/365.25</f>
        <v>0.86242299794661192</v>
      </c>
      <c r="BY618"/>
      <c r="BZ618"/>
    </row>
    <row r="619" spans="1:78" x14ac:dyDescent="0.35">
      <c r="A619" t="s">
        <v>377</v>
      </c>
      <c r="D619" t="s">
        <v>1129</v>
      </c>
      <c r="E619" t="s">
        <v>375</v>
      </c>
      <c r="G619" t="s">
        <v>200</v>
      </c>
      <c r="H619" s="2">
        <v>36638</v>
      </c>
      <c r="I619">
        <v>24.446269678302532</v>
      </c>
      <c r="J619" t="s">
        <v>1898</v>
      </c>
      <c r="K619" t="s">
        <v>2263</v>
      </c>
      <c r="L619" t="s">
        <v>2264</v>
      </c>
      <c r="M619" t="s">
        <v>2265</v>
      </c>
      <c r="N619" s="11">
        <v>205870256</v>
      </c>
      <c r="O619" s="2">
        <v>45567</v>
      </c>
      <c r="P619" t="s">
        <v>81</v>
      </c>
      <c r="Q619" s="2">
        <v>30569</v>
      </c>
      <c r="R619" s="3">
        <f>(Tabla1[[#This Row],[FECHA_TRASPLANTE]]-Tabla1[[#This Row],[FECHA_NAC]])/365.25</f>
        <v>41.062286105407253</v>
      </c>
      <c r="T619"/>
      <c r="W619" t="s">
        <v>82</v>
      </c>
      <c r="X619" t="s">
        <v>115</v>
      </c>
      <c r="AM619" t="s">
        <v>106</v>
      </c>
      <c r="AO619"/>
      <c r="AV619" s="2"/>
      <c r="BO619">
        <v>208030623</v>
      </c>
      <c r="BP619" t="s">
        <v>90</v>
      </c>
      <c r="BQ619" t="s">
        <v>82</v>
      </c>
      <c r="BR619" t="s">
        <v>1900</v>
      </c>
      <c r="BS619" t="s">
        <v>1901</v>
      </c>
      <c r="BT619" s="17">
        <f>Tabla1[[#This Row],[FECHA_TRASPLANTE]]</f>
        <v>45567</v>
      </c>
      <c r="BU619">
        <f>IF(Tabla1[[#This Row],[FALLECIDO SI/NO]]="NO",0,1)</f>
        <v>0</v>
      </c>
      <c r="BV619" s="3">
        <f ca="1">IF(Tabla1[[#This Row],[FALLECIDO_COD]]=0,TODAY()-Tabla1[[#This Row],[FECHA_TRASPLANTE]],Tabla1[[#This Row],[FECHA DE DEFUNCIÓN]]-Tabla1[[#This Row],[FECHA_TRASPLANTE]])</f>
        <v>308</v>
      </c>
      <c r="BW619" s="3">
        <f ca="1">IF(Tabla1[[#This Row],[FALLECIDO_COD]]=0,TODAY()-Tabla1[[#This Row],[FECHA_TRASPLANTE]],Tabla1[[#This Row],[FECHA DE DEFUNCIÓN]]-Tabla1[[#This Row],[FECHA_TRASPLANTE]])/30.4375</f>
        <v>10.119096509240247</v>
      </c>
      <c r="BX619" s="3">
        <f ca="1">IF(Tabla1[[#This Row],[FALLECIDO_COD]]=0,TODAY()-Tabla1[[#This Row],[FECHA_TRASPLANTE]],Tabla1[[#This Row],[FECHA DE DEFUNCIÓN]]-Tabla1[[#This Row],[FECHA_TRASPLANTE]])/365.25</f>
        <v>0.84325804243668723</v>
      </c>
      <c r="BY619"/>
      <c r="BZ619"/>
    </row>
    <row r="620" spans="1:78" x14ac:dyDescent="0.35">
      <c r="A620" t="s">
        <v>377</v>
      </c>
      <c r="D620" t="s">
        <v>1129</v>
      </c>
      <c r="E620" t="s">
        <v>77</v>
      </c>
      <c r="J620" t="s">
        <v>2099</v>
      </c>
      <c r="K620" t="s">
        <v>2266</v>
      </c>
      <c r="L620" t="s">
        <v>600</v>
      </c>
      <c r="M620" t="s">
        <v>2267</v>
      </c>
      <c r="N620" s="11">
        <v>25754788</v>
      </c>
      <c r="O620" s="2">
        <v>45568</v>
      </c>
      <c r="P620" t="s">
        <v>90</v>
      </c>
      <c r="R620" s="3">
        <f>(Tabla1[[#This Row],[FECHA_TRASPLANTE]]-Tabla1[[#This Row],[FECHA_NAC]])/365.25</f>
        <v>124.75838466803559</v>
      </c>
      <c r="T620"/>
      <c r="W620" t="s">
        <v>146</v>
      </c>
      <c r="X620" t="s">
        <v>125</v>
      </c>
      <c r="AM620" t="s">
        <v>106</v>
      </c>
      <c r="AO620"/>
      <c r="AV620" s="2"/>
      <c r="BT620" s="17">
        <f>Tabla1[[#This Row],[FECHA_TRASPLANTE]]</f>
        <v>45568</v>
      </c>
      <c r="BU620">
        <f>IF(Tabla1[[#This Row],[FALLECIDO SI/NO]]="NO",0,1)</f>
        <v>0</v>
      </c>
      <c r="BV620" s="3">
        <f ca="1">IF(Tabla1[[#This Row],[FALLECIDO_COD]]=0,TODAY()-Tabla1[[#This Row],[FECHA_TRASPLANTE]],Tabla1[[#This Row],[FECHA DE DEFUNCIÓN]]-Tabla1[[#This Row],[FECHA_TRASPLANTE]])</f>
        <v>307</v>
      </c>
      <c r="BW620" s="3">
        <f ca="1">IF(Tabla1[[#This Row],[FALLECIDO_COD]]=0,TODAY()-Tabla1[[#This Row],[FECHA_TRASPLANTE]],Tabla1[[#This Row],[FECHA DE DEFUNCIÓN]]-Tabla1[[#This Row],[FECHA_TRASPLANTE]])/30.4375</f>
        <v>10.086242299794661</v>
      </c>
      <c r="BX620" s="3">
        <f ca="1">IF(Tabla1[[#This Row],[FALLECIDO_COD]]=0,TODAY()-Tabla1[[#This Row],[FECHA_TRASPLANTE]],Tabla1[[#This Row],[FECHA DE DEFUNCIÓN]]-Tabla1[[#This Row],[FECHA_TRASPLANTE]])/365.25</f>
        <v>0.84052019164955505</v>
      </c>
      <c r="BY620"/>
      <c r="BZ620"/>
    </row>
    <row r="621" spans="1:78" x14ac:dyDescent="0.35">
      <c r="A621" t="s">
        <v>1126</v>
      </c>
      <c r="B621" t="s">
        <v>1126</v>
      </c>
      <c r="D621" t="s">
        <v>1333</v>
      </c>
      <c r="E621" t="s">
        <v>375</v>
      </c>
      <c r="F621" t="s">
        <v>106</v>
      </c>
      <c r="G621" t="s">
        <v>210</v>
      </c>
      <c r="H621" s="2">
        <v>33560</v>
      </c>
      <c r="I621">
        <v>32.887063655030801</v>
      </c>
      <c r="J621" t="s">
        <v>746</v>
      </c>
      <c r="K621" t="s">
        <v>2268</v>
      </c>
      <c r="L621" t="s">
        <v>2269</v>
      </c>
      <c r="M621" t="s">
        <v>921</v>
      </c>
      <c r="N621" s="11">
        <v>305580872</v>
      </c>
      <c r="O621" s="2">
        <v>45572</v>
      </c>
      <c r="P621" t="s">
        <v>1669</v>
      </c>
      <c r="Q621" s="2">
        <v>38474</v>
      </c>
      <c r="R621" s="3">
        <f>(Tabla1[[#This Row],[FECHA_TRASPLANTE]]-Tabla1[[#This Row],[FECHA_NAC]])/365.25</f>
        <v>19.433264887063654</v>
      </c>
      <c r="S621" t="s">
        <v>210</v>
      </c>
      <c r="U621" t="s">
        <v>2270</v>
      </c>
      <c r="V621" t="s">
        <v>1551</v>
      </c>
      <c r="W621" t="s">
        <v>82</v>
      </c>
      <c r="X621" t="s">
        <v>110</v>
      </c>
      <c r="Y621" t="s">
        <v>134</v>
      </c>
      <c r="Z621" t="s">
        <v>423</v>
      </c>
      <c r="AD621">
        <v>0</v>
      </c>
      <c r="AF621" t="s">
        <v>375</v>
      </c>
      <c r="AG621" t="s">
        <v>375</v>
      </c>
      <c r="AM621" t="s">
        <v>106</v>
      </c>
      <c r="AN621" s="2" t="s">
        <v>762</v>
      </c>
      <c r="AO621" s="2" t="s">
        <v>762</v>
      </c>
      <c r="AQ621" t="s">
        <v>358</v>
      </c>
      <c r="AR621" s="2"/>
      <c r="AS621" s="2"/>
      <c r="AV621" s="2" t="s">
        <v>762</v>
      </c>
      <c r="AY621" t="s">
        <v>106</v>
      </c>
      <c r="BA621" t="s">
        <v>1812</v>
      </c>
      <c r="BD621" t="s">
        <v>106</v>
      </c>
      <c r="BE621" s="2"/>
      <c r="BI621" t="s">
        <v>106</v>
      </c>
      <c r="BL621" t="s">
        <v>106</v>
      </c>
      <c r="BO621">
        <v>304580918</v>
      </c>
      <c r="BP621" t="s">
        <v>90</v>
      </c>
      <c r="BQ621" t="s">
        <v>82</v>
      </c>
      <c r="BR621" t="s">
        <v>1854</v>
      </c>
      <c r="BS621" t="s">
        <v>1855</v>
      </c>
      <c r="BT621" s="17">
        <f>Tabla1[[#This Row],[FECHA_TRASPLANTE]]</f>
        <v>45572</v>
      </c>
      <c r="BU621">
        <f>IF(Tabla1[[#This Row],[FALLECIDO SI/NO]]="NO",0,1)</f>
        <v>0</v>
      </c>
      <c r="BV621" s="3">
        <f ca="1">IF(Tabla1[[#This Row],[FALLECIDO_COD]]=0,TODAY()-Tabla1[[#This Row],[FECHA_TRASPLANTE]],Tabla1[[#This Row],[FECHA DE DEFUNCIÓN]]-Tabla1[[#This Row],[FECHA_TRASPLANTE]])</f>
        <v>303</v>
      </c>
      <c r="BW621" s="3">
        <f ca="1">IF(Tabla1[[#This Row],[FALLECIDO_COD]]=0,TODAY()-Tabla1[[#This Row],[FECHA_TRASPLANTE]],Tabla1[[#This Row],[FECHA DE DEFUNCIÓN]]-Tabla1[[#This Row],[FECHA_TRASPLANTE]])/30.4375</f>
        <v>9.9548254620123195</v>
      </c>
      <c r="BX621" s="3">
        <f ca="1">IF(Tabla1[[#This Row],[FALLECIDO_COD]]=0,TODAY()-Tabla1[[#This Row],[FECHA_TRASPLANTE]],Tabla1[[#This Row],[FECHA DE DEFUNCIÓN]]-Tabla1[[#This Row],[FECHA_TRASPLANTE]])/365.25</f>
        <v>0.82956878850102667</v>
      </c>
      <c r="BY621"/>
      <c r="BZ621"/>
    </row>
    <row r="622" spans="1:78" x14ac:dyDescent="0.35">
      <c r="A622" t="s">
        <v>1125</v>
      </c>
      <c r="B622" t="s">
        <v>1125</v>
      </c>
      <c r="C622" t="s">
        <v>1334</v>
      </c>
      <c r="D622" t="s">
        <v>1129</v>
      </c>
      <c r="E622" t="s">
        <v>375</v>
      </c>
      <c r="F622" t="s">
        <v>106</v>
      </c>
      <c r="G622" t="s">
        <v>210</v>
      </c>
      <c r="H622" s="2">
        <v>34011</v>
      </c>
      <c r="I622">
        <v>31.657768651608489</v>
      </c>
      <c r="J622" t="s">
        <v>746</v>
      </c>
      <c r="K622" t="s">
        <v>2271</v>
      </c>
      <c r="L622" t="s">
        <v>483</v>
      </c>
      <c r="M622" t="s">
        <v>619</v>
      </c>
      <c r="N622" s="11">
        <v>118890126</v>
      </c>
      <c r="O622" s="2">
        <v>45574</v>
      </c>
      <c r="P622" t="s">
        <v>81</v>
      </c>
      <c r="Q622" s="2">
        <v>37924</v>
      </c>
      <c r="R622" s="3">
        <f>(Tabla1[[#This Row],[FECHA_TRASPLANTE]]-Tabla1[[#This Row],[FECHA_NAC]])/365.25</f>
        <v>20.944558521560573</v>
      </c>
      <c r="S622" t="s">
        <v>210</v>
      </c>
      <c r="U622" t="s">
        <v>2272</v>
      </c>
      <c r="W622" t="s">
        <v>82</v>
      </c>
      <c r="X622" t="s">
        <v>91</v>
      </c>
      <c r="Y622" t="s">
        <v>215</v>
      </c>
      <c r="Z622" t="s">
        <v>215</v>
      </c>
      <c r="AM622" t="s">
        <v>106</v>
      </c>
      <c r="AO622"/>
      <c r="AV622" s="2"/>
      <c r="BO622">
        <v>115270479</v>
      </c>
      <c r="BP622" t="s">
        <v>81</v>
      </c>
      <c r="BQ622" t="s">
        <v>82</v>
      </c>
      <c r="BR622" t="s">
        <v>1854</v>
      </c>
      <c r="BS622" t="s">
        <v>1855</v>
      </c>
      <c r="BT622" s="17">
        <f>Tabla1[[#This Row],[FECHA_TRASPLANTE]]</f>
        <v>45574</v>
      </c>
      <c r="BU622">
        <f>IF(Tabla1[[#This Row],[FALLECIDO SI/NO]]="NO",0,1)</f>
        <v>0</v>
      </c>
      <c r="BV622" s="3">
        <f ca="1">IF(Tabla1[[#This Row],[FALLECIDO_COD]]=0,TODAY()-Tabla1[[#This Row],[FECHA_TRASPLANTE]],Tabla1[[#This Row],[FECHA DE DEFUNCIÓN]]-Tabla1[[#This Row],[FECHA_TRASPLANTE]])</f>
        <v>301</v>
      </c>
      <c r="BW622" s="3">
        <f ca="1">IF(Tabla1[[#This Row],[FALLECIDO_COD]]=0,TODAY()-Tabla1[[#This Row],[FECHA_TRASPLANTE]],Tabla1[[#This Row],[FECHA DE DEFUNCIÓN]]-Tabla1[[#This Row],[FECHA_TRASPLANTE]])/30.4375</f>
        <v>9.8891170431211499</v>
      </c>
      <c r="BX622" s="3">
        <f ca="1">IF(Tabla1[[#This Row],[FALLECIDO_COD]]=0,TODAY()-Tabla1[[#This Row],[FECHA_TRASPLANTE]],Tabla1[[#This Row],[FECHA DE DEFUNCIÓN]]-Tabla1[[#This Row],[FECHA_TRASPLANTE]])/365.25</f>
        <v>0.82409308692676253</v>
      </c>
      <c r="BY622"/>
      <c r="BZ622"/>
    </row>
    <row r="623" spans="1:78" x14ac:dyDescent="0.35">
      <c r="A623" t="s">
        <v>377</v>
      </c>
      <c r="D623" t="s">
        <v>1129</v>
      </c>
      <c r="E623" t="s">
        <v>375</v>
      </c>
      <c r="G623" t="s">
        <v>205</v>
      </c>
      <c r="H623" s="2">
        <v>33420</v>
      </c>
      <c r="I623">
        <v>33.314168377823407</v>
      </c>
      <c r="J623" t="s">
        <v>746</v>
      </c>
      <c r="K623" t="s">
        <v>2273</v>
      </c>
      <c r="L623" t="s">
        <v>2274</v>
      </c>
      <c r="M623" t="s">
        <v>2275</v>
      </c>
      <c r="N623" s="11">
        <v>504380082</v>
      </c>
      <c r="O623" s="2">
        <v>45588</v>
      </c>
      <c r="P623" t="s">
        <v>81</v>
      </c>
      <c r="Q623" s="2">
        <v>36987</v>
      </c>
      <c r="R623" s="3">
        <f>(Tabla1[[#This Row],[FECHA_TRASPLANTE]]-Tabla1[[#This Row],[FECHA_NAC]])/365.25</f>
        <v>23.548254620123203</v>
      </c>
      <c r="T623"/>
      <c r="W623" t="s">
        <v>82</v>
      </c>
      <c r="X623" t="s">
        <v>261</v>
      </c>
      <c r="AM623" t="s">
        <v>106</v>
      </c>
      <c r="AO623"/>
      <c r="AV623" s="2"/>
      <c r="BO623">
        <v>114690784</v>
      </c>
      <c r="BP623" t="s">
        <v>90</v>
      </c>
      <c r="BQ623" t="s">
        <v>82</v>
      </c>
      <c r="BR623" t="s">
        <v>1854</v>
      </c>
      <c r="BS623" t="s">
        <v>1855</v>
      </c>
      <c r="BT623" s="17">
        <f>Tabla1[[#This Row],[FECHA_TRASPLANTE]]</f>
        <v>45588</v>
      </c>
      <c r="BU623">
        <f>IF(Tabla1[[#This Row],[FALLECIDO SI/NO]]="NO",0,1)</f>
        <v>0</v>
      </c>
      <c r="BV623" s="3">
        <f ca="1">IF(Tabla1[[#This Row],[FALLECIDO_COD]]=0,TODAY()-Tabla1[[#This Row],[FECHA_TRASPLANTE]],Tabla1[[#This Row],[FECHA DE DEFUNCIÓN]]-Tabla1[[#This Row],[FECHA_TRASPLANTE]])</f>
        <v>287</v>
      </c>
      <c r="BW623" s="3">
        <f ca="1">IF(Tabla1[[#This Row],[FALLECIDO_COD]]=0,TODAY()-Tabla1[[#This Row],[FECHA_TRASPLANTE]],Tabla1[[#This Row],[FECHA DE DEFUNCIÓN]]-Tabla1[[#This Row],[FECHA_TRASPLANTE]])/30.4375</f>
        <v>9.4291581108829572</v>
      </c>
      <c r="BX623" s="3">
        <f ca="1">IF(Tabla1[[#This Row],[FALLECIDO_COD]]=0,TODAY()-Tabla1[[#This Row],[FECHA_TRASPLANTE]],Tabla1[[#This Row],[FECHA DE DEFUNCIÓN]]-Tabla1[[#This Row],[FECHA_TRASPLANTE]])/365.25</f>
        <v>0.78576317590691303</v>
      </c>
      <c r="BY623"/>
      <c r="BZ623"/>
    </row>
    <row r="624" spans="1:78" x14ac:dyDescent="0.35">
      <c r="A624" t="s">
        <v>1126</v>
      </c>
      <c r="B624" t="s">
        <v>1126</v>
      </c>
      <c r="D624" t="s">
        <v>1333</v>
      </c>
      <c r="E624" t="s">
        <v>375</v>
      </c>
      <c r="F624" t="s">
        <v>106</v>
      </c>
      <c r="G624" t="s">
        <v>200</v>
      </c>
      <c r="H624" s="2">
        <v>35068</v>
      </c>
      <c r="I624">
        <v>28.815879534565365</v>
      </c>
      <c r="J624" t="s">
        <v>1898</v>
      </c>
      <c r="K624" t="s">
        <v>719</v>
      </c>
      <c r="L624" t="s">
        <v>224</v>
      </c>
      <c r="M624" t="s">
        <v>1510</v>
      </c>
      <c r="N624" s="11">
        <v>106770352</v>
      </c>
      <c r="O624" s="2">
        <v>45593</v>
      </c>
      <c r="P624" t="s">
        <v>1549</v>
      </c>
      <c r="Q624" s="2">
        <v>24256</v>
      </c>
      <c r="R624" s="3">
        <f>(Tabla1[[#This Row],[FECHA_TRASPLANTE]]-Tabla1[[#This Row],[FECHA_NAC]])/365.25</f>
        <v>58.417522245037645</v>
      </c>
      <c r="S624" t="s">
        <v>205</v>
      </c>
      <c r="U624" t="s">
        <v>2066</v>
      </c>
      <c r="V624" t="s">
        <v>1566</v>
      </c>
      <c r="W624" t="s">
        <v>82</v>
      </c>
      <c r="X624" t="s">
        <v>91</v>
      </c>
      <c r="Y624" t="s">
        <v>1751</v>
      </c>
      <c r="Z624" t="s">
        <v>1036</v>
      </c>
      <c r="AD624">
        <v>0</v>
      </c>
      <c r="AF624" t="s">
        <v>375</v>
      </c>
      <c r="AG624" t="s">
        <v>375</v>
      </c>
      <c r="AM624" t="s">
        <v>106</v>
      </c>
      <c r="AN624" s="2" t="s">
        <v>762</v>
      </c>
      <c r="AO624" s="2" t="s">
        <v>762</v>
      </c>
      <c r="AQ624" t="s">
        <v>358</v>
      </c>
      <c r="AR624" s="2"/>
      <c r="AS624" s="2"/>
      <c r="AV624" s="2" t="s">
        <v>762</v>
      </c>
      <c r="AY624" t="s">
        <v>106</v>
      </c>
      <c r="BA624" t="s">
        <v>1812</v>
      </c>
      <c r="BD624" t="s">
        <v>86</v>
      </c>
      <c r="BE624" s="2">
        <v>45617</v>
      </c>
      <c r="BF624" t="s">
        <v>1816</v>
      </c>
      <c r="BG624" t="s">
        <v>2276</v>
      </c>
      <c r="BH624" t="s">
        <v>86</v>
      </c>
      <c r="BI624" t="s">
        <v>106</v>
      </c>
      <c r="BL624" t="s">
        <v>106</v>
      </c>
      <c r="BO624">
        <v>304920311</v>
      </c>
      <c r="BP624" t="s">
        <v>90</v>
      </c>
      <c r="BQ624" t="s">
        <v>82</v>
      </c>
      <c r="BR624" t="s">
        <v>1900</v>
      </c>
      <c r="BS624" t="s">
        <v>2277</v>
      </c>
      <c r="BT624" s="17">
        <f>Tabla1[[#This Row],[FECHA_TRASPLANTE]]</f>
        <v>45593</v>
      </c>
      <c r="BU624">
        <f>IF(Tabla1[[#This Row],[FALLECIDO SI/NO]]="NO",0,1)</f>
        <v>0</v>
      </c>
      <c r="BV624" s="3">
        <f ca="1">IF(Tabla1[[#This Row],[FALLECIDO_COD]]=0,TODAY()-Tabla1[[#This Row],[FECHA_TRASPLANTE]],Tabla1[[#This Row],[FECHA DE DEFUNCIÓN]]-Tabla1[[#This Row],[FECHA_TRASPLANTE]])</f>
        <v>282</v>
      </c>
      <c r="BW624" s="3">
        <f ca="1">IF(Tabla1[[#This Row],[FALLECIDO_COD]]=0,TODAY()-Tabla1[[#This Row],[FECHA_TRASPLANTE]],Tabla1[[#This Row],[FECHA DE DEFUNCIÓN]]-Tabla1[[#This Row],[FECHA_TRASPLANTE]])/30.4375</f>
        <v>9.2648870636550313</v>
      </c>
      <c r="BX624" s="3">
        <f ca="1">IF(Tabla1[[#This Row],[FALLECIDO_COD]]=0,TODAY()-Tabla1[[#This Row],[FECHA_TRASPLANTE]],Tabla1[[#This Row],[FECHA DE DEFUNCIÓN]]-Tabla1[[#This Row],[FECHA_TRASPLANTE]])/365.25</f>
        <v>0.77207392197125257</v>
      </c>
      <c r="BY624"/>
      <c r="BZ624"/>
    </row>
    <row r="625" spans="1:78" x14ac:dyDescent="0.35">
      <c r="A625" t="s">
        <v>377</v>
      </c>
      <c r="D625" t="s">
        <v>1129</v>
      </c>
      <c r="E625" t="s">
        <v>375</v>
      </c>
      <c r="G625" t="s">
        <v>210</v>
      </c>
      <c r="H625" s="2">
        <v>36005</v>
      </c>
      <c r="I625">
        <v>26.275154004106778</v>
      </c>
      <c r="J625" t="s">
        <v>746</v>
      </c>
      <c r="K625" t="s">
        <v>2278</v>
      </c>
      <c r="L625" t="s">
        <v>2279</v>
      </c>
      <c r="M625" t="s">
        <v>2280</v>
      </c>
      <c r="N625" s="11">
        <v>205090659</v>
      </c>
      <c r="O625" s="2">
        <v>45602</v>
      </c>
      <c r="P625" t="s">
        <v>90</v>
      </c>
      <c r="Q625" s="2">
        <v>27837</v>
      </c>
      <c r="R625" s="3">
        <f>(Tabla1[[#This Row],[FECHA_TRASPLANTE]]-Tabla1[[#This Row],[FECHA_NAC]])/365.25</f>
        <v>48.637919233401782</v>
      </c>
      <c r="T625"/>
      <c r="W625" t="s">
        <v>82</v>
      </c>
      <c r="X625" t="s">
        <v>125</v>
      </c>
      <c r="AM625" t="s">
        <v>106</v>
      </c>
      <c r="AO625"/>
      <c r="AV625" s="2"/>
      <c r="BO625">
        <v>207820232</v>
      </c>
      <c r="BP625" t="s">
        <v>90</v>
      </c>
      <c r="BQ625" t="s">
        <v>82</v>
      </c>
      <c r="BR625" t="s">
        <v>1806</v>
      </c>
      <c r="BS625" t="s">
        <v>2005</v>
      </c>
      <c r="BT625" s="17">
        <f>Tabla1[[#This Row],[FECHA_TRASPLANTE]]</f>
        <v>45602</v>
      </c>
      <c r="BU625">
        <f>IF(Tabla1[[#This Row],[FALLECIDO SI/NO]]="NO",0,1)</f>
        <v>0</v>
      </c>
      <c r="BV625" s="3">
        <f ca="1">IF(Tabla1[[#This Row],[FALLECIDO_COD]]=0,TODAY()-Tabla1[[#This Row],[FECHA_TRASPLANTE]],Tabla1[[#This Row],[FECHA DE DEFUNCIÓN]]-Tabla1[[#This Row],[FECHA_TRASPLANTE]])</f>
        <v>273</v>
      </c>
      <c r="BW625" s="3">
        <f ca="1">IF(Tabla1[[#This Row],[FALLECIDO_COD]]=0,TODAY()-Tabla1[[#This Row],[FECHA_TRASPLANTE]],Tabla1[[#This Row],[FECHA DE DEFUNCIÓN]]-Tabla1[[#This Row],[FECHA_TRASPLANTE]])/30.4375</f>
        <v>8.9691991786447645</v>
      </c>
      <c r="BX625" s="3">
        <f ca="1">IF(Tabla1[[#This Row],[FALLECIDO_COD]]=0,TODAY()-Tabla1[[#This Row],[FECHA_TRASPLANTE]],Tabla1[[#This Row],[FECHA DE DEFUNCIÓN]]-Tabla1[[#This Row],[FECHA_TRASPLANTE]])/365.25</f>
        <v>0.74743326488706363</v>
      </c>
      <c r="BY625"/>
      <c r="BZ625"/>
    </row>
    <row r="626" spans="1:78" x14ac:dyDescent="0.35">
      <c r="A626" t="s">
        <v>377</v>
      </c>
      <c r="D626" t="s">
        <v>1129</v>
      </c>
      <c r="E626" t="s">
        <v>375</v>
      </c>
      <c r="G626" t="s">
        <v>200</v>
      </c>
      <c r="H626" s="2">
        <v>32839</v>
      </c>
      <c r="I626">
        <v>34.962354551676931</v>
      </c>
      <c r="J626" t="s">
        <v>746</v>
      </c>
      <c r="K626" t="s">
        <v>2281</v>
      </c>
      <c r="L626" t="s">
        <v>2282</v>
      </c>
      <c r="M626" t="s">
        <v>2283</v>
      </c>
      <c r="N626" s="11">
        <v>19485647</v>
      </c>
      <c r="O626" s="2">
        <v>45609</v>
      </c>
      <c r="P626" t="s">
        <v>81</v>
      </c>
      <c r="Q626" s="2">
        <v>34533</v>
      </c>
      <c r="R626" s="3">
        <f>(Tabla1[[#This Row],[FECHA_TRASPLANTE]]-Tabla1[[#This Row],[FECHA_NAC]])/365.25</f>
        <v>30.324435318275153</v>
      </c>
      <c r="T626"/>
      <c r="W626" t="s">
        <v>146</v>
      </c>
      <c r="X626" t="s">
        <v>115</v>
      </c>
      <c r="AM626" t="s">
        <v>106</v>
      </c>
      <c r="AO626"/>
      <c r="AV626" s="2"/>
      <c r="BO626">
        <v>801370635</v>
      </c>
      <c r="BP626" t="s">
        <v>90</v>
      </c>
      <c r="BQ626" t="s">
        <v>82</v>
      </c>
      <c r="BR626" t="s">
        <v>1854</v>
      </c>
      <c r="BS626" t="s">
        <v>1855</v>
      </c>
      <c r="BT626" s="17">
        <f>Tabla1[[#This Row],[FECHA_TRASPLANTE]]</f>
        <v>45609</v>
      </c>
      <c r="BU626">
        <f>IF(Tabla1[[#This Row],[FALLECIDO SI/NO]]="NO",0,1)</f>
        <v>0</v>
      </c>
      <c r="BV626" s="3">
        <f ca="1">IF(Tabla1[[#This Row],[FALLECIDO_COD]]=0,TODAY()-Tabla1[[#This Row],[FECHA_TRASPLANTE]],Tabla1[[#This Row],[FECHA DE DEFUNCIÓN]]-Tabla1[[#This Row],[FECHA_TRASPLANTE]])</f>
        <v>266</v>
      </c>
      <c r="BW626" s="3">
        <f ca="1">IF(Tabla1[[#This Row],[FALLECIDO_COD]]=0,TODAY()-Tabla1[[#This Row],[FECHA_TRASPLANTE]],Tabla1[[#This Row],[FECHA DE DEFUNCIÓN]]-Tabla1[[#This Row],[FECHA_TRASPLANTE]])/30.4375</f>
        <v>8.7392197125256672</v>
      </c>
      <c r="BX626" s="3">
        <f ca="1">IF(Tabla1[[#This Row],[FALLECIDO_COD]]=0,TODAY()-Tabla1[[#This Row],[FECHA_TRASPLANTE]],Tabla1[[#This Row],[FECHA DE DEFUNCIÓN]]-Tabla1[[#This Row],[FECHA_TRASPLANTE]])/365.25</f>
        <v>0.72826830937713893</v>
      </c>
      <c r="BY626"/>
      <c r="BZ626"/>
    </row>
    <row r="627" spans="1:78" x14ac:dyDescent="0.35">
      <c r="A627" t="s">
        <v>377</v>
      </c>
      <c r="D627" t="s">
        <v>1129</v>
      </c>
      <c r="E627" t="s">
        <v>375</v>
      </c>
      <c r="G627" t="s">
        <v>210</v>
      </c>
      <c r="H627" s="2">
        <v>33624</v>
      </c>
      <c r="I627">
        <v>32.832306639288156</v>
      </c>
      <c r="J627" t="s">
        <v>746</v>
      </c>
      <c r="K627" t="s">
        <v>2284</v>
      </c>
      <c r="L627" t="s">
        <v>2285</v>
      </c>
      <c r="M627" t="s">
        <v>2286</v>
      </c>
      <c r="N627" s="11">
        <v>204610378</v>
      </c>
      <c r="O627" s="2">
        <v>45616</v>
      </c>
      <c r="P627" t="s">
        <v>90</v>
      </c>
      <c r="Q627" s="2">
        <v>25818</v>
      </c>
      <c r="R627" s="3">
        <f>(Tabla1[[#This Row],[FECHA_TRASPLANTE]]-Tabla1[[#This Row],[FECHA_NAC]])/365.25</f>
        <v>54.203969883641342</v>
      </c>
      <c r="T627"/>
      <c r="W627" t="s">
        <v>82</v>
      </c>
      <c r="X627" t="s">
        <v>115</v>
      </c>
      <c r="AM627" t="s">
        <v>106</v>
      </c>
      <c r="AO627"/>
      <c r="AV627" s="2"/>
      <c r="BO627">
        <v>206950810</v>
      </c>
      <c r="BP627" t="s">
        <v>81</v>
      </c>
      <c r="BQ627" t="s">
        <v>82</v>
      </c>
      <c r="BR627" t="s">
        <v>1806</v>
      </c>
      <c r="BS627" t="s">
        <v>2005</v>
      </c>
      <c r="BT627" s="17">
        <f>Tabla1[[#This Row],[FECHA_TRASPLANTE]]</f>
        <v>45616</v>
      </c>
      <c r="BU627">
        <f>IF(Tabla1[[#This Row],[FALLECIDO SI/NO]]="NO",0,1)</f>
        <v>0</v>
      </c>
      <c r="BV627" s="3">
        <f ca="1">IF(Tabla1[[#This Row],[FALLECIDO_COD]]=0,TODAY()-Tabla1[[#This Row],[FECHA_TRASPLANTE]],Tabla1[[#This Row],[FECHA DE DEFUNCIÓN]]-Tabla1[[#This Row],[FECHA_TRASPLANTE]])</f>
        <v>259</v>
      </c>
      <c r="BW627" s="3">
        <f ca="1">IF(Tabla1[[#This Row],[FALLECIDO_COD]]=0,TODAY()-Tabla1[[#This Row],[FECHA_TRASPLANTE]],Tabla1[[#This Row],[FECHA DE DEFUNCIÓN]]-Tabla1[[#This Row],[FECHA_TRASPLANTE]])/30.4375</f>
        <v>8.5092402464065717</v>
      </c>
      <c r="BX627" s="3">
        <f ca="1">IF(Tabla1[[#This Row],[FALLECIDO_COD]]=0,TODAY()-Tabla1[[#This Row],[FECHA_TRASPLANTE]],Tabla1[[#This Row],[FECHA DE DEFUNCIÓN]]-Tabla1[[#This Row],[FECHA_TRASPLANTE]])/365.25</f>
        <v>0.70910335386721424</v>
      </c>
      <c r="BY627"/>
      <c r="BZ627"/>
    </row>
    <row r="628" spans="1:78" x14ac:dyDescent="0.35">
      <c r="A628" t="s">
        <v>1125</v>
      </c>
      <c r="B628" t="s">
        <v>1125</v>
      </c>
      <c r="C628" t="s">
        <v>1334</v>
      </c>
      <c r="D628" t="s">
        <v>1129</v>
      </c>
      <c r="E628" t="s">
        <v>375</v>
      </c>
      <c r="F628" t="s">
        <v>106</v>
      </c>
      <c r="G628" t="s">
        <v>205</v>
      </c>
      <c r="H628" s="2">
        <v>34448</v>
      </c>
      <c r="I628">
        <v>30.617385352498289</v>
      </c>
      <c r="J628" t="s">
        <v>746</v>
      </c>
      <c r="K628" t="s">
        <v>2287</v>
      </c>
      <c r="L628" t="s">
        <v>2288</v>
      </c>
      <c r="M628" t="s">
        <v>518</v>
      </c>
      <c r="N628" s="11">
        <v>111490564</v>
      </c>
      <c r="O628" s="2">
        <v>45631</v>
      </c>
      <c r="P628" t="s">
        <v>90</v>
      </c>
      <c r="Q628" s="2">
        <v>30214</v>
      </c>
      <c r="R628" s="3">
        <f>(Tabla1[[#This Row],[FECHA_TRASPLANTE]]-Tabla1[[#This Row],[FECHA_NAC]])/365.25</f>
        <v>42.209445585215605</v>
      </c>
      <c r="S628" t="s">
        <v>205</v>
      </c>
      <c r="U628" t="s">
        <v>2289</v>
      </c>
      <c r="W628" t="s">
        <v>82</v>
      </c>
      <c r="X628" t="s">
        <v>91</v>
      </c>
      <c r="Y628" t="s">
        <v>498</v>
      </c>
      <c r="Z628" t="s">
        <v>1700</v>
      </c>
      <c r="AM628" t="s">
        <v>106</v>
      </c>
      <c r="AO628"/>
      <c r="AV628" s="2"/>
      <c r="BO628">
        <v>115680110</v>
      </c>
      <c r="BP628" t="s">
        <v>90</v>
      </c>
      <c r="BQ628" t="s">
        <v>82</v>
      </c>
      <c r="BR628" t="s">
        <v>1854</v>
      </c>
      <c r="BS628" t="s">
        <v>1855</v>
      </c>
      <c r="BT628" s="17">
        <f>Tabla1[[#This Row],[FECHA_TRASPLANTE]]</f>
        <v>45631</v>
      </c>
      <c r="BU628">
        <f>IF(Tabla1[[#This Row],[FALLECIDO SI/NO]]="NO",0,1)</f>
        <v>0</v>
      </c>
      <c r="BV628" s="3">
        <f ca="1">IF(Tabla1[[#This Row],[FALLECIDO_COD]]=0,TODAY()-Tabla1[[#This Row],[FECHA_TRASPLANTE]],Tabla1[[#This Row],[FECHA DE DEFUNCIÓN]]-Tabla1[[#This Row],[FECHA_TRASPLANTE]])</f>
        <v>244</v>
      </c>
      <c r="BW628" s="3">
        <f ca="1">IF(Tabla1[[#This Row],[FALLECIDO_COD]]=0,TODAY()-Tabla1[[#This Row],[FECHA_TRASPLANTE]],Tabla1[[#This Row],[FECHA DE DEFUNCIÓN]]-Tabla1[[#This Row],[FECHA_TRASPLANTE]])/30.4375</f>
        <v>8.0164271047227924</v>
      </c>
      <c r="BX628" s="3">
        <f ca="1">IF(Tabla1[[#This Row],[FALLECIDO_COD]]=0,TODAY()-Tabla1[[#This Row],[FECHA_TRASPLANTE]],Tabla1[[#This Row],[FECHA DE DEFUNCIÓN]]-Tabla1[[#This Row],[FECHA_TRASPLANTE]])/365.25</f>
        <v>0.66803559206023266</v>
      </c>
      <c r="BY628"/>
      <c r="BZ628"/>
    </row>
    <row r="629" spans="1:78" x14ac:dyDescent="0.35">
      <c r="A629" t="s">
        <v>377</v>
      </c>
      <c r="D629" t="s">
        <v>1129</v>
      </c>
      <c r="E629" t="s">
        <v>375</v>
      </c>
      <c r="G629" t="s">
        <v>200</v>
      </c>
      <c r="H629" s="2">
        <v>33945</v>
      </c>
      <c r="I629">
        <v>32.010951403148532</v>
      </c>
      <c r="J629" t="s">
        <v>746</v>
      </c>
      <c r="K629" t="s">
        <v>2290</v>
      </c>
      <c r="L629" t="s">
        <v>2291</v>
      </c>
      <c r="M629" t="s">
        <v>2292</v>
      </c>
      <c r="N629" s="11">
        <v>116660912</v>
      </c>
      <c r="O629" s="2">
        <v>45637</v>
      </c>
      <c r="P629" t="s">
        <v>81</v>
      </c>
      <c r="Q629" s="2">
        <v>35466</v>
      </c>
      <c r="R629" s="3">
        <f>(Tabla1[[#This Row],[FECHA_TRASPLANTE]]-Tabla1[[#This Row],[FECHA_NAC]])/365.25</f>
        <v>27.846680355920601</v>
      </c>
      <c r="T629"/>
      <c r="W629" t="s">
        <v>82</v>
      </c>
      <c r="X629" t="s">
        <v>115</v>
      </c>
      <c r="AM629" t="s">
        <v>106</v>
      </c>
      <c r="AO629"/>
      <c r="AV629" s="2"/>
      <c r="BO629">
        <v>503890922</v>
      </c>
      <c r="BP629" t="s">
        <v>90</v>
      </c>
      <c r="BQ629" t="s">
        <v>82</v>
      </c>
      <c r="BR629" t="s">
        <v>1854</v>
      </c>
      <c r="BS629" t="s">
        <v>1855</v>
      </c>
      <c r="BT629" s="17">
        <f>Tabla1[[#This Row],[FECHA_TRASPLANTE]]</f>
        <v>45637</v>
      </c>
      <c r="BU629">
        <f>IF(Tabla1[[#This Row],[FALLECIDO SI/NO]]="NO",0,1)</f>
        <v>0</v>
      </c>
      <c r="BV629" s="3">
        <f ca="1">IF(Tabla1[[#This Row],[FALLECIDO_COD]]=0,TODAY()-Tabla1[[#This Row],[FECHA_TRASPLANTE]],Tabla1[[#This Row],[FECHA DE DEFUNCIÓN]]-Tabla1[[#This Row],[FECHA_TRASPLANTE]])</f>
        <v>238</v>
      </c>
      <c r="BW629" s="3">
        <f ca="1">IF(Tabla1[[#This Row],[FALLECIDO_COD]]=0,TODAY()-Tabla1[[#This Row],[FECHA_TRASPLANTE]],Tabla1[[#This Row],[FECHA DE DEFUNCIÓN]]-Tabla1[[#This Row],[FECHA_TRASPLANTE]])/30.4375</f>
        <v>7.8193018480492817</v>
      </c>
      <c r="BX629" s="3">
        <f ca="1">IF(Tabla1[[#This Row],[FALLECIDO_COD]]=0,TODAY()-Tabla1[[#This Row],[FECHA_TRASPLANTE]],Tabla1[[#This Row],[FECHA DE DEFUNCIÓN]]-Tabla1[[#This Row],[FECHA_TRASPLANTE]])/365.25</f>
        <v>0.65160848733744015</v>
      </c>
      <c r="BY629"/>
      <c r="BZ629"/>
    </row>
    <row r="630" spans="1:78" x14ac:dyDescent="0.35">
      <c r="A630" t="s">
        <v>1125</v>
      </c>
      <c r="B630" t="s">
        <v>1125</v>
      </c>
      <c r="C630" t="s">
        <v>2293</v>
      </c>
      <c r="D630" t="s">
        <v>1129</v>
      </c>
      <c r="E630" t="s">
        <v>77</v>
      </c>
      <c r="F630" t="s">
        <v>106</v>
      </c>
      <c r="G630" t="s">
        <v>210</v>
      </c>
      <c r="H630" s="2">
        <v>26988</v>
      </c>
      <c r="I630">
        <v>50.634496919917865</v>
      </c>
      <c r="J630" t="s">
        <v>1928</v>
      </c>
      <c r="K630" t="s">
        <v>2294</v>
      </c>
      <c r="L630" t="s">
        <v>145</v>
      </c>
      <c r="M630" t="s">
        <v>592</v>
      </c>
      <c r="N630" s="11">
        <v>114480828</v>
      </c>
      <c r="O630" s="2">
        <v>45482.25</v>
      </c>
      <c r="P630" t="s">
        <v>1549</v>
      </c>
      <c r="Q630" s="2">
        <v>33214.25</v>
      </c>
      <c r="R630" s="3">
        <f>(Tabla1[[#This Row],[FECHA_TRASPLANTE]]-Tabla1[[#This Row],[FECHA_NAC]])/365.25</f>
        <v>33.587953456536617</v>
      </c>
      <c r="S630" t="s">
        <v>210</v>
      </c>
      <c r="T630" s="2">
        <v>43651</v>
      </c>
      <c r="U630" t="s">
        <v>1348</v>
      </c>
      <c r="V630" t="s">
        <v>1838</v>
      </c>
      <c r="W630" t="s">
        <v>82</v>
      </c>
      <c r="X630" t="s">
        <v>91</v>
      </c>
      <c r="Y630" t="s">
        <v>84</v>
      </c>
      <c r="Z630" t="s">
        <v>307</v>
      </c>
      <c r="AA630">
        <v>8.4499999999999993</v>
      </c>
      <c r="AD630">
        <v>2</v>
      </c>
      <c r="AF630" t="s">
        <v>375</v>
      </c>
      <c r="AG630" t="s">
        <v>375</v>
      </c>
      <c r="AM630" t="s">
        <v>106</v>
      </c>
      <c r="AO630" t="s">
        <v>1334</v>
      </c>
      <c r="AQ630" t="s">
        <v>358</v>
      </c>
      <c r="AV630" s="2" t="s">
        <v>1334</v>
      </c>
      <c r="AY630" t="s">
        <v>106</v>
      </c>
      <c r="BA630" t="s">
        <v>1917</v>
      </c>
      <c r="BH630" t="s">
        <v>106</v>
      </c>
      <c r="BI630" t="s">
        <v>106</v>
      </c>
      <c r="BJ630" t="s">
        <v>1334</v>
      </c>
      <c r="BL630" t="s">
        <v>106</v>
      </c>
      <c r="BM630" t="s">
        <v>1334</v>
      </c>
      <c r="BN630" t="s">
        <v>1334</v>
      </c>
      <c r="BO630">
        <v>401590240</v>
      </c>
      <c r="BP630" t="s">
        <v>90</v>
      </c>
      <c r="BQ630" t="s">
        <v>1849</v>
      </c>
      <c r="BS630" t="s">
        <v>2223</v>
      </c>
      <c r="BT630" s="17">
        <f>Tabla1[[#This Row],[FECHA_TRASPLANTE]]</f>
        <v>45482.25</v>
      </c>
      <c r="BU630">
        <f>IF(Tabla1[[#This Row],[FALLECIDO SI/NO]]="NO",0,1)</f>
        <v>0</v>
      </c>
      <c r="BV630" s="3">
        <f ca="1">IF(Tabla1[[#This Row],[FALLECIDO_COD]]=0,TODAY()-Tabla1[[#This Row],[FECHA_TRASPLANTE]],Tabla1[[#This Row],[FECHA DE DEFUNCIÓN]]-Tabla1[[#This Row],[FECHA_TRASPLANTE]])</f>
        <v>392.75</v>
      </c>
      <c r="BW630" s="3">
        <f ca="1">IF(Tabla1[[#This Row],[FALLECIDO_COD]]=0,TODAY()-Tabla1[[#This Row],[FECHA_TRASPLANTE]],Tabla1[[#This Row],[FECHA DE DEFUNCIÓN]]-Tabla1[[#This Row],[FECHA_TRASPLANTE]])/30.4375</f>
        <v>12.903490759753593</v>
      </c>
      <c r="BX630" s="3">
        <f ca="1">IF(Tabla1[[#This Row],[FALLECIDO_COD]]=0,TODAY()-Tabla1[[#This Row],[FECHA_TRASPLANTE]],Tabla1[[#This Row],[FECHA DE DEFUNCIÓN]]-Tabla1[[#This Row],[FECHA_TRASPLANTE]])/365.25</f>
        <v>1.0752908966461328</v>
      </c>
      <c r="BY630"/>
      <c r="BZ630"/>
    </row>
    <row r="631" spans="1:78" x14ac:dyDescent="0.35">
      <c r="A631" t="s">
        <v>75</v>
      </c>
      <c r="B631" t="s">
        <v>1828</v>
      </c>
      <c r="C631" t="s">
        <v>2295</v>
      </c>
      <c r="D631" t="s">
        <v>1129</v>
      </c>
      <c r="E631" t="s">
        <v>77</v>
      </c>
      <c r="H631" s="2">
        <v>36585</v>
      </c>
      <c r="I631">
        <v>23</v>
      </c>
      <c r="K631" t="s">
        <v>2296</v>
      </c>
      <c r="L631" t="s">
        <v>453</v>
      </c>
      <c r="M631" t="s">
        <v>541</v>
      </c>
      <c r="N631" s="11">
        <v>110870846</v>
      </c>
      <c r="O631" s="16">
        <v>45340.25</v>
      </c>
      <c r="P631" t="s">
        <v>81</v>
      </c>
      <c r="Q631" s="2">
        <v>29555</v>
      </c>
      <c r="R631" s="3">
        <f>(Tabla1[[#This Row],[FECHA_TRASPLANTE]]-Tabla1[[#This Row],[FECHA_NAC]])/365.25</f>
        <v>43.217659137577002</v>
      </c>
      <c r="S631" t="s">
        <v>200</v>
      </c>
      <c r="T631"/>
      <c r="U631" t="s">
        <v>2190</v>
      </c>
      <c r="V631" t="s">
        <v>1824</v>
      </c>
      <c r="W631" t="s">
        <v>82</v>
      </c>
      <c r="X631" t="s">
        <v>91</v>
      </c>
      <c r="Y631" t="s">
        <v>580</v>
      </c>
      <c r="Z631" t="s">
        <v>510</v>
      </c>
      <c r="AD631">
        <v>5</v>
      </c>
      <c r="AF631" t="s">
        <v>978</v>
      </c>
      <c r="AG631" t="s">
        <v>978</v>
      </c>
      <c r="AM631" t="s">
        <v>106</v>
      </c>
      <c r="AO631"/>
      <c r="AQ631" t="s">
        <v>772</v>
      </c>
      <c r="AR631" t="s">
        <v>1334</v>
      </c>
      <c r="AV631" s="2"/>
      <c r="AX631" t="s">
        <v>2127</v>
      </c>
      <c r="AY631" t="s">
        <v>106</v>
      </c>
      <c r="BE631" t="s">
        <v>2297</v>
      </c>
      <c r="BJ631" s="2"/>
      <c r="BO631">
        <v>117700723</v>
      </c>
      <c r="BP631" t="s">
        <v>90</v>
      </c>
      <c r="BQ631" t="s">
        <v>82</v>
      </c>
      <c r="BT631" s="17">
        <f>Tabla1[[#This Row],[FECHA_TRASPLANTE]]</f>
        <v>45340.25</v>
      </c>
      <c r="BU631">
        <f>IF(Tabla1[[#This Row],[FALLECIDO SI/NO]]="NO",0,1)</f>
        <v>0</v>
      </c>
      <c r="BV631" s="3">
        <f ca="1">IF(Tabla1[[#This Row],[FALLECIDO_COD]]=0,TODAY()-Tabla1[[#This Row],[FECHA_TRASPLANTE]],Tabla1[[#This Row],[FECHA DE DEFUNCIÓN]]-Tabla1[[#This Row],[FECHA_TRASPLANTE]])</f>
        <v>534.75</v>
      </c>
      <c r="BW631" s="3">
        <f ca="1">IF(Tabla1[[#This Row],[FALLECIDO_COD]]=0,TODAY()-Tabla1[[#This Row],[FECHA_TRASPLANTE]],Tabla1[[#This Row],[FECHA DE DEFUNCIÓN]]-Tabla1[[#This Row],[FECHA_TRASPLANTE]])/30.4375</f>
        <v>17.568788501026695</v>
      </c>
      <c r="BX631" s="3">
        <f ca="1">IF(Tabla1[[#This Row],[FALLECIDO_COD]]=0,TODAY()-Tabla1[[#This Row],[FECHA_TRASPLANTE]],Tabla1[[#This Row],[FECHA DE DEFUNCIÓN]]-Tabla1[[#This Row],[FECHA_TRASPLANTE]])/365.25</f>
        <v>1.4640657084188913</v>
      </c>
      <c r="BY631"/>
      <c r="BZ631"/>
    </row>
    <row r="632" spans="1:78" x14ac:dyDescent="0.35">
      <c r="A632" t="s">
        <v>1125</v>
      </c>
      <c r="B632" t="s">
        <v>1125</v>
      </c>
      <c r="C632" t="s">
        <v>2298</v>
      </c>
      <c r="D632" t="s">
        <v>1129</v>
      </c>
      <c r="E632" t="s">
        <v>77</v>
      </c>
      <c r="F632" t="s">
        <v>106</v>
      </c>
      <c r="G632" t="s">
        <v>200</v>
      </c>
      <c r="H632" s="2">
        <v>32853</v>
      </c>
      <c r="I632">
        <v>34.568788501026695</v>
      </c>
      <c r="J632" t="s">
        <v>1928</v>
      </c>
      <c r="K632" t="s">
        <v>2299</v>
      </c>
      <c r="L632" t="s">
        <v>2300</v>
      </c>
      <c r="M632" t="s">
        <v>1158</v>
      </c>
      <c r="N632" s="12">
        <v>1910102285</v>
      </c>
      <c r="O632" s="2">
        <v>45479.25</v>
      </c>
      <c r="P632" t="s">
        <v>1549</v>
      </c>
      <c r="Q632" s="2">
        <v>33509.25</v>
      </c>
      <c r="R632" s="3">
        <f>(Tabla1[[#This Row],[FECHA_TRASPLANTE]]-Tabla1[[#This Row],[FECHA_NAC]])/365.25</f>
        <v>32.772073921971256</v>
      </c>
      <c r="S632" t="s">
        <v>200</v>
      </c>
      <c r="T632">
        <v>43308</v>
      </c>
      <c r="U632" t="s">
        <v>2301</v>
      </c>
      <c r="V632" t="s">
        <v>1824</v>
      </c>
      <c r="W632" t="s">
        <v>146</v>
      </c>
      <c r="X632" t="s">
        <v>252</v>
      </c>
      <c r="Y632" t="s">
        <v>252</v>
      </c>
      <c r="Z632" t="s">
        <v>598</v>
      </c>
      <c r="AA632">
        <v>8.26</v>
      </c>
      <c r="AD632">
        <v>2</v>
      </c>
      <c r="AF632" t="s">
        <v>375</v>
      </c>
      <c r="AG632" t="s">
        <v>770</v>
      </c>
      <c r="AH632" t="s">
        <v>770</v>
      </c>
      <c r="AI632" t="s">
        <v>770</v>
      </c>
      <c r="AJ632" t="s">
        <v>770</v>
      </c>
      <c r="AK632" t="s">
        <v>770</v>
      </c>
      <c r="AL632" t="s">
        <v>770</v>
      </c>
      <c r="AM632" t="s">
        <v>86</v>
      </c>
      <c r="AN632" s="2">
        <v>45481</v>
      </c>
      <c r="AO632" t="s">
        <v>2302</v>
      </c>
      <c r="AP632" t="s">
        <v>86</v>
      </c>
      <c r="AQ632" t="s">
        <v>772</v>
      </c>
      <c r="AR632" t="s">
        <v>772</v>
      </c>
      <c r="AS632" t="s">
        <v>772</v>
      </c>
      <c r="AT632" t="s">
        <v>772</v>
      </c>
      <c r="AU632" t="s">
        <v>772</v>
      </c>
      <c r="AV632" s="2">
        <v>45479</v>
      </c>
      <c r="AW632" t="s">
        <v>1931</v>
      </c>
      <c r="AX632" t="s">
        <v>2070</v>
      </c>
      <c r="AY632" t="s">
        <v>106</v>
      </c>
      <c r="BA632" t="s">
        <v>1917</v>
      </c>
      <c r="BD632" t="s">
        <v>86</v>
      </c>
      <c r="BE632">
        <v>45479</v>
      </c>
      <c r="BG632" t="s">
        <v>1586</v>
      </c>
      <c r="BH632" t="s">
        <v>106</v>
      </c>
      <c r="BI632" t="s">
        <v>106</v>
      </c>
      <c r="BJ632" t="s">
        <v>1334</v>
      </c>
      <c r="BL632" t="s">
        <v>106</v>
      </c>
      <c r="BM632" t="s">
        <v>1334</v>
      </c>
      <c r="BN632" t="s">
        <v>1334</v>
      </c>
      <c r="BO632">
        <v>114140049</v>
      </c>
      <c r="BP632" t="s">
        <v>81</v>
      </c>
      <c r="BQ632" t="s">
        <v>1849</v>
      </c>
      <c r="BS632" t="s">
        <v>2303</v>
      </c>
      <c r="BT632" s="17">
        <f>Tabla1[[#This Row],[FECHA_TRASPLANTE]]</f>
        <v>45479.25</v>
      </c>
      <c r="BU632">
        <f>IF(Tabla1[[#This Row],[FALLECIDO SI/NO]]="NO",0,1)</f>
        <v>1</v>
      </c>
      <c r="BV632" s="3">
        <f ca="1">IF(Tabla1[[#This Row],[FALLECIDO_COD]]=0,TODAY()-Tabla1[[#This Row],[FECHA_TRASPLANTE]],Tabla1[[#This Row],[FECHA DE DEFUNCIÓN]]-Tabla1[[#This Row],[FECHA_TRASPLANTE]])</f>
        <v>1.75</v>
      </c>
      <c r="BW632" s="3">
        <f ca="1">IF(Tabla1[[#This Row],[FALLECIDO_COD]]=0,TODAY()-Tabla1[[#This Row],[FECHA_TRASPLANTE]],Tabla1[[#This Row],[FECHA DE DEFUNCIÓN]]-Tabla1[[#This Row],[FECHA_TRASPLANTE]])/30.4375</f>
        <v>5.7494866529774126E-2</v>
      </c>
      <c r="BX632" s="3">
        <f ca="1">IF(Tabla1[[#This Row],[FALLECIDO_COD]]=0,TODAY()-Tabla1[[#This Row],[FECHA_TRASPLANTE]],Tabla1[[#This Row],[FECHA DE DEFUNCIÓN]]-Tabla1[[#This Row],[FECHA_TRASPLANTE]])/365.25</f>
        <v>4.7912388774811769E-3</v>
      </c>
      <c r="BY632"/>
      <c r="BZ632"/>
    </row>
    <row r="633" spans="1:78" x14ac:dyDescent="0.35">
      <c r="A633" t="s">
        <v>377</v>
      </c>
      <c r="E633" t="s">
        <v>77</v>
      </c>
      <c r="J633" t="s">
        <v>2099</v>
      </c>
      <c r="K633" t="s">
        <v>2304</v>
      </c>
      <c r="N633" s="11">
        <v>17875335</v>
      </c>
      <c r="O633" s="2">
        <v>45671</v>
      </c>
      <c r="P633" t="s">
        <v>2305</v>
      </c>
      <c r="Q633" s="2">
        <v>28523</v>
      </c>
      <c r="R633" s="3">
        <f>(Tabla1[[#This Row],[FECHA_TRASPLANTE]]-Tabla1[[#This Row],[FECHA_NAC]])/365.25</f>
        <v>46.948665297741272</v>
      </c>
      <c r="S633" t="s">
        <v>210</v>
      </c>
      <c r="T633"/>
      <c r="U633" t="s">
        <v>2306</v>
      </c>
      <c r="W633" t="s">
        <v>146</v>
      </c>
      <c r="X633" t="s">
        <v>125</v>
      </c>
      <c r="Y633" t="s">
        <v>168</v>
      </c>
      <c r="Z633" t="s">
        <v>2307</v>
      </c>
      <c r="AE633" t="s">
        <v>106</v>
      </c>
      <c r="AF633" t="s">
        <v>375</v>
      </c>
      <c r="AG633" t="s">
        <v>375</v>
      </c>
      <c r="AM633" t="s">
        <v>106</v>
      </c>
      <c r="AQ633" t="s">
        <v>358</v>
      </c>
      <c r="AV633" s="2" t="s">
        <v>106</v>
      </c>
      <c r="AY633" t="s">
        <v>106</v>
      </c>
      <c r="BD633" t="s">
        <v>106</v>
      </c>
      <c r="BE633" s="2"/>
      <c r="BH633" t="s">
        <v>106</v>
      </c>
      <c r="BI633" t="s">
        <v>106</v>
      </c>
      <c r="BJ633" s="2"/>
      <c r="BT633" s="17">
        <f>Tabla1[[#This Row],[FECHA_TRASPLANTE]]</f>
        <v>45671</v>
      </c>
      <c r="BU633">
        <f>IF(Tabla1[[#This Row],[FALLECIDO SI/NO]]="NO",0,1)</f>
        <v>0</v>
      </c>
      <c r="BV633" s="3">
        <f ca="1">IF(Tabla1[[#This Row],[FALLECIDO_COD]]=0,TODAY()-Tabla1[[#This Row],[FECHA_TRASPLANTE]],Tabla1[[#This Row],[FECHA DE DEFUNCIÓN]]-Tabla1[[#This Row],[FECHA_TRASPLANTE]])</f>
        <v>204</v>
      </c>
      <c r="BW633" s="3">
        <f ca="1">IF(Tabla1[[#This Row],[FALLECIDO_COD]]=0,TODAY()-Tabla1[[#This Row],[FECHA_TRASPLANTE]],Tabla1[[#This Row],[FECHA DE DEFUNCIÓN]]-Tabla1[[#This Row],[FECHA_TRASPLANTE]])/30.4375</f>
        <v>6.7022587268993838</v>
      </c>
      <c r="BX633" s="3">
        <f ca="1">IF(Tabla1[[#This Row],[FALLECIDO_COD]]=0,TODAY()-Tabla1[[#This Row],[FECHA_TRASPLANTE]],Tabla1[[#This Row],[FECHA DE DEFUNCIÓN]]-Tabla1[[#This Row],[FECHA_TRASPLANTE]])/365.25</f>
        <v>0.55852156057494862</v>
      </c>
      <c r="BY633"/>
      <c r="BZ633"/>
    </row>
    <row r="634" spans="1:78" x14ac:dyDescent="0.35">
      <c r="A634" t="s">
        <v>75</v>
      </c>
      <c r="B634" t="s">
        <v>1828</v>
      </c>
      <c r="C634" t="s">
        <v>1034</v>
      </c>
      <c r="D634" t="s">
        <v>1129</v>
      </c>
      <c r="E634" t="s">
        <v>77</v>
      </c>
      <c r="I634">
        <v>19</v>
      </c>
      <c r="N634" s="11">
        <v>208820155</v>
      </c>
      <c r="O634" s="16">
        <v>45671</v>
      </c>
      <c r="P634" t="s">
        <v>81</v>
      </c>
      <c r="Q634" s="2">
        <v>38858</v>
      </c>
      <c r="R634" s="3">
        <f>(Tabla1[[#This Row],[FECHA_TRASPLANTE]]-Tabla1[[#This Row],[FECHA_NAC]])/365.25</f>
        <v>18.652977412731005</v>
      </c>
      <c r="S634" t="s">
        <v>210</v>
      </c>
      <c r="U634" t="s">
        <v>2308</v>
      </c>
      <c r="V634" t="s">
        <v>2309</v>
      </c>
      <c r="W634" t="s">
        <v>82</v>
      </c>
      <c r="X634" t="s">
        <v>120</v>
      </c>
      <c r="Y634" t="s">
        <v>120</v>
      </c>
      <c r="Z634" t="s">
        <v>120</v>
      </c>
      <c r="AA634" s="7">
        <v>0.36458333333333331</v>
      </c>
      <c r="AB634" t="s">
        <v>2310</v>
      </c>
      <c r="AC634" s="7">
        <v>0.30208333333333331</v>
      </c>
      <c r="AD634" t="s">
        <v>2311</v>
      </c>
      <c r="AE634" t="s">
        <v>106</v>
      </c>
      <c r="AF634" t="s">
        <v>2312</v>
      </c>
      <c r="AG634" t="s">
        <v>375</v>
      </c>
      <c r="AM634" t="s">
        <v>106</v>
      </c>
      <c r="AO634"/>
      <c r="AQ634" t="s">
        <v>358</v>
      </c>
      <c r="AR634" s="2"/>
      <c r="AS634" s="2"/>
      <c r="AV634" s="2" t="s">
        <v>106</v>
      </c>
      <c r="AY634" t="s">
        <v>2313</v>
      </c>
      <c r="BA634" t="s">
        <v>2314</v>
      </c>
      <c r="BD634" t="s">
        <v>106</v>
      </c>
      <c r="BE634" s="2"/>
      <c r="BH634" t="s">
        <v>106</v>
      </c>
      <c r="BI634" t="s">
        <v>106</v>
      </c>
      <c r="BJ634" s="2"/>
      <c r="BL634" t="s">
        <v>2315</v>
      </c>
      <c r="BT634" s="17">
        <f>Tabla1[[#This Row],[FECHA_TRASPLANTE]]</f>
        <v>45671</v>
      </c>
      <c r="BU634">
        <f>IF(Tabla1[[#This Row],[FALLECIDO SI/NO]]="NO",0,1)</f>
        <v>0</v>
      </c>
      <c r="BV634" s="3">
        <f ca="1">IF(Tabla1[[#This Row],[FALLECIDO_COD]]=0,TODAY()-Tabla1[[#This Row],[FECHA_TRASPLANTE]],Tabla1[[#This Row],[FECHA DE DEFUNCIÓN]]-Tabla1[[#This Row],[FECHA_TRASPLANTE]])</f>
        <v>204</v>
      </c>
      <c r="BW634" s="3">
        <f ca="1">IF(Tabla1[[#This Row],[FALLECIDO_COD]]=0,TODAY()-Tabla1[[#This Row],[FECHA_TRASPLANTE]],Tabla1[[#This Row],[FECHA DE DEFUNCIÓN]]-Tabla1[[#This Row],[FECHA_TRASPLANTE]])/30.4375</f>
        <v>6.7022587268993838</v>
      </c>
      <c r="BX634" s="3">
        <f ca="1">IF(Tabla1[[#This Row],[FALLECIDO_COD]]=0,TODAY()-Tabla1[[#This Row],[FECHA_TRASPLANTE]],Tabla1[[#This Row],[FECHA DE DEFUNCIÓN]]-Tabla1[[#This Row],[FECHA_TRASPLANTE]])/365.25</f>
        <v>0.55852156057494862</v>
      </c>
      <c r="BY634"/>
      <c r="BZ634"/>
    </row>
    <row r="635" spans="1:78" x14ac:dyDescent="0.35">
      <c r="A635" t="s">
        <v>1125</v>
      </c>
      <c r="B635" t="s">
        <v>1125</v>
      </c>
      <c r="D635" t="s">
        <v>1129</v>
      </c>
      <c r="E635" t="s">
        <v>77</v>
      </c>
      <c r="N635" s="11">
        <v>501461287</v>
      </c>
      <c r="O635" s="2">
        <v>45682</v>
      </c>
      <c r="P635" t="s">
        <v>81</v>
      </c>
      <c r="Q635" s="2">
        <v>19632</v>
      </c>
      <c r="R635" s="3">
        <f>(Tabla1[[#This Row],[FECHA_TRASPLANTE]]-Tabla1[[#This Row],[FECHA_NAC]])/365.25</f>
        <v>71.32101300479124</v>
      </c>
      <c r="S635" t="s">
        <v>200</v>
      </c>
      <c r="T635"/>
      <c r="U635" t="s">
        <v>2316</v>
      </c>
      <c r="V635" t="s">
        <v>1824</v>
      </c>
      <c r="W635" t="s">
        <v>82</v>
      </c>
      <c r="X635" t="s">
        <v>91</v>
      </c>
      <c r="Y635" t="s">
        <v>580</v>
      </c>
      <c r="Z635" t="s">
        <v>510</v>
      </c>
      <c r="AA635" s="7">
        <v>0.25</v>
      </c>
      <c r="AC635" s="7"/>
      <c r="AE635" t="s">
        <v>106</v>
      </c>
      <c r="AF635" t="s">
        <v>375</v>
      </c>
      <c r="AG635" t="s">
        <v>375</v>
      </c>
      <c r="AM635" t="s">
        <v>106</v>
      </c>
      <c r="AO635"/>
      <c r="AQ635" t="s">
        <v>358</v>
      </c>
      <c r="AV635" s="2" t="s">
        <v>106</v>
      </c>
      <c r="AY635" t="s">
        <v>106</v>
      </c>
      <c r="BD635" t="s">
        <v>106</v>
      </c>
      <c r="BE635" s="2"/>
      <c r="BH635" t="s">
        <v>106</v>
      </c>
      <c r="BI635" t="s">
        <v>106</v>
      </c>
      <c r="BJ635" s="2"/>
      <c r="BT635" s="17">
        <f>Tabla1[[#This Row],[FECHA_TRASPLANTE]]</f>
        <v>45682</v>
      </c>
      <c r="BU635">
        <f>IF(Tabla1[[#This Row],[FALLECIDO SI/NO]]="NO",0,1)</f>
        <v>0</v>
      </c>
      <c r="BV635" s="3">
        <f ca="1">IF(Tabla1[[#This Row],[FALLECIDO_COD]]=0,TODAY()-Tabla1[[#This Row],[FECHA_TRASPLANTE]],Tabla1[[#This Row],[FECHA DE DEFUNCIÓN]]-Tabla1[[#This Row],[FECHA_TRASPLANTE]])</f>
        <v>193</v>
      </c>
      <c r="BW635" s="3">
        <f ca="1">IF(Tabla1[[#This Row],[FALLECIDO_COD]]=0,TODAY()-Tabla1[[#This Row],[FECHA_TRASPLANTE]],Tabla1[[#This Row],[FECHA DE DEFUNCIÓN]]-Tabla1[[#This Row],[FECHA_TRASPLANTE]])/30.4375</f>
        <v>6.3408624229979464</v>
      </c>
      <c r="BX635" s="3">
        <f ca="1">IF(Tabla1[[#This Row],[FALLECIDO_COD]]=0,TODAY()-Tabla1[[#This Row],[FECHA_TRASPLANTE]],Tabla1[[#This Row],[FECHA DE DEFUNCIÓN]]-Tabla1[[#This Row],[FECHA_TRASPLANTE]])/365.25</f>
        <v>0.52840520191649554</v>
      </c>
      <c r="BY635"/>
      <c r="BZ635"/>
    </row>
    <row r="636" spans="1:78" x14ac:dyDescent="0.35">
      <c r="A636" t="s">
        <v>1125</v>
      </c>
      <c r="B636" t="s">
        <v>1125</v>
      </c>
      <c r="D636" t="s">
        <v>1129</v>
      </c>
      <c r="E636" t="s">
        <v>77</v>
      </c>
      <c r="N636" s="11">
        <v>502290973</v>
      </c>
      <c r="O636" s="2">
        <v>45690</v>
      </c>
      <c r="P636" t="s">
        <v>81</v>
      </c>
      <c r="Q636" s="2">
        <v>45690</v>
      </c>
      <c r="R636" s="3">
        <f>(Tabla1[[#This Row],[FECHA_TRASPLANTE]]-Tabla1[[#This Row],[FECHA_NAC]])/365.25</f>
        <v>0</v>
      </c>
      <c r="S636" t="s">
        <v>210</v>
      </c>
      <c r="T636"/>
      <c r="U636" t="s">
        <v>2317</v>
      </c>
      <c r="V636" t="s">
        <v>1838</v>
      </c>
      <c r="W636" t="s">
        <v>82</v>
      </c>
      <c r="X636" t="s">
        <v>91</v>
      </c>
      <c r="Y636" t="s">
        <v>91</v>
      </c>
      <c r="Z636" t="s">
        <v>598</v>
      </c>
      <c r="AA636" s="7">
        <v>0.21249999999999999</v>
      </c>
      <c r="AE636" t="s">
        <v>86</v>
      </c>
      <c r="AF636" t="s">
        <v>375</v>
      </c>
      <c r="AG636" t="s">
        <v>375</v>
      </c>
      <c r="AM636" t="s">
        <v>106</v>
      </c>
      <c r="AO636"/>
      <c r="AQ636" t="s">
        <v>358</v>
      </c>
      <c r="AV636" s="2" t="s">
        <v>106</v>
      </c>
      <c r="AY636" t="s">
        <v>106</v>
      </c>
      <c r="BD636" t="s">
        <v>106</v>
      </c>
      <c r="BE636" s="2"/>
      <c r="BH636" t="s">
        <v>106</v>
      </c>
      <c r="BI636" t="s">
        <v>106</v>
      </c>
      <c r="BJ636" s="2"/>
      <c r="BT636" s="17">
        <f>Tabla1[[#This Row],[FECHA_TRASPLANTE]]</f>
        <v>45690</v>
      </c>
      <c r="BU636">
        <f>IF(Tabla1[[#This Row],[FALLECIDO SI/NO]]="NO",0,1)</f>
        <v>0</v>
      </c>
      <c r="BV636" s="3">
        <f ca="1">IF(Tabla1[[#This Row],[FALLECIDO_COD]]=0,TODAY()-Tabla1[[#This Row],[FECHA_TRASPLANTE]],Tabla1[[#This Row],[FECHA DE DEFUNCIÓN]]-Tabla1[[#This Row],[FECHA_TRASPLANTE]])</f>
        <v>185</v>
      </c>
      <c r="BW636" s="3">
        <f ca="1">IF(Tabla1[[#This Row],[FALLECIDO_COD]]=0,TODAY()-Tabla1[[#This Row],[FECHA_TRASPLANTE]],Tabla1[[#This Row],[FECHA DE DEFUNCIÓN]]-Tabla1[[#This Row],[FECHA_TRASPLANTE]])/30.4375</f>
        <v>6.0780287474332653</v>
      </c>
      <c r="BX636" s="3">
        <f ca="1">IF(Tabla1[[#This Row],[FALLECIDO_COD]]=0,TODAY()-Tabla1[[#This Row],[FECHA_TRASPLANTE]],Tabla1[[#This Row],[FECHA DE DEFUNCIÓN]]-Tabla1[[#This Row],[FECHA_TRASPLANTE]])/365.25</f>
        <v>0.50650239561943877</v>
      </c>
      <c r="BY636"/>
      <c r="BZ636"/>
    </row>
    <row r="637" spans="1:78" x14ac:dyDescent="0.35">
      <c r="A637" t="s">
        <v>377</v>
      </c>
      <c r="E637" t="s">
        <v>77</v>
      </c>
      <c r="J637" t="s">
        <v>2099</v>
      </c>
      <c r="K637" t="s">
        <v>2318</v>
      </c>
      <c r="N637" s="11">
        <v>204330074</v>
      </c>
      <c r="O637" s="2">
        <v>45690</v>
      </c>
      <c r="P637" t="s">
        <v>2319</v>
      </c>
      <c r="Q637" s="2">
        <v>24775</v>
      </c>
      <c r="R637" s="3">
        <f>(Tabla1[[#This Row],[FECHA_TRASPLANTE]]-Tabla1[[#This Row],[FECHA_NAC]])/365.25</f>
        <v>57.262149212867897</v>
      </c>
      <c r="S637" t="s">
        <v>210</v>
      </c>
      <c r="T637"/>
      <c r="W637" t="s">
        <v>82</v>
      </c>
      <c r="X637" t="s">
        <v>115</v>
      </c>
      <c r="Y637" t="s">
        <v>115</v>
      </c>
      <c r="Z637" t="s">
        <v>1410</v>
      </c>
      <c r="AE637" t="s">
        <v>106</v>
      </c>
      <c r="AF637" t="s">
        <v>375</v>
      </c>
      <c r="AG637" t="s">
        <v>375</v>
      </c>
      <c r="AM637" t="s">
        <v>106</v>
      </c>
      <c r="AQ637" t="s">
        <v>358</v>
      </c>
      <c r="AV637" s="2" t="s">
        <v>106</v>
      </c>
      <c r="AY637" t="s">
        <v>106</v>
      </c>
      <c r="BD637" t="s">
        <v>106</v>
      </c>
      <c r="BE637" s="2"/>
      <c r="BH637" t="s">
        <v>106</v>
      </c>
      <c r="BI637" t="s">
        <v>106</v>
      </c>
      <c r="BJ637" s="2"/>
      <c r="BT637" s="17">
        <f>Tabla1[[#This Row],[FECHA_TRASPLANTE]]</f>
        <v>45690</v>
      </c>
      <c r="BU637">
        <f>IF(Tabla1[[#This Row],[FALLECIDO SI/NO]]="NO",0,1)</f>
        <v>0</v>
      </c>
      <c r="BV637" s="3">
        <f ca="1">IF(Tabla1[[#This Row],[FALLECIDO_COD]]=0,TODAY()-Tabla1[[#This Row],[FECHA_TRASPLANTE]],Tabla1[[#This Row],[FECHA DE DEFUNCIÓN]]-Tabla1[[#This Row],[FECHA_TRASPLANTE]])</f>
        <v>185</v>
      </c>
      <c r="BW637" s="3">
        <f ca="1">IF(Tabla1[[#This Row],[FALLECIDO_COD]]=0,TODAY()-Tabla1[[#This Row],[FECHA_TRASPLANTE]],Tabla1[[#This Row],[FECHA DE DEFUNCIÓN]]-Tabla1[[#This Row],[FECHA_TRASPLANTE]])/30.4375</f>
        <v>6.0780287474332653</v>
      </c>
      <c r="BX637" s="3">
        <f ca="1">IF(Tabla1[[#This Row],[FALLECIDO_COD]]=0,TODAY()-Tabla1[[#This Row],[FECHA_TRASPLANTE]],Tabla1[[#This Row],[FECHA DE DEFUNCIÓN]]-Tabla1[[#This Row],[FECHA_TRASPLANTE]])/365.25</f>
        <v>0.50650239561943877</v>
      </c>
      <c r="BY637"/>
      <c r="BZ637"/>
    </row>
    <row r="638" spans="1:78" x14ac:dyDescent="0.35">
      <c r="A638" t="s">
        <v>1125</v>
      </c>
      <c r="B638" t="s">
        <v>1125</v>
      </c>
      <c r="D638" t="s">
        <v>1333</v>
      </c>
      <c r="E638" t="s">
        <v>375</v>
      </c>
      <c r="H638" s="2">
        <v>29863</v>
      </c>
      <c r="I638">
        <v>43</v>
      </c>
      <c r="J638" t="s">
        <v>746</v>
      </c>
      <c r="K638" t="s">
        <v>2320</v>
      </c>
      <c r="L638" t="s">
        <v>324</v>
      </c>
      <c r="M638" t="s">
        <v>1067</v>
      </c>
      <c r="N638" s="11">
        <v>206350370</v>
      </c>
      <c r="O638" s="2">
        <v>45693</v>
      </c>
      <c r="P638" t="s">
        <v>90</v>
      </c>
      <c r="Q638" s="2">
        <v>31967</v>
      </c>
      <c r="R638" s="3">
        <f>(Tabla1[[#This Row],[FECHA_TRASPLANTE]]-Tabla1[[#This Row],[FECHA_NAC]])/365.25</f>
        <v>37.57973990417522</v>
      </c>
      <c r="S638" t="s">
        <v>200</v>
      </c>
      <c r="T638"/>
      <c r="U638" t="s">
        <v>2321</v>
      </c>
      <c r="V638" t="s">
        <v>1824</v>
      </c>
      <c r="W638" t="s">
        <v>82</v>
      </c>
      <c r="X638" t="s">
        <v>91</v>
      </c>
      <c r="Y638" t="s">
        <v>553</v>
      </c>
      <c r="Z638" t="s">
        <v>2233</v>
      </c>
      <c r="AE638" t="s">
        <v>106</v>
      </c>
      <c r="AF638" t="s">
        <v>375</v>
      </c>
      <c r="AG638" t="s">
        <v>375</v>
      </c>
      <c r="AM638" t="s">
        <v>106</v>
      </c>
      <c r="AO638"/>
      <c r="AQ638" t="s">
        <v>358</v>
      </c>
      <c r="AV638" s="2" t="s">
        <v>106</v>
      </c>
      <c r="AY638" t="s">
        <v>106</v>
      </c>
      <c r="BD638" t="s">
        <v>106</v>
      </c>
      <c r="BE638" s="2"/>
      <c r="BH638" t="s">
        <v>106</v>
      </c>
      <c r="BI638" t="s">
        <v>106</v>
      </c>
      <c r="BJ638" s="2"/>
      <c r="BO638">
        <v>205650349</v>
      </c>
      <c r="BP638" t="s">
        <v>81</v>
      </c>
      <c r="BQ638" t="s">
        <v>82</v>
      </c>
      <c r="BR638" t="s">
        <v>1854</v>
      </c>
      <c r="BS638" t="s">
        <v>1855</v>
      </c>
      <c r="BT638" s="17">
        <f>Tabla1[[#This Row],[FECHA_TRASPLANTE]]</f>
        <v>45693</v>
      </c>
      <c r="BU638">
        <f>IF(Tabla1[[#This Row],[FALLECIDO SI/NO]]="NO",0,1)</f>
        <v>0</v>
      </c>
      <c r="BV638" s="3">
        <f ca="1">IF(Tabla1[[#This Row],[FALLECIDO_COD]]=0,TODAY()-Tabla1[[#This Row],[FECHA_TRASPLANTE]],Tabla1[[#This Row],[FECHA DE DEFUNCIÓN]]-Tabla1[[#This Row],[FECHA_TRASPLANTE]])</f>
        <v>182</v>
      </c>
      <c r="BW638" s="3">
        <f ca="1">IF(Tabla1[[#This Row],[FALLECIDO_COD]]=0,TODAY()-Tabla1[[#This Row],[FECHA_TRASPLANTE]],Tabla1[[#This Row],[FECHA DE DEFUNCIÓN]]-Tabla1[[#This Row],[FECHA_TRASPLANTE]])/30.4375</f>
        <v>5.979466119096509</v>
      </c>
      <c r="BX638" s="3">
        <f ca="1">IF(Tabla1[[#This Row],[FALLECIDO_COD]]=0,TODAY()-Tabla1[[#This Row],[FECHA_TRASPLANTE]],Tabla1[[#This Row],[FECHA DE DEFUNCIÓN]]-Tabla1[[#This Row],[FECHA_TRASPLANTE]])/365.25</f>
        <v>0.49828884325804246</v>
      </c>
      <c r="BY638"/>
      <c r="BZ638"/>
    </row>
    <row r="639" spans="1:78" x14ac:dyDescent="0.35">
      <c r="A639" t="s">
        <v>377</v>
      </c>
      <c r="D639" t="s">
        <v>1333</v>
      </c>
      <c r="E639" t="s">
        <v>375</v>
      </c>
      <c r="H639" s="2">
        <v>33434</v>
      </c>
      <c r="I639">
        <v>33</v>
      </c>
      <c r="J639" t="s">
        <v>746</v>
      </c>
      <c r="K639" t="s">
        <v>2322</v>
      </c>
      <c r="L639" t="s">
        <v>2323</v>
      </c>
      <c r="M639" t="s">
        <v>289</v>
      </c>
      <c r="N639" s="11">
        <v>800760200</v>
      </c>
      <c r="O639" s="2">
        <v>45693</v>
      </c>
      <c r="P639" t="s">
        <v>2319</v>
      </c>
      <c r="Q639" s="2">
        <v>24561</v>
      </c>
      <c r="R639" s="3">
        <f>(Tabla1[[#This Row],[FECHA_TRASPLANTE]]-Tabla1[[#This Row],[FECHA_NAC]])/365.25</f>
        <v>57.856262833675565</v>
      </c>
      <c r="S639" t="s">
        <v>200</v>
      </c>
      <c r="T639"/>
      <c r="W639" t="s">
        <v>82</v>
      </c>
      <c r="X639" t="s">
        <v>261</v>
      </c>
      <c r="Y639" t="s">
        <v>261</v>
      </c>
      <c r="Z639" t="s">
        <v>302</v>
      </c>
      <c r="AE639" t="s">
        <v>106</v>
      </c>
      <c r="AF639" t="s">
        <v>375</v>
      </c>
      <c r="AG639" t="s">
        <v>375</v>
      </c>
      <c r="AM639" t="s">
        <v>106</v>
      </c>
      <c r="AQ639" t="s">
        <v>358</v>
      </c>
      <c r="AV639" s="2" t="s">
        <v>106</v>
      </c>
      <c r="AY639" t="s">
        <v>106</v>
      </c>
      <c r="BD639" t="s">
        <v>106</v>
      </c>
      <c r="BE639" s="2"/>
      <c r="BH639" t="s">
        <v>106</v>
      </c>
      <c r="BI639" t="s">
        <v>106</v>
      </c>
      <c r="BJ639" s="2"/>
      <c r="BO639">
        <v>114710194</v>
      </c>
      <c r="BP639" t="s">
        <v>90</v>
      </c>
      <c r="BQ639" t="s">
        <v>82</v>
      </c>
      <c r="BR639" t="s">
        <v>1806</v>
      </c>
      <c r="BS639" t="s">
        <v>2005</v>
      </c>
      <c r="BT639" s="17">
        <f>Tabla1[[#This Row],[FECHA_TRASPLANTE]]</f>
        <v>45693</v>
      </c>
      <c r="BU639">
        <f>IF(Tabla1[[#This Row],[FALLECIDO SI/NO]]="NO",0,1)</f>
        <v>0</v>
      </c>
      <c r="BV639" s="3">
        <f ca="1">IF(Tabla1[[#This Row],[FALLECIDO_COD]]=0,TODAY()-Tabla1[[#This Row],[FECHA_TRASPLANTE]],Tabla1[[#This Row],[FECHA DE DEFUNCIÓN]]-Tabla1[[#This Row],[FECHA_TRASPLANTE]])</f>
        <v>182</v>
      </c>
      <c r="BW639" s="3">
        <f ca="1">IF(Tabla1[[#This Row],[FALLECIDO_COD]]=0,TODAY()-Tabla1[[#This Row],[FECHA_TRASPLANTE]],Tabla1[[#This Row],[FECHA DE DEFUNCIÓN]]-Tabla1[[#This Row],[FECHA_TRASPLANTE]])/30.4375</f>
        <v>5.979466119096509</v>
      </c>
      <c r="BX639" s="3">
        <f ca="1">IF(Tabla1[[#This Row],[FALLECIDO_COD]]=0,TODAY()-Tabla1[[#This Row],[FECHA_TRASPLANTE]],Tabla1[[#This Row],[FECHA DE DEFUNCIÓN]]-Tabla1[[#This Row],[FECHA_TRASPLANTE]])/365.25</f>
        <v>0.49828884325804246</v>
      </c>
      <c r="BY639"/>
      <c r="BZ639"/>
    </row>
    <row r="640" spans="1:78" x14ac:dyDescent="0.35">
      <c r="A640" t="s">
        <v>75</v>
      </c>
      <c r="B640" t="s">
        <v>1828</v>
      </c>
      <c r="D640" t="s">
        <v>1129</v>
      </c>
      <c r="E640" t="s">
        <v>375</v>
      </c>
      <c r="G640" t="s">
        <v>200</v>
      </c>
      <c r="H640" s="2">
        <v>44146</v>
      </c>
      <c r="I640">
        <v>24</v>
      </c>
      <c r="J640" t="s">
        <v>746</v>
      </c>
      <c r="K640" t="s">
        <v>2324</v>
      </c>
      <c r="L640" t="s">
        <v>1571</v>
      </c>
      <c r="M640" t="s">
        <v>692</v>
      </c>
      <c r="N640" s="12">
        <v>207010275</v>
      </c>
      <c r="O640" s="16">
        <v>45698</v>
      </c>
      <c r="P640" t="s">
        <v>90</v>
      </c>
      <c r="Q640" s="2">
        <v>33785</v>
      </c>
      <c r="R640" s="3">
        <f>(Tabla1[[#This Row],[FECHA_TRASPLANTE]]-Tabla1[[#This Row],[FECHA_NAC]])/365.25</f>
        <v>32.616016427104725</v>
      </c>
      <c r="S640" t="s">
        <v>200</v>
      </c>
      <c r="U640" t="s">
        <v>2325</v>
      </c>
      <c r="V640" t="s">
        <v>2326</v>
      </c>
      <c r="W640" t="s">
        <v>82</v>
      </c>
      <c r="X640" t="s">
        <v>261</v>
      </c>
      <c r="Y640" t="s">
        <v>684</v>
      </c>
      <c r="Z640" t="s">
        <v>2327</v>
      </c>
      <c r="AA640" s="7">
        <v>7.2916666666666671E-2</v>
      </c>
      <c r="AB640" t="s">
        <v>2310</v>
      </c>
      <c r="AC640" t="s">
        <v>2310</v>
      </c>
      <c r="AD640" t="s">
        <v>2311</v>
      </c>
      <c r="AE640" t="s">
        <v>106</v>
      </c>
      <c r="AF640" t="s">
        <v>375</v>
      </c>
      <c r="AG640" t="s">
        <v>375</v>
      </c>
      <c r="AM640" t="s">
        <v>106</v>
      </c>
      <c r="AO640"/>
      <c r="AQ640" t="s">
        <v>358</v>
      </c>
      <c r="AR640" s="2"/>
      <c r="AS640" s="2"/>
      <c r="AV640" s="2" t="s">
        <v>106</v>
      </c>
      <c r="AY640" t="s">
        <v>106</v>
      </c>
      <c r="BA640" t="s">
        <v>2314</v>
      </c>
      <c r="BD640" t="s">
        <v>106</v>
      </c>
      <c r="BE640" s="2"/>
      <c r="BH640" t="s">
        <v>106</v>
      </c>
      <c r="BI640" t="s">
        <v>106</v>
      </c>
      <c r="BJ640" s="2"/>
      <c r="BL640" t="s">
        <v>2315</v>
      </c>
      <c r="BO640">
        <v>702810919</v>
      </c>
      <c r="BP640" t="s">
        <v>90</v>
      </c>
      <c r="BQ640" t="s">
        <v>82</v>
      </c>
      <c r="BR640" t="s">
        <v>1854</v>
      </c>
      <c r="BS640" t="s">
        <v>1855</v>
      </c>
      <c r="BT640" s="17">
        <f>Tabla1[[#This Row],[FECHA_TRASPLANTE]]</f>
        <v>45698</v>
      </c>
      <c r="BU640">
        <f>IF(Tabla1[[#This Row],[FALLECIDO SI/NO]]="NO",0,1)</f>
        <v>0</v>
      </c>
      <c r="BV640" s="3">
        <f ca="1">IF(Tabla1[[#This Row],[FALLECIDO_COD]]=0,TODAY()-Tabla1[[#This Row],[FECHA_TRASPLANTE]],Tabla1[[#This Row],[FECHA DE DEFUNCIÓN]]-Tabla1[[#This Row],[FECHA_TRASPLANTE]])</f>
        <v>177</v>
      </c>
      <c r="BW640" s="3">
        <f ca="1">IF(Tabla1[[#This Row],[FALLECIDO_COD]]=0,TODAY()-Tabla1[[#This Row],[FECHA_TRASPLANTE]],Tabla1[[#This Row],[FECHA DE DEFUNCIÓN]]-Tabla1[[#This Row],[FECHA_TRASPLANTE]])/30.4375</f>
        <v>5.8151950718685832</v>
      </c>
      <c r="BX640" s="3">
        <f ca="1">IF(Tabla1[[#This Row],[FALLECIDO_COD]]=0,TODAY()-Tabla1[[#This Row],[FECHA_TRASPLANTE]],Tabla1[[#This Row],[FECHA DE DEFUNCIÓN]]-Tabla1[[#This Row],[FECHA_TRASPLANTE]])/365.25</f>
        <v>0.48459958932238195</v>
      </c>
      <c r="BY640"/>
      <c r="BZ640"/>
    </row>
    <row r="641" spans="1:78" x14ac:dyDescent="0.35">
      <c r="A641" t="s">
        <v>377</v>
      </c>
      <c r="D641" t="s">
        <v>1333</v>
      </c>
      <c r="E641" t="s">
        <v>375</v>
      </c>
      <c r="H641" s="2">
        <v>26315</v>
      </c>
      <c r="I641">
        <v>53</v>
      </c>
      <c r="J641" t="s">
        <v>1898</v>
      </c>
      <c r="K641" t="s">
        <v>2328</v>
      </c>
      <c r="L641" t="s">
        <v>2329</v>
      </c>
      <c r="M641" t="s">
        <v>99</v>
      </c>
      <c r="N641" s="11">
        <v>203750678</v>
      </c>
      <c r="O641" s="2">
        <v>45700</v>
      </c>
      <c r="P641" t="s">
        <v>2319</v>
      </c>
      <c r="Q641" s="2">
        <v>22928</v>
      </c>
      <c r="R641" s="3">
        <f>(Tabla1[[#This Row],[FECHA_TRASPLANTE]]-Tabla1[[#This Row],[FECHA_NAC]])/365.25</f>
        <v>62.346338124572213</v>
      </c>
      <c r="S641" t="s">
        <v>200</v>
      </c>
      <c r="T641"/>
      <c r="W641" t="s">
        <v>82</v>
      </c>
      <c r="X641" t="s">
        <v>261</v>
      </c>
      <c r="Y641" t="s">
        <v>442</v>
      </c>
      <c r="AE641" t="s">
        <v>106</v>
      </c>
      <c r="AF641" t="s">
        <v>375</v>
      </c>
      <c r="AG641" t="s">
        <v>375</v>
      </c>
      <c r="AM641" t="s">
        <v>106</v>
      </c>
      <c r="AQ641" t="s">
        <v>358</v>
      </c>
      <c r="AV641" s="2" t="s">
        <v>106</v>
      </c>
      <c r="AY641" t="s">
        <v>106</v>
      </c>
      <c r="BD641" t="s">
        <v>106</v>
      </c>
      <c r="BE641" s="2"/>
      <c r="BH641" t="s">
        <v>106</v>
      </c>
      <c r="BI641" t="s">
        <v>106</v>
      </c>
      <c r="BJ641" s="2"/>
      <c r="BO641">
        <v>204740656</v>
      </c>
      <c r="BP641" t="s">
        <v>90</v>
      </c>
      <c r="BQ641" t="s">
        <v>82</v>
      </c>
      <c r="BR641" t="s">
        <v>1900</v>
      </c>
      <c r="BS641" t="s">
        <v>2330</v>
      </c>
      <c r="BT641" s="17">
        <f>Tabla1[[#This Row],[FECHA_TRASPLANTE]]</f>
        <v>45700</v>
      </c>
      <c r="BU641">
        <f>IF(Tabla1[[#This Row],[FALLECIDO SI/NO]]="NO",0,1)</f>
        <v>0</v>
      </c>
      <c r="BV641" s="3">
        <f ca="1">IF(Tabla1[[#This Row],[FALLECIDO_COD]]=0,TODAY()-Tabla1[[#This Row],[FECHA_TRASPLANTE]],Tabla1[[#This Row],[FECHA DE DEFUNCIÓN]]-Tabla1[[#This Row],[FECHA_TRASPLANTE]])</f>
        <v>175</v>
      </c>
      <c r="BW641" s="3">
        <f ca="1">IF(Tabla1[[#This Row],[FALLECIDO_COD]]=0,TODAY()-Tabla1[[#This Row],[FECHA_TRASPLANTE]],Tabla1[[#This Row],[FECHA DE DEFUNCIÓN]]-Tabla1[[#This Row],[FECHA_TRASPLANTE]])/30.4375</f>
        <v>5.7494866529774127</v>
      </c>
      <c r="BX641" s="3">
        <f ca="1">IF(Tabla1[[#This Row],[FALLECIDO_COD]]=0,TODAY()-Tabla1[[#This Row],[FECHA_TRASPLANTE]],Tabla1[[#This Row],[FECHA DE DEFUNCIÓN]]-Tabla1[[#This Row],[FECHA_TRASPLANTE]])/365.25</f>
        <v>0.4791238877481177</v>
      </c>
      <c r="BY641"/>
      <c r="BZ641"/>
    </row>
    <row r="642" spans="1:78" x14ac:dyDescent="0.35">
      <c r="A642" t="s">
        <v>1125</v>
      </c>
      <c r="B642" t="s">
        <v>1125</v>
      </c>
      <c r="D642" t="s">
        <v>1333</v>
      </c>
      <c r="E642" t="s">
        <v>375</v>
      </c>
      <c r="H642" s="2">
        <v>36810</v>
      </c>
      <c r="I642">
        <v>24</v>
      </c>
      <c r="J642" t="s">
        <v>746</v>
      </c>
      <c r="K642" t="s">
        <v>2331</v>
      </c>
      <c r="L642" t="s">
        <v>2332</v>
      </c>
      <c r="M642" t="s">
        <v>386</v>
      </c>
      <c r="N642" s="11">
        <v>117910642</v>
      </c>
      <c r="O642" s="2">
        <v>45707</v>
      </c>
      <c r="P642" t="s">
        <v>90</v>
      </c>
      <c r="Q642" s="2">
        <v>36810</v>
      </c>
      <c r="R642" s="3">
        <f>(Tabla1[[#This Row],[FECHA_TRASPLANTE]]-Tabla1[[#This Row],[FECHA_NAC]])/365.25</f>
        <v>24.358658453114305</v>
      </c>
      <c r="S642" t="s">
        <v>896</v>
      </c>
      <c r="T642"/>
      <c r="U642" t="s">
        <v>1348</v>
      </c>
      <c r="V642" t="s">
        <v>1824</v>
      </c>
      <c r="W642" t="s">
        <v>82</v>
      </c>
      <c r="X642" t="s">
        <v>91</v>
      </c>
      <c r="Y642" t="s">
        <v>91</v>
      </c>
      <c r="Z642" t="s">
        <v>598</v>
      </c>
      <c r="AA642" s="7">
        <v>5.5555555555555552E-2</v>
      </c>
      <c r="AC642" s="7">
        <v>5.5555555555555552E-2</v>
      </c>
      <c r="AE642" t="s">
        <v>106</v>
      </c>
      <c r="AF642" t="s">
        <v>375</v>
      </c>
      <c r="AG642" t="s">
        <v>375</v>
      </c>
      <c r="AM642" t="s">
        <v>106</v>
      </c>
      <c r="AO642"/>
      <c r="AQ642" t="s">
        <v>358</v>
      </c>
      <c r="AV642" s="2" t="s">
        <v>106</v>
      </c>
      <c r="AY642" t="s">
        <v>106</v>
      </c>
      <c r="BD642" t="s">
        <v>106</v>
      </c>
      <c r="BE642" s="2"/>
      <c r="BH642" t="s">
        <v>106</v>
      </c>
      <c r="BI642" t="s">
        <v>106</v>
      </c>
      <c r="BJ642" s="2"/>
      <c r="BO642">
        <v>117910641</v>
      </c>
      <c r="BP642" t="s">
        <v>81</v>
      </c>
      <c r="BQ642" t="s">
        <v>82</v>
      </c>
      <c r="BR642" t="s">
        <v>1854</v>
      </c>
      <c r="BS642" t="s">
        <v>1855</v>
      </c>
      <c r="BT642" s="17">
        <f>Tabla1[[#This Row],[FECHA_TRASPLANTE]]</f>
        <v>45707</v>
      </c>
      <c r="BU642">
        <f>IF(Tabla1[[#This Row],[FALLECIDO SI/NO]]="NO",0,1)</f>
        <v>0</v>
      </c>
      <c r="BV642" s="3">
        <f ca="1">IF(Tabla1[[#This Row],[FALLECIDO_COD]]=0,TODAY()-Tabla1[[#This Row],[FECHA_TRASPLANTE]],Tabla1[[#This Row],[FECHA DE DEFUNCIÓN]]-Tabla1[[#This Row],[FECHA_TRASPLANTE]])</f>
        <v>168</v>
      </c>
      <c r="BW642" s="3">
        <f ca="1">IF(Tabla1[[#This Row],[FALLECIDO_COD]]=0,TODAY()-Tabla1[[#This Row],[FECHA_TRASPLANTE]],Tabla1[[#This Row],[FECHA DE DEFUNCIÓN]]-Tabla1[[#This Row],[FECHA_TRASPLANTE]])/30.4375</f>
        <v>5.5195071868583163</v>
      </c>
      <c r="BX642" s="3">
        <f ca="1">IF(Tabla1[[#This Row],[FALLECIDO_COD]]=0,TODAY()-Tabla1[[#This Row],[FECHA_TRASPLANTE]],Tabla1[[#This Row],[FECHA DE DEFUNCIÓN]]-Tabla1[[#This Row],[FECHA_TRASPLANTE]])/365.25</f>
        <v>0.45995893223819301</v>
      </c>
      <c r="BY642"/>
      <c r="BZ642"/>
    </row>
    <row r="643" spans="1:78" x14ac:dyDescent="0.35">
      <c r="A643" t="s">
        <v>377</v>
      </c>
      <c r="D643" t="s">
        <v>1333</v>
      </c>
      <c r="E643" t="s">
        <v>375</v>
      </c>
      <c r="G643" t="s">
        <v>200</v>
      </c>
      <c r="H643" s="2">
        <v>26982</v>
      </c>
      <c r="I643">
        <v>51</v>
      </c>
      <c r="J643" t="s">
        <v>746</v>
      </c>
      <c r="K643" t="s">
        <v>2333</v>
      </c>
      <c r="L643" t="s">
        <v>155</v>
      </c>
      <c r="M643" t="s">
        <v>2334</v>
      </c>
      <c r="N643" s="12">
        <v>503030762</v>
      </c>
      <c r="O643" s="2">
        <v>45707</v>
      </c>
      <c r="P643" t="s">
        <v>2305</v>
      </c>
      <c r="Q643" s="2">
        <v>28589</v>
      </c>
      <c r="R643" s="3">
        <f>(Tabla1[[#This Row],[FECHA_TRASPLANTE]]-Tabla1[[#This Row],[FECHA_NAC]])/365.25</f>
        <v>46.866529774127308</v>
      </c>
      <c r="S643" t="s">
        <v>210</v>
      </c>
      <c r="T643"/>
      <c r="W643" t="s">
        <v>82</v>
      </c>
      <c r="X643" t="s">
        <v>2077</v>
      </c>
      <c r="AE643" t="s">
        <v>106</v>
      </c>
      <c r="AF643" t="s">
        <v>375</v>
      </c>
      <c r="AG643" t="s">
        <v>375</v>
      </c>
      <c r="AM643" t="s">
        <v>106</v>
      </c>
      <c r="AQ643" t="s">
        <v>358</v>
      </c>
      <c r="AV643" s="2" t="s">
        <v>106</v>
      </c>
      <c r="AY643" t="s">
        <v>106</v>
      </c>
      <c r="BD643" t="s">
        <v>106</v>
      </c>
      <c r="BE643" s="2"/>
      <c r="BH643" t="s">
        <v>106</v>
      </c>
      <c r="BI643" t="s">
        <v>106</v>
      </c>
      <c r="BJ643" s="2"/>
      <c r="BO643">
        <v>502810139</v>
      </c>
      <c r="BP643" t="s">
        <v>90</v>
      </c>
      <c r="BQ643" t="s">
        <v>82</v>
      </c>
      <c r="BR643" t="s">
        <v>1854</v>
      </c>
      <c r="BS643" t="s">
        <v>1855</v>
      </c>
      <c r="BT643" s="17">
        <f>Tabla1[[#This Row],[FECHA_TRASPLANTE]]</f>
        <v>45707</v>
      </c>
      <c r="BU643">
        <f>IF(Tabla1[[#This Row],[FALLECIDO SI/NO]]="NO",0,1)</f>
        <v>0</v>
      </c>
      <c r="BV643" s="3">
        <f ca="1">IF(Tabla1[[#This Row],[FALLECIDO_COD]]=0,TODAY()-Tabla1[[#This Row],[FECHA_TRASPLANTE]],Tabla1[[#This Row],[FECHA DE DEFUNCIÓN]]-Tabla1[[#This Row],[FECHA_TRASPLANTE]])</f>
        <v>168</v>
      </c>
      <c r="BW643" s="3">
        <f ca="1">IF(Tabla1[[#This Row],[FALLECIDO_COD]]=0,TODAY()-Tabla1[[#This Row],[FECHA_TRASPLANTE]],Tabla1[[#This Row],[FECHA DE DEFUNCIÓN]]-Tabla1[[#This Row],[FECHA_TRASPLANTE]])/30.4375</f>
        <v>5.5195071868583163</v>
      </c>
      <c r="BX643" s="3">
        <f ca="1">IF(Tabla1[[#This Row],[FALLECIDO_COD]]=0,TODAY()-Tabla1[[#This Row],[FECHA_TRASPLANTE]],Tabla1[[#This Row],[FECHA DE DEFUNCIÓN]]-Tabla1[[#This Row],[FECHA_TRASPLANTE]])/365.25</f>
        <v>0.45995893223819301</v>
      </c>
      <c r="BY643"/>
      <c r="BZ643"/>
    </row>
    <row r="644" spans="1:78" x14ac:dyDescent="0.35">
      <c r="A644" t="s">
        <v>1126</v>
      </c>
      <c r="B644" t="s">
        <v>1126</v>
      </c>
      <c r="D644" t="s">
        <v>1333</v>
      </c>
      <c r="E644" t="s">
        <v>375</v>
      </c>
      <c r="F644" t="s">
        <v>106</v>
      </c>
      <c r="G644" t="s">
        <v>200</v>
      </c>
      <c r="H644" s="2">
        <v>35872</v>
      </c>
      <c r="I644">
        <v>26.940451745379878</v>
      </c>
      <c r="J644" t="s">
        <v>746</v>
      </c>
      <c r="K644" t="s">
        <v>2335</v>
      </c>
      <c r="L644" t="s">
        <v>119</v>
      </c>
      <c r="M644" t="s">
        <v>1475</v>
      </c>
      <c r="N644" s="11">
        <v>305290944</v>
      </c>
      <c r="O644" s="2">
        <v>45712</v>
      </c>
      <c r="P644" t="s">
        <v>1549</v>
      </c>
      <c r="Q644" s="2">
        <v>36912</v>
      </c>
      <c r="R644" s="3">
        <f>(Tabla1[[#This Row],[FECHA_TRASPLANTE]]-Tabla1[[#This Row],[FECHA_NAC]])/365.25</f>
        <v>24.093086926762492</v>
      </c>
      <c r="S644" t="s">
        <v>200</v>
      </c>
      <c r="U644" t="s">
        <v>2336</v>
      </c>
      <c r="V644" t="s">
        <v>1566</v>
      </c>
      <c r="W644" t="s">
        <v>82</v>
      </c>
      <c r="X644" t="s">
        <v>91</v>
      </c>
      <c r="Y644" t="s">
        <v>116</v>
      </c>
      <c r="Z644" t="s">
        <v>1815</v>
      </c>
      <c r="AA644" s="7">
        <v>7.1527777777777773E-2</v>
      </c>
      <c r="AB644" s="7">
        <v>2.7777777777777776E-2</v>
      </c>
      <c r="AC644" s="7">
        <v>0.18402777777777779</v>
      </c>
      <c r="AD644">
        <v>0</v>
      </c>
      <c r="AE644" t="s">
        <v>106</v>
      </c>
      <c r="AF644" t="s">
        <v>375</v>
      </c>
      <c r="AG644" t="s">
        <v>375</v>
      </c>
      <c r="AM644" t="s">
        <v>106</v>
      </c>
      <c r="AQ644" t="s">
        <v>358</v>
      </c>
      <c r="AR644" s="2"/>
      <c r="AS644" s="2"/>
      <c r="AV644" s="2" t="s">
        <v>106</v>
      </c>
      <c r="AY644" t="s">
        <v>106</v>
      </c>
      <c r="BA644" t="s">
        <v>1812</v>
      </c>
      <c r="BD644" t="s">
        <v>106</v>
      </c>
      <c r="BE644" s="2"/>
      <c r="BH644" t="s">
        <v>106</v>
      </c>
      <c r="BI644" t="s">
        <v>106</v>
      </c>
      <c r="BJ644" s="2"/>
      <c r="BL644" t="s">
        <v>106</v>
      </c>
      <c r="BO644">
        <v>305080929</v>
      </c>
      <c r="BP644" t="s">
        <v>90</v>
      </c>
      <c r="BQ644" t="s">
        <v>82</v>
      </c>
      <c r="BR644" t="s">
        <v>1854</v>
      </c>
      <c r="BS644" t="s">
        <v>1855</v>
      </c>
      <c r="BT644" s="17">
        <f>Tabla1[[#This Row],[FECHA_TRASPLANTE]]</f>
        <v>45712</v>
      </c>
      <c r="BU644">
        <f>IF(Tabla1[[#This Row],[FALLECIDO SI/NO]]="NO",0,1)</f>
        <v>0</v>
      </c>
      <c r="BV644" s="3">
        <f ca="1">IF(Tabla1[[#This Row],[FALLECIDO_COD]]=0,TODAY()-Tabla1[[#This Row],[FECHA_TRASPLANTE]],Tabla1[[#This Row],[FECHA DE DEFUNCIÓN]]-Tabla1[[#This Row],[FECHA_TRASPLANTE]])</f>
        <v>163</v>
      </c>
      <c r="BW644" s="3">
        <f ca="1">IF(Tabla1[[#This Row],[FALLECIDO_COD]]=0,TODAY()-Tabla1[[#This Row],[FECHA_TRASPLANTE]],Tabla1[[#This Row],[FECHA DE DEFUNCIÓN]]-Tabla1[[#This Row],[FECHA_TRASPLANTE]])/30.4375</f>
        <v>5.3552361396303905</v>
      </c>
      <c r="BX644" s="3">
        <f ca="1">IF(Tabla1[[#This Row],[FALLECIDO_COD]]=0,TODAY()-Tabla1[[#This Row],[FECHA_TRASPLANTE]],Tabla1[[#This Row],[FECHA DE DEFUNCIÓN]]-Tabla1[[#This Row],[FECHA_TRASPLANTE]])/365.25</f>
        <v>0.4462696783025325</v>
      </c>
      <c r="BY644"/>
      <c r="BZ644"/>
    </row>
    <row r="645" spans="1:78" x14ac:dyDescent="0.35">
      <c r="A645" t="s">
        <v>377</v>
      </c>
      <c r="D645" t="s">
        <v>1333</v>
      </c>
      <c r="E645" t="s">
        <v>375</v>
      </c>
      <c r="H645" s="2">
        <v>30736</v>
      </c>
      <c r="I645">
        <v>41</v>
      </c>
      <c r="J645" t="s">
        <v>746</v>
      </c>
      <c r="K645" t="s">
        <v>253</v>
      </c>
      <c r="L645" t="s">
        <v>619</v>
      </c>
      <c r="M645" t="s">
        <v>251</v>
      </c>
      <c r="N645" s="11">
        <v>114420462</v>
      </c>
      <c r="O645" s="2">
        <v>45714</v>
      </c>
      <c r="P645" t="s">
        <v>2305</v>
      </c>
      <c r="Q645" s="2">
        <v>33158</v>
      </c>
      <c r="R645" s="3">
        <f>(Tabla1[[#This Row],[FECHA_TRASPLANTE]]-Tabla1[[#This Row],[FECHA_NAC]])/365.25</f>
        <v>34.376454483230667</v>
      </c>
      <c r="S645" t="s">
        <v>910</v>
      </c>
      <c r="T645"/>
      <c r="W645" t="s">
        <v>82</v>
      </c>
      <c r="X645" t="s">
        <v>2337</v>
      </c>
      <c r="AE645" t="s">
        <v>106</v>
      </c>
      <c r="AF645" t="s">
        <v>375</v>
      </c>
      <c r="AG645" t="s">
        <v>375</v>
      </c>
      <c r="AM645" t="s">
        <v>106</v>
      </c>
      <c r="AQ645" t="s">
        <v>358</v>
      </c>
      <c r="AV645" s="2" t="s">
        <v>106</v>
      </c>
      <c r="AY645" t="s">
        <v>106</v>
      </c>
      <c r="BD645" t="s">
        <v>106</v>
      </c>
      <c r="BE645" s="2"/>
      <c r="BH645" t="s">
        <v>106</v>
      </c>
      <c r="BI645" t="s">
        <v>106</v>
      </c>
      <c r="BJ645" s="2"/>
      <c r="BO645">
        <v>111980457</v>
      </c>
      <c r="BP645" t="s">
        <v>90</v>
      </c>
      <c r="BQ645" t="s">
        <v>82</v>
      </c>
      <c r="BR645" t="s">
        <v>2170</v>
      </c>
      <c r="BS645" t="s">
        <v>2171</v>
      </c>
      <c r="BT645" s="17">
        <f>Tabla1[[#This Row],[FECHA_TRASPLANTE]]</f>
        <v>45714</v>
      </c>
      <c r="BU645">
        <f>IF(Tabla1[[#This Row],[FALLECIDO SI/NO]]="NO",0,1)</f>
        <v>0</v>
      </c>
      <c r="BV645" s="3">
        <f ca="1">IF(Tabla1[[#This Row],[FALLECIDO_COD]]=0,TODAY()-Tabla1[[#This Row],[FECHA_TRASPLANTE]],Tabla1[[#This Row],[FECHA DE DEFUNCIÓN]]-Tabla1[[#This Row],[FECHA_TRASPLANTE]])</f>
        <v>161</v>
      </c>
      <c r="BW645" s="3">
        <f ca="1">IF(Tabla1[[#This Row],[FALLECIDO_COD]]=0,TODAY()-Tabla1[[#This Row],[FECHA_TRASPLANTE]],Tabla1[[#This Row],[FECHA DE DEFUNCIÓN]]-Tabla1[[#This Row],[FECHA_TRASPLANTE]])/30.4375</f>
        <v>5.28952772073922</v>
      </c>
      <c r="BX645" s="3">
        <f ca="1">IF(Tabla1[[#This Row],[FALLECIDO_COD]]=0,TODAY()-Tabla1[[#This Row],[FECHA_TRASPLANTE]],Tabla1[[#This Row],[FECHA DE DEFUNCIÓN]]-Tabla1[[#This Row],[FECHA_TRASPLANTE]])/365.25</f>
        <v>0.44079397672826831</v>
      </c>
      <c r="BY645"/>
      <c r="BZ645"/>
    </row>
    <row r="646" spans="1:78" x14ac:dyDescent="0.35">
      <c r="A646" t="s">
        <v>377</v>
      </c>
      <c r="E646" t="s">
        <v>77</v>
      </c>
      <c r="J646" t="s">
        <v>1834</v>
      </c>
      <c r="K646" t="s">
        <v>2338</v>
      </c>
      <c r="N646" s="11">
        <v>110260522</v>
      </c>
      <c r="O646" s="2">
        <v>45719</v>
      </c>
      <c r="P646" t="s">
        <v>2305</v>
      </c>
      <c r="Q646" s="2">
        <v>28901</v>
      </c>
      <c r="R646" s="3">
        <f>(Tabla1[[#This Row],[FECHA_TRASPLANTE]]-Tabla1[[#This Row],[FECHA_NAC]])/365.25</f>
        <v>46.045174537987677</v>
      </c>
      <c r="S646" t="s">
        <v>210</v>
      </c>
      <c r="T646"/>
      <c r="W646" t="s">
        <v>82</v>
      </c>
      <c r="X646" t="s">
        <v>1840</v>
      </c>
      <c r="AE646" t="s">
        <v>106</v>
      </c>
      <c r="AF646" t="s">
        <v>375</v>
      </c>
      <c r="AG646" t="s">
        <v>375</v>
      </c>
      <c r="AM646" t="s">
        <v>106</v>
      </c>
      <c r="AQ646" t="s">
        <v>358</v>
      </c>
      <c r="AV646" s="2" t="s">
        <v>106</v>
      </c>
      <c r="AY646" t="s">
        <v>106</v>
      </c>
      <c r="BD646" t="s">
        <v>106</v>
      </c>
      <c r="BE646" s="2"/>
      <c r="BH646" t="s">
        <v>106</v>
      </c>
      <c r="BI646" t="s">
        <v>106</v>
      </c>
      <c r="BJ646" s="2"/>
      <c r="BT646" s="17">
        <f>Tabla1[[#This Row],[FECHA_TRASPLANTE]]</f>
        <v>45719</v>
      </c>
      <c r="BU646">
        <f>IF(Tabla1[[#This Row],[FALLECIDO SI/NO]]="NO",0,1)</f>
        <v>0</v>
      </c>
      <c r="BV646" s="3">
        <f ca="1">IF(Tabla1[[#This Row],[FALLECIDO_COD]]=0,TODAY()-Tabla1[[#This Row],[FECHA_TRASPLANTE]],Tabla1[[#This Row],[FECHA DE DEFUNCIÓN]]-Tabla1[[#This Row],[FECHA_TRASPLANTE]])</f>
        <v>156</v>
      </c>
      <c r="BW646" s="3">
        <f ca="1">IF(Tabla1[[#This Row],[FALLECIDO_COD]]=0,TODAY()-Tabla1[[#This Row],[FECHA_TRASPLANTE]],Tabla1[[#This Row],[FECHA DE DEFUNCIÓN]]-Tabla1[[#This Row],[FECHA_TRASPLANTE]])/30.4375</f>
        <v>5.1252566735112932</v>
      </c>
      <c r="BX646" s="3">
        <f ca="1">IF(Tabla1[[#This Row],[FALLECIDO_COD]]=0,TODAY()-Tabla1[[#This Row],[FECHA_TRASPLANTE]],Tabla1[[#This Row],[FECHA DE DEFUNCIÓN]]-Tabla1[[#This Row],[FECHA_TRASPLANTE]])/365.25</f>
        <v>0.4271047227926078</v>
      </c>
      <c r="BY646"/>
      <c r="BZ646"/>
    </row>
    <row r="647" spans="1:78" x14ac:dyDescent="0.35">
      <c r="A647" t="s">
        <v>75</v>
      </c>
      <c r="B647" t="s">
        <v>1828</v>
      </c>
      <c r="D647" t="s">
        <v>1129</v>
      </c>
      <c r="E647" t="s">
        <v>77</v>
      </c>
      <c r="G647" t="s">
        <v>210</v>
      </c>
      <c r="I647">
        <v>44</v>
      </c>
      <c r="N647" s="11">
        <v>402420700</v>
      </c>
      <c r="O647" s="16">
        <v>45719</v>
      </c>
      <c r="P647" t="s">
        <v>81</v>
      </c>
      <c r="Q647" s="2">
        <v>36275</v>
      </c>
      <c r="R647" s="3">
        <f>(Tabla1[[#This Row],[FECHA_TRASPLANTE]]-Tabla1[[#This Row],[FECHA_NAC]])/365.25</f>
        <v>25.856262833675565</v>
      </c>
      <c r="S647" t="s">
        <v>210</v>
      </c>
      <c r="U647" t="s">
        <v>2339</v>
      </c>
      <c r="V647" t="s">
        <v>2309</v>
      </c>
      <c r="W647" t="s">
        <v>82</v>
      </c>
      <c r="X647" t="s">
        <v>120</v>
      </c>
      <c r="Y647" t="s">
        <v>120</v>
      </c>
      <c r="Z647" t="s">
        <v>120</v>
      </c>
      <c r="AA647">
        <v>7</v>
      </c>
      <c r="AB647" t="s">
        <v>2310</v>
      </c>
      <c r="AC647">
        <v>6.45</v>
      </c>
      <c r="AD647" t="s">
        <v>86</v>
      </c>
      <c r="AE647" t="s">
        <v>106</v>
      </c>
      <c r="AF647" t="s">
        <v>375</v>
      </c>
      <c r="AG647" t="s">
        <v>375</v>
      </c>
      <c r="AM647" t="s">
        <v>106</v>
      </c>
      <c r="AO647"/>
      <c r="AQ647" t="s">
        <v>358</v>
      </c>
      <c r="AR647" s="2"/>
      <c r="AS647" s="2"/>
      <c r="AV647" s="2" t="s">
        <v>106</v>
      </c>
      <c r="AY647" t="s">
        <v>106</v>
      </c>
      <c r="BA647" t="s">
        <v>2340</v>
      </c>
      <c r="BD647" t="s">
        <v>106</v>
      </c>
      <c r="BE647" s="2"/>
      <c r="BH647" t="s">
        <v>106</v>
      </c>
      <c r="BI647" t="s">
        <v>86</v>
      </c>
      <c r="BJ647" s="2">
        <v>45725</v>
      </c>
      <c r="BL647" t="s">
        <v>2315</v>
      </c>
      <c r="BT647" s="17">
        <f>Tabla1[[#This Row],[FECHA_TRASPLANTE]]</f>
        <v>45719</v>
      </c>
      <c r="BU647">
        <f>IF(Tabla1[[#This Row],[FALLECIDO SI/NO]]="NO",0,1)</f>
        <v>0</v>
      </c>
      <c r="BV647" s="3">
        <f ca="1">IF(Tabla1[[#This Row],[FALLECIDO_COD]]=0,TODAY()-Tabla1[[#This Row],[FECHA_TRASPLANTE]],Tabla1[[#This Row],[FECHA DE DEFUNCIÓN]]-Tabla1[[#This Row],[FECHA_TRASPLANTE]])</f>
        <v>156</v>
      </c>
      <c r="BW647" s="3">
        <f ca="1">IF(Tabla1[[#This Row],[FALLECIDO_COD]]=0,TODAY()-Tabla1[[#This Row],[FECHA_TRASPLANTE]],Tabla1[[#This Row],[FECHA DE DEFUNCIÓN]]-Tabla1[[#This Row],[FECHA_TRASPLANTE]])/30.4375</f>
        <v>5.1252566735112932</v>
      </c>
      <c r="BX647" s="3">
        <f ca="1">IF(Tabla1[[#This Row],[FALLECIDO_COD]]=0,TODAY()-Tabla1[[#This Row],[FECHA_TRASPLANTE]],Tabla1[[#This Row],[FECHA DE DEFUNCIÓN]]-Tabla1[[#This Row],[FECHA_TRASPLANTE]])/365.25</f>
        <v>0.4271047227926078</v>
      </c>
      <c r="BY647"/>
      <c r="BZ647"/>
    </row>
    <row r="648" spans="1:78" x14ac:dyDescent="0.35">
      <c r="A648" t="s">
        <v>75</v>
      </c>
      <c r="B648" t="s">
        <v>1828</v>
      </c>
      <c r="D648" t="s">
        <v>1129</v>
      </c>
      <c r="E648" t="s">
        <v>375</v>
      </c>
      <c r="G648" t="s">
        <v>200</v>
      </c>
      <c r="H648" s="2">
        <v>32377</v>
      </c>
      <c r="I648">
        <v>36</v>
      </c>
      <c r="J648" t="s">
        <v>746</v>
      </c>
      <c r="K648" t="s">
        <v>2341</v>
      </c>
      <c r="L648" t="s">
        <v>648</v>
      </c>
      <c r="M648" t="s">
        <v>2342</v>
      </c>
      <c r="N648" s="11">
        <v>108490378</v>
      </c>
      <c r="O648" s="16">
        <v>45719</v>
      </c>
      <c r="P648" t="s">
        <v>81</v>
      </c>
      <c r="Q648" s="2">
        <v>26733</v>
      </c>
      <c r="R648" s="3">
        <f>(Tabla1[[#This Row],[FECHA_TRASPLANTE]]-Tabla1[[#This Row],[FECHA_NAC]])/365.25</f>
        <v>51.980835044490078</v>
      </c>
      <c r="S648" t="s">
        <v>910</v>
      </c>
      <c r="U648" t="s">
        <v>2343</v>
      </c>
      <c r="V648" t="s">
        <v>2309</v>
      </c>
      <c r="W648" t="s">
        <v>82</v>
      </c>
      <c r="X648" t="s">
        <v>91</v>
      </c>
      <c r="Y648" t="s">
        <v>176</v>
      </c>
      <c r="Z648" t="s">
        <v>454</v>
      </c>
      <c r="AA648" s="7">
        <v>2.6388888888888889E-2</v>
      </c>
      <c r="AD648" t="s">
        <v>86</v>
      </c>
      <c r="AE648" t="s">
        <v>106</v>
      </c>
      <c r="AF648" t="s">
        <v>375</v>
      </c>
      <c r="AG648" t="s">
        <v>375</v>
      </c>
      <c r="AM648" t="s">
        <v>106</v>
      </c>
      <c r="AO648"/>
      <c r="AQ648" t="s">
        <v>358</v>
      </c>
      <c r="AR648" s="2"/>
      <c r="AS648" s="2"/>
      <c r="AV648" s="2"/>
      <c r="AX648" t="s">
        <v>2344</v>
      </c>
      <c r="AY648" t="s">
        <v>106</v>
      </c>
      <c r="BA648" t="s">
        <v>2340</v>
      </c>
      <c r="BD648" t="s">
        <v>86</v>
      </c>
      <c r="BE648" s="2">
        <v>45728</v>
      </c>
      <c r="BF648" t="s">
        <v>1816</v>
      </c>
      <c r="BG648" s="8" t="s">
        <v>2345</v>
      </c>
      <c r="BH648" t="s">
        <v>86</v>
      </c>
      <c r="BI648" t="s">
        <v>106</v>
      </c>
      <c r="BJ648" s="2"/>
      <c r="BL648" t="s">
        <v>2315</v>
      </c>
      <c r="BO648">
        <v>113640241</v>
      </c>
      <c r="BP648" t="s">
        <v>81</v>
      </c>
      <c r="BQ648" t="s">
        <v>82</v>
      </c>
      <c r="BR648" t="s">
        <v>1854</v>
      </c>
      <c r="BS648" t="s">
        <v>1855</v>
      </c>
      <c r="BT648" s="17">
        <f>Tabla1[[#This Row],[FECHA_TRASPLANTE]]</f>
        <v>45719</v>
      </c>
      <c r="BU648">
        <f>IF(Tabla1[[#This Row],[FALLECIDO SI/NO]]="NO",0,1)</f>
        <v>0</v>
      </c>
      <c r="BV648" s="3">
        <f ca="1">IF(Tabla1[[#This Row],[FALLECIDO_COD]]=0,TODAY()-Tabla1[[#This Row],[FECHA_TRASPLANTE]],Tabla1[[#This Row],[FECHA DE DEFUNCIÓN]]-Tabla1[[#This Row],[FECHA_TRASPLANTE]])</f>
        <v>156</v>
      </c>
      <c r="BW648" s="3">
        <f ca="1">IF(Tabla1[[#This Row],[FALLECIDO_COD]]=0,TODAY()-Tabla1[[#This Row],[FECHA_TRASPLANTE]],Tabla1[[#This Row],[FECHA DE DEFUNCIÓN]]-Tabla1[[#This Row],[FECHA_TRASPLANTE]])/30.4375</f>
        <v>5.1252566735112932</v>
      </c>
      <c r="BX648" s="3">
        <f ca="1">IF(Tabla1[[#This Row],[FALLECIDO_COD]]=0,TODAY()-Tabla1[[#This Row],[FECHA_TRASPLANTE]],Tabla1[[#This Row],[FECHA DE DEFUNCIÓN]]-Tabla1[[#This Row],[FECHA_TRASPLANTE]])/365.25</f>
        <v>0.4271047227926078</v>
      </c>
      <c r="BY648"/>
      <c r="BZ648"/>
    </row>
    <row r="649" spans="1:78" x14ac:dyDescent="0.35">
      <c r="A649" t="s">
        <v>1125</v>
      </c>
      <c r="B649" t="s">
        <v>1125</v>
      </c>
      <c r="D649" t="s">
        <v>1333</v>
      </c>
      <c r="E649" t="s">
        <v>375</v>
      </c>
      <c r="H649" s="2">
        <v>30603</v>
      </c>
      <c r="I649">
        <v>31</v>
      </c>
      <c r="J649" t="s">
        <v>746</v>
      </c>
      <c r="K649" t="s">
        <v>2346</v>
      </c>
      <c r="L649" t="s">
        <v>2347</v>
      </c>
      <c r="M649" t="s">
        <v>2348</v>
      </c>
      <c r="N649" s="11">
        <v>604510079</v>
      </c>
      <c r="O649" s="2">
        <v>45721</v>
      </c>
      <c r="P649" t="s">
        <v>90</v>
      </c>
      <c r="Q649" s="2">
        <v>36196</v>
      </c>
      <c r="R649" s="3">
        <f>(Tabla1[[#This Row],[FECHA_TRASPLANTE]]-Tabla1[[#This Row],[FECHA_NAC]])/365.25</f>
        <v>26.078028747433265</v>
      </c>
      <c r="S649" t="s">
        <v>210</v>
      </c>
      <c r="T649"/>
      <c r="U649" t="s">
        <v>2349</v>
      </c>
      <c r="V649" t="s">
        <v>1824</v>
      </c>
      <c r="W649" t="s">
        <v>82</v>
      </c>
      <c r="X649" t="s">
        <v>83</v>
      </c>
      <c r="Y649" t="s">
        <v>320</v>
      </c>
      <c r="Z649" t="s">
        <v>429</v>
      </c>
      <c r="AA649" s="7">
        <v>4.3749999999999997E-2</v>
      </c>
      <c r="AE649" t="s">
        <v>106</v>
      </c>
      <c r="AF649" t="s">
        <v>375</v>
      </c>
      <c r="AG649" t="s">
        <v>375</v>
      </c>
      <c r="AM649" t="s">
        <v>106</v>
      </c>
      <c r="AO649"/>
      <c r="AQ649" t="s">
        <v>358</v>
      </c>
      <c r="AV649" s="2"/>
      <c r="AY649" t="s">
        <v>106</v>
      </c>
      <c r="BD649" t="s">
        <v>106</v>
      </c>
      <c r="BE649" s="2"/>
      <c r="BH649" t="s">
        <v>106</v>
      </c>
      <c r="BI649" t="s">
        <v>106</v>
      </c>
      <c r="BJ649" s="2"/>
      <c r="BL649" t="s">
        <v>106</v>
      </c>
      <c r="BO649">
        <v>604120324</v>
      </c>
      <c r="BP649" t="s">
        <v>90</v>
      </c>
      <c r="BQ649" t="s">
        <v>82</v>
      </c>
      <c r="BR649" t="s">
        <v>1854</v>
      </c>
      <c r="BS649" t="s">
        <v>1855</v>
      </c>
      <c r="BT649" s="17">
        <f>Tabla1[[#This Row],[FECHA_TRASPLANTE]]</f>
        <v>45721</v>
      </c>
      <c r="BU649">
        <f>IF(Tabla1[[#This Row],[FALLECIDO SI/NO]]="NO",0,1)</f>
        <v>0</v>
      </c>
      <c r="BV649" s="3">
        <f ca="1">IF(Tabla1[[#This Row],[FALLECIDO_COD]]=0,TODAY()-Tabla1[[#This Row],[FECHA_TRASPLANTE]],Tabla1[[#This Row],[FECHA DE DEFUNCIÓN]]-Tabla1[[#This Row],[FECHA_TRASPLANTE]])</f>
        <v>154</v>
      </c>
      <c r="BW649" s="3">
        <f ca="1">IF(Tabla1[[#This Row],[FALLECIDO_COD]]=0,TODAY()-Tabla1[[#This Row],[FECHA_TRASPLANTE]],Tabla1[[#This Row],[FECHA DE DEFUNCIÓN]]-Tabla1[[#This Row],[FECHA_TRASPLANTE]])/30.4375</f>
        <v>5.0595482546201236</v>
      </c>
      <c r="BX649" s="3">
        <f ca="1">IF(Tabla1[[#This Row],[FALLECIDO_COD]]=0,TODAY()-Tabla1[[#This Row],[FECHA_TRASPLANTE]],Tabla1[[#This Row],[FECHA DE DEFUNCIÓN]]-Tabla1[[#This Row],[FECHA_TRASPLANTE]])/365.25</f>
        <v>0.42162902121834361</v>
      </c>
      <c r="BY649"/>
      <c r="BZ649"/>
    </row>
    <row r="650" spans="1:78" x14ac:dyDescent="0.35">
      <c r="A650" t="s">
        <v>75</v>
      </c>
      <c r="B650" t="s">
        <v>1828</v>
      </c>
      <c r="C650" t="s">
        <v>1053</v>
      </c>
      <c r="D650" t="s">
        <v>1129</v>
      </c>
      <c r="E650" t="s">
        <v>77</v>
      </c>
      <c r="F650" t="s">
        <v>2311</v>
      </c>
      <c r="G650" t="s">
        <v>205</v>
      </c>
      <c r="I650">
        <v>65</v>
      </c>
      <c r="N650" s="11">
        <v>105680204</v>
      </c>
      <c r="O650" s="16">
        <v>45722</v>
      </c>
      <c r="P650" t="s">
        <v>81</v>
      </c>
      <c r="Q650" s="2">
        <v>22588</v>
      </c>
      <c r="R650" s="3">
        <f>(Tabla1[[#This Row],[FECHA_TRASPLANTE]]-Tabla1[[#This Row],[FECHA_NAC]])/365.25</f>
        <v>63.337440109514034</v>
      </c>
      <c r="S650" t="s">
        <v>205</v>
      </c>
      <c r="U650" t="s">
        <v>2350</v>
      </c>
      <c r="V650" t="s">
        <v>2309</v>
      </c>
      <c r="W650" t="s">
        <v>82</v>
      </c>
      <c r="X650" t="s">
        <v>91</v>
      </c>
      <c r="Y650" t="s">
        <v>161</v>
      </c>
      <c r="Z650" t="s">
        <v>244</v>
      </c>
      <c r="AA650" s="7">
        <v>0.3347222222222222</v>
      </c>
      <c r="AB650" t="s">
        <v>2310</v>
      </c>
      <c r="AC650" t="s">
        <v>2310</v>
      </c>
      <c r="AD650" t="s">
        <v>86</v>
      </c>
      <c r="AE650" t="s">
        <v>106</v>
      </c>
      <c r="AF650" t="s">
        <v>375</v>
      </c>
      <c r="AG650" t="s">
        <v>375</v>
      </c>
      <c r="AM650" t="s">
        <v>106</v>
      </c>
      <c r="AO650"/>
      <c r="AQ650" t="s">
        <v>358</v>
      </c>
      <c r="AR650" s="2"/>
      <c r="AS650" s="2"/>
      <c r="AV650" s="2"/>
      <c r="AY650" t="s">
        <v>106</v>
      </c>
      <c r="BA650" t="s">
        <v>2340</v>
      </c>
      <c r="BD650" t="s">
        <v>106</v>
      </c>
      <c r="BE650" s="2"/>
      <c r="BH650" t="s">
        <v>106</v>
      </c>
      <c r="BI650" t="s">
        <v>86</v>
      </c>
      <c r="BJ650" s="2">
        <v>45794</v>
      </c>
      <c r="BK650" t="s">
        <v>2351</v>
      </c>
      <c r="BL650" t="s">
        <v>2315</v>
      </c>
      <c r="BT650" s="17">
        <f>Tabla1[[#This Row],[FECHA_TRASPLANTE]]</f>
        <v>45722</v>
      </c>
      <c r="BU650">
        <f>IF(Tabla1[[#This Row],[FALLECIDO SI/NO]]="NO",0,1)</f>
        <v>0</v>
      </c>
      <c r="BV650" s="3">
        <f ca="1">IF(Tabla1[[#This Row],[FALLECIDO_COD]]=0,TODAY()-Tabla1[[#This Row],[FECHA_TRASPLANTE]],Tabla1[[#This Row],[FECHA DE DEFUNCIÓN]]-Tabla1[[#This Row],[FECHA_TRASPLANTE]])</f>
        <v>153</v>
      </c>
      <c r="BW650" s="3">
        <f ca="1">IF(Tabla1[[#This Row],[FALLECIDO_COD]]=0,TODAY()-Tabla1[[#This Row],[FECHA_TRASPLANTE]],Tabla1[[#This Row],[FECHA DE DEFUNCIÓN]]-Tabla1[[#This Row],[FECHA_TRASPLANTE]])/30.4375</f>
        <v>5.0266940451745379</v>
      </c>
      <c r="BX650" s="3">
        <f ca="1">IF(Tabla1[[#This Row],[FALLECIDO_COD]]=0,TODAY()-Tabla1[[#This Row],[FECHA_TRASPLANTE]],Tabla1[[#This Row],[FECHA DE DEFUNCIÓN]]-Tabla1[[#This Row],[FECHA_TRASPLANTE]])/365.25</f>
        <v>0.41889117043121149</v>
      </c>
      <c r="BY650"/>
      <c r="BZ650"/>
    </row>
    <row r="651" spans="1:78" x14ac:dyDescent="0.35">
      <c r="A651" t="s">
        <v>1126</v>
      </c>
      <c r="B651" t="s">
        <v>1126</v>
      </c>
      <c r="D651" t="s">
        <v>1333</v>
      </c>
      <c r="E651" t="s">
        <v>375</v>
      </c>
      <c r="F651" t="s">
        <v>106</v>
      </c>
      <c r="G651" t="s">
        <v>200</v>
      </c>
      <c r="H651" s="2">
        <v>30143</v>
      </c>
      <c r="I651">
        <v>42.663928815879537</v>
      </c>
      <c r="J651" t="s">
        <v>746</v>
      </c>
      <c r="K651" t="s">
        <v>2352</v>
      </c>
      <c r="L651" t="s">
        <v>132</v>
      </c>
      <c r="M651" t="s">
        <v>108</v>
      </c>
      <c r="N651" s="11">
        <v>305450612</v>
      </c>
      <c r="O651" s="2">
        <v>45726</v>
      </c>
      <c r="P651" t="s">
        <v>81</v>
      </c>
      <c r="Q651" s="2">
        <v>37736</v>
      </c>
      <c r="R651" s="3">
        <f>(Tabla1[[#This Row],[FECHA_TRASPLANTE]]-Tabla1[[#This Row],[FECHA_NAC]])/365.25</f>
        <v>21.87542778918549</v>
      </c>
      <c r="S651" t="s">
        <v>200</v>
      </c>
      <c r="U651" t="s">
        <v>2162</v>
      </c>
      <c r="V651" t="s">
        <v>1566</v>
      </c>
      <c r="W651" t="s">
        <v>82</v>
      </c>
      <c r="X651" t="s">
        <v>110</v>
      </c>
      <c r="Y651" t="s">
        <v>2110</v>
      </c>
      <c r="Z651" t="s">
        <v>793</v>
      </c>
      <c r="AA651" s="7">
        <v>4.8611111111111112E-2</v>
      </c>
      <c r="AB651" t="s">
        <v>2353</v>
      </c>
      <c r="AC651" t="s">
        <v>2354</v>
      </c>
      <c r="AD651">
        <v>3</v>
      </c>
      <c r="AE651" t="s">
        <v>106</v>
      </c>
      <c r="AF651" t="s">
        <v>375</v>
      </c>
      <c r="AG651" t="s">
        <v>375</v>
      </c>
      <c r="AM651" t="s">
        <v>106</v>
      </c>
      <c r="AQ651" t="s">
        <v>358</v>
      </c>
      <c r="AR651" s="2"/>
      <c r="AS651" s="2"/>
      <c r="AV651" s="2" t="s">
        <v>762</v>
      </c>
      <c r="AY651" t="s">
        <v>106</v>
      </c>
      <c r="BA651" t="s">
        <v>1812</v>
      </c>
      <c r="BD651" t="s">
        <v>106</v>
      </c>
      <c r="BE651" s="2"/>
      <c r="BH651" t="s">
        <v>106</v>
      </c>
      <c r="BI651" t="s">
        <v>106</v>
      </c>
      <c r="BJ651" s="2"/>
      <c r="BL651" t="s">
        <v>106</v>
      </c>
      <c r="BO651">
        <v>303820216</v>
      </c>
      <c r="BP651" t="s">
        <v>90</v>
      </c>
      <c r="BQ651" t="s">
        <v>82</v>
      </c>
      <c r="BR651" t="s">
        <v>1806</v>
      </c>
      <c r="BS651" t="s">
        <v>1807</v>
      </c>
      <c r="BT651" s="17">
        <f>Tabla1[[#This Row],[FECHA_TRASPLANTE]]</f>
        <v>45726</v>
      </c>
      <c r="BU651">
        <f>IF(Tabla1[[#This Row],[FALLECIDO SI/NO]]="NO",0,1)</f>
        <v>0</v>
      </c>
      <c r="BV651" s="3">
        <f ca="1">IF(Tabla1[[#This Row],[FALLECIDO_COD]]=0,TODAY()-Tabla1[[#This Row],[FECHA_TRASPLANTE]],Tabla1[[#This Row],[FECHA DE DEFUNCIÓN]]-Tabla1[[#This Row],[FECHA_TRASPLANTE]])</f>
        <v>149</v>
      </c>
      <c r="BW651" s="3">
        <f ca="1">IF(Tabla1[[#This Row],[FALLECIDO_COD]]=0,TODAY()-Tabla1[[#This Row],[FECHA_TRASPLANTE]],Tabla1[[#This Row],[FECHA DE DEFUNCIÓN]]-Tabla1[[#This Row],[FECHA_TRASPLANTE]])/30.4375</f>
        <v>4.8952772073921968</v>
      </c>
      <c r="BX651" s="3">
        <f ca="1">IF(Tabla1[[#This Row],[FALLECIDO_COD]]=0,TODAY()-Tabla1[[#This Row],[FECHA_TRASPLANTE]],Tabla1[[#This Row],[FECHA DE DEFUNCIÓN]]-Tabla1[[#This Row],[FECHA_TRASPLANTE]])/365.25</f>
        <v>0.40793976728268311</v>
      </c>
      <c r="BY651"/>
      <c r="BZ651"/>
    </row>
    <row r="652" spans="1:78" x14ac:dyDescent="0.35">
      <c r="A652" t="s">
        <v>377</v>
      </c>
      <c r="D652" t="s">
        <v>1333</v>
      </c>
      <c r="E652" t="s">
        <v>375</v>
      </c>
      <c r="H652" s="2">
        <v>32655</v>
      </c>
      <c r="I652">
        <v>36</v>
      </c>
      <c r="J652" t="s">
        <v>746</v>
      </c>
      <c r="K652" t="s">
        <v>1694</v>
      </c>
      <c r="L652" t="s">
        <v>479</v>
      </c>
      <c r="M652" t="s">
        <v>479</v>
      </c>
      <c r="N652" s="11">
        <v>503480794</v>
      </c>
      <c r="O652" s="2">
        <v>45728</v>
      </c>
      <c r="P652" t="s">
        <v>2305</v>
      </c>
      <c r="Q652" s="2">
        <v>31352</v>
      </c>
      <c r="R652" s="3">
        <f>(Tabla1[[#This Row],[FECHA_TRASPLANTE]]-Tabla1[[#This Row],[FECHA_NAC]])/365.25</f>
        <v>39.359342915811091</v>
      </c>
      <c r="S652" t="s">
        <v>200</v>
      </c>
      <c r="T652"/>
      <c r="W652" t="s">
        <v>82</v>
      </c>
      <c r="X652" t="s">
        <v>125</v>
      </c>
      <c r="Y652" t="s">
        <v>1186</v>
      </c>
      <c r="Z652" t="s">
        <v>1186</v>
      </c>
      <c r="AE652" t="s">
        <v>106</v>
      </c>
      <c r="AF652" t="s">
        <v>375</v>
      </c>
      <c r="AG652" t="s">
        <v>375</v>
      </c>
      <c r="AM652" t="s">
        <v>106</v>
      </c>
      <c r="AQ652" t="s">
        <v>358</v>
      </c>
      <c r="AV652" s="2"/>
      <c r="AY652" t="s">
        <v>106</v>
      </c>
      <c r="BD652" t="s">
        <v>106</v>
      </c>
      <c r="BE652" s="2"/>
      <c r="BH652" t="s">
        <v>106</v>
      </c>
      <c r="BI652" t="s">
        <v>106</v>
      </c>
      <c r="BJ652" s="2"/>
      <c r="BO652">
        <v>503710614</v>
      </c>
      <c r="BP652" t="s">
        <v>90</v>
      </c>
      <c r="BQ652" t="s">
        <v>82</v>
      </c>
      <c r="BR652" t="s">
        <v>2108</v>
      </c>
      <c r="BS652" t="s">
        <v>2109</v>
      </c>
      <c r="BT652" s="17">
        <f>Tabla1[[#This Row],[FECHA_TRASPLANTE]]</f>
        <v>45728</v>
      </c>
      <c r="BU652">
        <f>IF(Tabla1[[#This Row],[FALLECIDO SI/NO]]="NO",0,1)</f>
        <v>0</v>
      </c>
      <c r="BV652" s="3">
        <f ca="1">IF(Tabla1[[#This Row],[FALLECIDO_COD]]=0,TODAY()-Tabla1[[#This Row],[FECHA_TRASPLANTE]],Tabla1[[#This Row],[FECHA DE DEFUNCIÓN]]-Tabla1[[#This Row],[FECHA_TRASPLANTE]])</f>
        <v>147</v>
      </c>
      <c r="BW652" s="3">
        <f ca="1">IF(Tabla1[[#This Row],[FALLECIDO_COD]]=0,TODAY()-Tabla1[[#This Row],[FECHA_TRASPLANTE]],Tabla1[[#This Row],[FECHA DE DEFUNCIÓN]]-Tabla1[[#This Row],[FECHA_TRASPLANTE]])/30.4375</f>
        <v>4.8295687885010263</v>
      </c>
      <c r="BX652" s="3">
        <f ca="1">IF(Tabla1[[#This Row],[FALLECIDO_COD]]=0,TODAY()-Tabla1[[#This Row],[FECHA_TRASPLANTE]],Tabla1[[#This Row],[FECHA DE DEFUNCIÓN]]-Tabla1[[#This Row],[FECHA_TRASPLANTE]])/365.25</f>
        <v>0.40246406570841892</v>
      </c>
      <c r="BY652"/>
      <c r="BZ652"/>
    </row>
    <row r="653" spans="1:78" x14ac:dyDescent="0.35">
      <c r="A653" t="s">
        <v>75</v>
      </c>
      <c r="B653" t="s">
        <v>1828</v>
      </c>
      <c r="C653" t="s">
        <v>2355</v>
      </c>
      <c r="D653" t="s">
        <v>1129</v>
      </c>
      <c r="E653" t="s">
        <v>77</v>
      </c>
      <c r="G653" t="s">
        <v>200</v>
      </c>
      <c r="I653">
        <v>16</v>
      </c>
      <c r="N653" s="11">
        <v>702650642</v>
      </c>
      <c r="O653" s="16">
        <v>45728</v>
      </c>
      <c r="P653" t="s">
        <v>90</v>
      </c>
      <c r="Q653" s="2">
        <v>36160</v>
      </c>
      <c r="R653" s="3">
        <f>(Tabla1[[#This Row],[FECHA_TRASPLANTE]]-Tabla1[[#This Row],[FECHA_NAC]])/365.25</f>
        <v>26.195756331279945</v>
      </c>
      <c r="S653" t="s">
        <v>200</v>
      </c>
      <c r="U653" t="s">
        <v>2350</v>
      </c>
      <c r="V653" t="s">
        <v>2326</v>
      </c>
      <c r="W653" t="s">
        <v>82</v>
      </c>
      <c r="X653" t="s">
        <v>120</v>
      </c>
      <c r="Y653" t="s">
        <v>471</v>
      </c>
      <c r="Z653" t="s">
        <v>2356</v>
      </c>
      <c r="AA653" s="7">
        <v>0.25694444444444442</v>
      </c>
      <c r="AB653" t="s">
        <v>2310</v>
      </c>
      <c r="AC653">
        <v>1.5</v>
      </c>
      <c r="AD653" t="s">
        <v>2311</v>
      </c>
      <c r="AE653" t="s">
        <v>86</v>
      </c>
      <c r="AF653" t="s">
        <v>375</v>
      </c>
      <c r="AG653" t="s">
        <v>375</v>
      </c>
      <c r="AM653" t="s">
        <v>106</v>
      </c>
      <c r="AO653"/>
      <c r="AQ653" t="s">
        <v>358</v>
      </c>
      <c r="AR653" s="2"/>
      <c r="AS653" s="2"/>
      <c r="AV653" s="2"/>
      <c r="AY653" t="s">
        <v>106</v>
      </c>
      <c r="BA653" t="s">
        <v>2340</v>
      </c>
      <c r="BD653" t="s">
        <v>106</v>
      </c>
      <c r="BE653" s="2"/>
      <c r="BH653" t="s">
        <v>106</v>
      </c>
      <c r="BI653" t="s">
        <v>86</v>
      </c>
      <c r="BJ653" s="2">
        <v>45775</v>
      </c>
      <c r="BK653" t="s">
        <v>2357</v>
      </c>
      <c r="BL653" t="s">
        <v>2315</v>
      </c>
      <c r="BT653" s="17">
        <f>Tabla1[[#This Row],[FECHA_TRASPLANTE]]</f>
        <v>45728</v>
      </c>
      <c r="BU653">
        <f>IF(Tabla1[[#This Row],[FALLECIDO SI/NO]]="NO",0,1)</f>
        <v>0</v>
      </c>
      <c r="BV653" s="3">
        <f ca="1">IF(Tabla1[[#This Row],[FALLECIDO_COD]]=0,TODAY()-Tabla1[[#This Row],[FECHA_TRASPLANTE]],Tabla1[[#This Row],[FECHA DE DEFUNCIÓN]]-Tabla1[[#This Row],[FECHA_TRASPLANTE]])</f>
        <v>147</v>
      </c>
      <c r="BW653" s="3">
        <f ca="1">IF(Tabla1[[#This Row],[FALLECIDO_COD]]=0,TODAY()-Tabla1[[#This Row],[FECHA_TRASPLANTE]],Tabla1[[#This Row],[FECHA DE DEFUNCIÓN]]-Tabla1[[#This Row],[FECHA_TRASPLANTE]])/30.4375</f>
        <v>4.8295687885010263</v>
      </c>
      <c r="BX653" s="3">
        <f ca="1">IF(Tabla1[[#This Row],[FALLECIDO_COD]]=0,TODAY()-Tabla1[[#This Row],[FECHA_TRASPLANTE]],Tabla1[[#This Row],[FECHA DE DEFUNCIÓN]]-Tabla1[[#This Row],[FECHA_TRASPLANTE]])/365.25</f>
        <v>0.40246406570841892</v>
      </c>
      <c r="BY653"/>
      <c r="BZ653"/>
    </row>
    <row r="654" spans="1:78" x14ac:dyDescent="0.35">
      <c r="A654" t="s">
        <v>376</v>
      </c>
      <c r="B654" t="s">
        <v>376</v>
      </c>
      <c r="D654" t="s">
        <v>1129</v>
      </c>
      <c r="E654" t="s">
        <v>77</v>
      </c>
      <c r="K654" t="s">
        <v>2358</v>
      </c>
      <c r="L654" t="s">
        <v>2359</v>
      </c>
      <c r="M654" t="s">
        <v>648</v>
      </c>
      <c r="N654" s="11">
        <v>121110752</v>
      </c>
      <c r="O654" s="2">
        <v>45729</v>
      </c>
      <c r="P654" t="s">
        <v>90</v>
      </c>
      <c r="Q654" s="2">
        <v>40624</v>
      </c>
      <c r="R654" s="3">
        <f>(Tabla1[[#This Row],[FECHA_TRASPLANTE]]-Tabla1[[#This Row],[FECHA_NAC]])/365.25</f>
        <v>13.976728268309378</v>
      </c>
      <c r="S654" t="s">
        <v>200</v>
      </c>
      <c r="W654" t="s">
        <v>82</v>
      </c>
      <c r="X654" t="s">
        <v>91</v>
      </c>
      <c r="Y654" t="s">
        <v>152</v>
      </c>
      <c r="Z654" t="s">
        <v>888</v>
      </c>
      <c r="AE654" t="s">
        <v>106</v>
      </c>
      <c r="AF654" t="s">
        <v>375</v>
      </c>
      <c r="AG654" t="s">
        <v>375</v>
      </c>
      <c r="AM654" t="s">
        <v>106</v>
      </c>
      <c r="AQ654" t="s">
        <v>2360</v>
      </c>
      <c r="AV654" s="2">
        <v>45727</v>
      </c>
      <c r="AW654" t="s">
        <v>2361</v>
      </c>
      <c r="AX654" t="s">
        <v>2344</v>
      </c>
      <c r="AY654" t="s">
        <v>106</v>
      </c>
      <c r="BD654" t="s">
        <v>86</v>
      </c>
      <c r="BE654" s="2">
        <v>45727</v>
      </c>
      <c r="BF654" t="s">
        <v>2362</v>
      </c>
      <c r="BH654" t="s">
        <v>106</v>
      </c>
      <c r="BI654" t="s">
        <v>106</v>
      </c>
      <c r="BJ654" s="2"/>
      <c r="BQ654" s="4"/>
      <c r="BR654" s="4"/>
      <c r="BT654" s="17">
        <f>Tabla1[[#This Row],[FECHA_TRASPLANTE]]</f>
        <v>45729</v>
      </c>
      <c r="BU654">
        <f>IF(Tabla1[[#This Row],[FALLECIDO SI/NO]]="NO",0,1)</f>
        <v>0</v>
      </c>
      <c r="BV654" s="3">
        <f ca="1">IF(Tabla1[[#This Row],[FALLECIDO_COD]]=0,TODAY()-Tabla1[[#This Row],[FECHA_TRASPLANTE]],Tabla1[[#This Row],[FECHA DE DEFUNCIÓN]]-Tabla1[[#This Row],[FECHA_TRASPLANTE]])</f>
        <v>146</v>
      </c>
      <c r="BW654" s="3">
        <f ca="1">IF(Tabla1[[#This Row],[FALLECIDO_COD]]=0,TODAY()-Tabla1[[#This Row],[FECHA_TRASPLANTE]],Tabla1[[#This Row],[FECHA DE DEFUNCIÓN]]-Tabla1[[#This Row],[FECHA_TRASPLANTE]])/30.4375</f>
        <v>4.7967145790554415</v>
      </c>
      <c r="BX654" s="3">
        <f ca="1">IF(Tabla1[[#This Row],[FALLECIDO_COD]]=0,TODAY()-Tabla1[[#This Row],[FECHA_TRASPLANTE]],Tabla1[[#This Row],[FECHA DE DEFUNCIÓN]]-Tabla1[[#This Row],[FECHA_TRASPLANTE]])/365.25</f>
        <v>0.39972621492128679</v>
      </c>
      <c r="BY654"/>
      <c r="BZ654"/>
    </row>
    <row r="655" spans="1:78" x14ac:dyDescent="0.35">
      <c r="A655" t="s">
        <v>377</v>
      </c>
      <c r="D655" t="s">
        <v>1333</v>
      </c>
      <c r="E655" t="s">
        <v>375</v>
      </c>
      <c r="H655" s="2">
        <v>37260</v>
      </c>
      <c r="I655">
        <v>23</v>
      </c>
      <c r="J655" t="s">
        <v>746</v>
      </c>
      <c r="K655" t="s">
        <v>87</v>
      </c>
      <c r="L655" t="s">
        <v>717</v>
      </c>
      <c r="M655" t="s">
        <v>224</v>
      </c>
      <c r="N655" s="11">
        <v>204970178</v>
      </c>
      <c r="O655" s="2">
        <v>45735</v>
      </c>
      <c r="P655" t="s">
        <v>90</v>
      </c>
      <c r="Q655" s="2">
        <v>27293</v>
      </c>
      <c r="R655" s="3">
        <f>(Tabla1[[#This Row],[FECHA_TRASPLANTE]]-Tabla1[[#This Row],[FECHA_NAC]])/365.25</f>
        <v>50.491444216290212</v>
      </c>
      <c r="S655" t="s">
        <v>200</v>
      </c>
      <c r="T655"/>
      <c r="W655" t="s">
        <v>82</v>
      </c>
      <c r="X655" t="s">
        <v>2007</v>
      </c>
      <c r="AA655" s="7">
        <v>5.5555555555555552E-2</v>
      </c>
      <c r="AE655" t="s">
        <v>106</v>
      </c>
      <c r="AF655" t="s">
        <v>375</v>
      </c>
      <c r="AG655" t="s">
        <v>375</v>
      </c>
      <c r="AM655" t="s">
        <v>106</v>
      </c>
      <c r="AQ655" t="s">
        <v>358</v>
      </c>
      <c r="AV655" s="2"/>
      <c r="AY655" t="s">
        <v>106</v>
      </c>
      <c r="BD655" t="s">
        <v>106</v>
      </c>
      <c r="BE655" s="2"/>
      <c r="BH655" t="s">
        <v>106</v>
      </c>
      <c r="BI655" t="s">
        <v>86</v>
      </c>
      <c r="BJ655" s="2">
        <v>45746</v>
      </c>
      <c r="BK655" t="s">
        <v>2363</v>
      </c>
      <c r="BO655">
        <v>118320641</v>
      </c>
      <c r="BP655" t="s">
        <v>90</v>
      </c>
      <c r="BQ655" t="s">
        <v>82</v>
      </c>
      <c r="BR655" t="s">
        <v>1806</v>
      </c>
      <c r="BS655" t="s">
        <v>2005</v>
      </c>
      <c r="BT655" s="17">
        <f>Tabla1[[#This Row],[FECHA_TRASPLANTE]]</f>
        <v>45735</v>
      </c>
      <c r="BU655">
        <f>IF(Tabla1[[#This Row],[FALLECIDO SI/NO]]="NO",0,1)</f>
        <v>0</v>
      </c>
      <c r="BV655" s="3">
        <f ca="1">IF(Tabla1[[#This Row],[FALLECIDO_COD]]=0,TODAY()-Tabla1[[#This Row],[FECHA_TRASPLANTE]],Tabla1[[#This Row],[FECHA DE DEFUNCIÓN]]-Tabla1[[#This Row],[FECHA_TRASPLANTE]])</f>
        <v>140</v>
      </c>
      <c r="BW655" s="3">
        <f ca="1">IF(Tabla1[[#This Row],[FALLECIDO_COD]]=0,TODAY()-Tabla1[[#This Row],[FECHA_TRASPLANTE]],Tabla1[[#This Row],[FECHA DE DEFUNCIÓN]]-Tabla1[[#This Row],[FECHA_TRASPLANTE]])/30.4375</f>
        <v>4.59958932238193</v>
      </c>
      <c r="BX655" s="3">
        <f ca="1">IF(Tabla1[[#This Row],[FALLECIDO_COD]]=0,TODAY()-Tabla1[[#This Row],[FECHA_TRASPLANTE]],Tabla1[[#This Row],[FECHA DE DEFUNCIÓN]]-Tabla1[[#This Row],[FECHA_TRASPLANTE]])/365.25</f>
        <v>0.38329911019849416</v>
      </c>
      <c r="BY655"/>
      <c r="BZ655"/>
    </row>
    <row r="656" spans="1:78" x14ac:dyDescent="0.35">
      <c r="A656" t="s">
        <v>1126</v>
      </c>
      <c r="B656" t="s">
        <v>1126</v>
      </c>
      <c r="D656" t="s">
        <v>1333</v>
      </c>
      <c r="E656" t="s">
        <v>77</v>
      </c>
      <c r="F656" t="s">
        <v>86</v>
      </c>
      <c r="I656">
        <v>125.23203285420945</v>
      </c>
      <c r="J656" t="s">
        <v>1820</v>
      </c>
      <c r="N656" s="11">
        <v>303010948</v>
      </c>
      <c r="O656" s="2">
        <v>45741</v>
      </c>
      <c r="P656" t="s">
        <v>1549</v>
      </c>
      <c r="Q656" s="2">
        <v>25323</v>
      </c>
      <c r="R656" s="3">
        <f>(Tabla1[[#This Row],[FECHA_TRASPLANTE]]-Tabla1[[#This Row],[FECHA_NAC]])/365.25</f>
        <v>55.901437371663242</v>
      </c>
      <c r="S656" t="s">
        <v>210</v>
      </c>
      <c r="U656" t="s">
        <v>2066</v>
      </c>
      <c r="V656" t="s">
        <v>1551</v>
      </c>
      <c r="W656" t="s">
        <v>82</v>
      </c>
      <c r="X656" t="s">
        <v>110</v>
      </c>
      <c r="Y656" t="s">
        <v>134</v>
      </c>
      <c r="Z656" t="s">
        <v>134</v>
      </c>
      <c r="AA656" s="7">
        <v>3.4722222222222224E-2</v>
      </c>
      <c r="AB656" s="7">
        <v>1.7361111111111112E-2</v>
      </c>
      <c r="AD656">
        <v>0</v>
      </c>
      <c r="AE656" t="s">
        <v>106</v>
      </c>
      <c r="AF656" t="s">
        <v>375</v>
      </c>
      <c r="AG656" t="s">
        <v>375</v>
      </c>
      <c r="AM656" t="s">
        <v>106</v>
      </c>
      <c r="AQ656" t="s">
        <v>358</v>
      </c>
      <c r="AR656" s="2"/>
      <c r="AS656" s="2"/>
      <c r="AV656" s="2"/>
      <c r="AY656" t="s">
        <v>106</v>
      </c>
      <c r="BA656" t="s">
        <v>1552</v>
      </c>
      <c r="BD656" t="s">
        <v>86</v>
      </c>
      <c r="BE656" s="2">
        <v>45742</v>
      </c>
      <c r="BF656" t="s">
        <v>1816</v>
      </c>
      <c r="BG656" t="s">
        <v>2364</v>
      </c>
      <c r="BH656" t="s">
        <v>86</v>
      </c>
      <c r="BI656" t="s">
        <v>86</v>
      </c>
      <c r="BJ656" s="2">
        <v>45790</v>
      </c>
      <c r="BK656" t="s">
        <v>2357</v>
      </c>
      <c r="BL656" t="s">
        <v>106</v>
      </c>
      <c r="BT656" s="17">
        <f>Tabla1[[#This Row],[FECHA_TRASPLANTE]]</f>
        <v>45741</v>
      </c>
      <c r="BU656">
        <f>IF(Tabla1[[#This Row],[FALLECIDO SI/NO]]="NO",0,1)</f>
        <v>0</v>
      </c>
      <c r="BV656" s="3">
        <f ca="1">IF(Tabla1[[#This Row],[FALLECIDO_COD]]=0,TODAY()-Tabla1[[#This Row],[FECHA_TRASPLANTE]],Tabla1[[#This Row],[FECHA DE DEFUNCIÓN]]-Tabla1[[#This Row],[FECHA_TRASPLANTE]])</f>
        <v>134</v>
      </c>
      <c r="BW656" s="3">
        <f ca="1">IF(Tabla1[[#This Row],[FALLECIDO_COD]]=0,TODAY()-Tabla1[[#This Row],[FECHA_TRASPLANTE]],Tabla1[[#This Row],[FECHA DE DEFUNCIÓN]]-Tabla1[[#This Row],[FECHA_TRASPLANTE]])/30.4375</f>
        <v>4.4024640657084193</v>
      </c>
      <c r="BX656" s="3">
        <f ca="1">IF(Tabla1[[#This Row],[FALLECIDO_COD]]=0,TODAY()-Tabla1[[#This Row],[FECHA_TRASPLANTE]],Tabla1[[#This Row],[FECHA DE DEFUNCIÓN]]-Tabla1[[#This Row],[FECHA_TRASPLANTE]])/365.25</f>
        <v>0.36687200547570159</v>
      </c>
      <c r="BY656"/>
      <c r="BZ656"/>
    </row>
    <row r="657" spans="1:78" x14ac:dyDescent="0.35">
      <c r="A657" t="s">
        <v>377</v>
      </c>
      <c r="E657" t="s">
        <v>77</v>
      </c>
      <c r="J657" t="s">
        <v>2099</v>
      </c>
      <c r="K657" t="s">
        <v>2365</v>
      </c>
      <c r="N657" s="11">
        <v>401310866</v>
      </c>
      <c r="O657" s="2">
        <v>45741</v>
      </c>
      <c r="P657" t="s">
        <v>81</v>
      </c>
      <c r="Q657" s="2">
        <v>23025</v>
      </c>
      <c r="R657" s="3">
        <f>(Tabla1[[#This Row],[FECHA_TRASPLANTE]]-Tabla1[[#This Row],[FECHA_NAC]])/365.25</f>
        <v>62.19301848049281</v>
      </c>
      <c r="S657" t="s">
        <v>210</v>
      </c>
      <c r="T657"/>
      <c r="W657" t="s">
        <v>82</v>
      </c>
      <c r="X657" t="s">
        <v>2366</v>
      </c>
      <c r="AE657" t="s">
        <v>106</v>
      </c>
      <c r="AF657" t="s">
        <v>375</v>
      </c>
      <c r="AG657" t="s">
        <v>375</v>
      </c>
      <c r="AM657" t="s">
        <v>106</v>
      </c>
      <c r="AQ657" t="s">
        <v>358</v>
      </c>
      <c r="AV657" s="2"/>
      <c r="AY657" t="s">
        <v>106</v>
      </c>
      <c r="BD657" t="s">
        <v>106</v>
      </c>
      <c r="BE657" s="2"/>
      <c r="BH657" t="s">
        <v>106</v>
      </c>
      <c r="BI657" t="s">
        <v>106</v>
      </c>
      <c r="BJ657" s="2"/>
      <c r="BT657" s="17">
        <f>Tabla1[[#This Row],[FECHA_TRASPLANTE]]</f>
        <v>45741</v>
      </c>
      <c r="BU657">
        <f>IF(Tabla1[[#This Row],[FALLECIDO SI/NO]]="NO",0,1)</f>
        <v>0</v>
      </c>
      <c r="BV657" s="3">
        <f ca="1">IF(Tabla1[[#This Row],[FALLECIDO_COD]]=0,TODAY()-Tabla1[[#This Row],[FECHA_TRASPLANTE]],Tabla1[[#This Row],[FECHA DE DEFUNCIÓN]]-Tabla1[[#This Row],[FECHA_TRASPLANTE]])</f>
        <v>134</v>
      </c>
      <c r="BW657" s="3">
        <f ca="1">IF(Tabla1[[#This Row],[FALLECIDO_COD]]=0,TODAY()-Tabla1[[#This Row],[FECHA_TRASPLANTE]],Tabla1[[#This Row],[FECHA DE DEFUNCIÓN]]-Tabla1[[#This Row],[FECHA_TRASPLANTE]])/30.4375</f>
        <v>4.4024640657084193</v>
      </c>
      <c r="BX657" s="3">
        <f ca="1">IF(Tabla1[[#This Row],[FALLECIDO_COD]]=0,TODAY()-Tabla1[[#This Row],[FECHA_TRASPLANTE]],Tabla1[[#This Row],[FECHA DE DEFUNCIÓN]]-Tabla1[[#This Row],[FECHA_TRASPLANTE]])/365.25</f>
        <v>0.36687200547570159</v>
      </c>
      <c r="BY657"/>
      <c r="BZ657"/>
    </row>
    <row r="658" spans="1:78" x14ac:dyDescent="0.35">
      <c r="A658" t="s">
        <v>1125</v>
      </c>
      <c r="B658" t="s">
        <v>1125</v>
      </c>
      <c r="D658" t="s">
        <v>1129</v>
      </c>
      <c r="E658" t="s">
        <v>77</v>
      </c>
      <c r="N658" s="11">
        <v>112890128</v>
      </c>
      <c r="O658" s="2">
        <v>45743</v>
      </c>
      <c r="P658" t="s">
        <v>90</v>
      </c>
      <c r="Q658" s="2">
        <v>31649</v>
      </c>
      <c r="R658" s="3">
        <f>(Tabla1[[#This Row],[FECHA_TRASPLANTE]]-Tabla1[[#This Row],[FECHA_NAC]])/365.25</f>
        <v>38.587268993839835</v>
      </c>
      <c r="S658" t="s">
        <v>344</v>
      </c>
      <c r="T658"/>
      <c r="U658" t="s">
        <v>2367</v>
      </c>
      <c r="V658" t="s">
        <v>1824</v>
      </c>
      <c r="W658" t="s">
        <v>82</v>
      </c>
      <c r="X658" t="s">
        <v>91</v>
      </c>
      <c r="Y658" t="s">
        <v>580</v>
      </c>
      <c r="Z658" t="s">
        <v>454</v>
      </c>
      <c r="AA658" s="7">
        <v>0.33124999999999999</v>
      </c>
      <c r="AE658" t="s">
        <v>106</v>
      </c>
      <c r="AF658" t="s">
        <v>375</v>
      </c>
      <c r="AG658" t="s">
        <v>375</v>
      </c>
      <c r="AM658" t="s">
        <v>106</v>
      </c>
      <c r="AO658"/>
      <c r="AQ658" t="s">
        <v>358</v>
      </c>
      <c r="AV658" s="2"/>
      <c r="AY658" t="s">
        <v>106</v>
      </c>
      <c r="BD658" t="s">
        <v>106</v>
      </c>
      <c r="BE658" s="2"/>
      <c r="BH658" t="s">
        <v>106</v>
      </c>
      <c r="BI658" t="s">
        <v>106</v>
      </c>
      <c r="BJ658" s="2"/>
      <c r="BT658" s="17">
        <f>Tabla1[[#This Row],[FECHA_TRASPLANTE]]</f>
        <v>45743</v>
      </c>
      <c r="BU658">
        <f>IF(Tabla1[[#This Row],[FALLECIDO SI/NO]]="NO",0,1)</f>
        <v>0</v>
      </c>
      <c r="BV658" s="3">
        <f ca="1">IF(Tabla1[[#This Row],[FALLECIDO_COD]]=0,TODAY()-Tabla1[[#This Row],[FECHA_TRASPLANTE]],Tabla1[[#This Row],[FECHA DE DEFUNCIÓN]]-Tabla1[[#This Row],[FECHA_TRASPLANTE]])</f>
        <v>132</v>
      </c>
      <c r="BW658" s="3">
        <f ca="1">IF(Tabla1[[#This Row],[FALLECIDO_COD]]=0,TODAY()-Tabla1[[#This Row],[FECHA_TRASPLANTE]],Tabla1[[#This Row],[FECHA DE DEFUNCIÓN]]-Tabla1[[#This Row],[FECHA_TRASPLANTE]])/30.4375</f>
        <v>4.3367556468172488</v>
      </c>
      <c r="BX658" s="3">
        <f ca="1">IF(Tabla1[[#This Row],[FALLECIDO_COD]]=0,TODAY()-Tabla1[[#This Row],[FECHA_TRASPLANTE]],Tabla1[[#This Row],[FECHA DE DEFUNCIÓN]]-Tabla1[[#This Row],[FECHA_TRASPLANTE]])/365.25</f>
        <v>0.3613963039014374</v>
      </c>
      <c r="BY658"/>
      <c r="BZ658"/>
    </row>
    <row r="659" spans="1:78" x14ac:dyDescent="0.35">
      <c r="A659" t="s">
        <v>376</v>
      </c>
      <c r="B659" t="s">
        <v>376</v>
      </c>
      <c r="D659" t="s">
        <v>1333</v>
      </c>
      <c r="E659" t="s">
        <v>375</v>
      </c>
      <c r="G659" t="s">
        <v>200</v>
      </c>
      <c r="H659" s="2">
        <v>33853</v>
      </c>
      <c r="I659">
        <v>32</v>
      </c>
      <c r="J659" t="s">
        <v>746</v>
      </c>
      <c r="K659" t="s">
        <v>2368</v>
      </c>
      <c r="L659" t="s">
        <v>203</v>
      </c>
      <c r="M659" t="s">
        <v>239</v>
      </c>
      <c r="N659" s="11">
        <v>305980621</v>
      </c>
      <c r="O659" s="2">
        <v>45743</v>
      </c>
      <c r="P659" t="s">
        <v>90</v>
      </c>
      <c r="Q659" s="2">
        <v>40630</v>
      </c>
      <c r="R659" s="3">
        <f>(Tabla1[[#This Row],[FECHA_TRASPLANTE]]-Tabla1[[#This Row],[FECHA_NAC]])/365.25</f>
        <v>13.998631074606434</v>
      </c>
      <c r="S659" t="s">
        <v>200</v>
      </c>
      <c r="T659" s="2">
        <v>45658</v>
      </c>
      <c r="W659" t="s">
        <v>82</v>
      </c>
      <c r="X659" t="s">
        <v>110</v>
      </c>
      <c r="Y659" t="s">
        <v>110</v>
      </c>
      <c r="Z659" t="s">
        <v>867</v>
      </c>
      <c r="AA659" s="7">
        <v>8.6805555555555552E-2</v>
      </c>
      <c r="AE659" t="s">
        <v>106</v>
      </c>
      <c r="AF659" t="s">
        <v>375</v>
      </c>
      <c r="AG659" t="s">
        <v>375</v>
      </c>
      <c r="AM659" t="s">
        <v>106</v>
      </c>
      <c r="AQ659" t="s">
        <v>358</v>
      </c>
      <c r="AV659" s="2"/>
      <c r="AY659" t="s">
        <v>106</v>
      </c>
      <c r="BD659" t="s">
        <v>86</v>
      </c>
      <c r="BE659" s="2"/>
      <c r="BF659" t="s">
        <v>1905</v>
      </c>
      <c r="BG659" t="s">
        <v>2369</v>
      </c>
      <c r="BH659" t="s">
        <v>106</v>
      </c>
      <c r="BI659" t="s">
        <v>86</v>
      </c>
      <c r="BJ659" s="2">
        <v>45796</v>
      </c>
      <c r="BK659" t="s">
        <v>2363</v>
      </c>
      <c r="BO659">
        <v>304640699</v>
      </c>
      <c r="BP659" t="s">
        <v>90</v>
      </c>
      <c r="BQ659" s="4" t="s">
        <v>82</v>
      </c>
      <c r="BR659" t="s">
        <v>1806</v>
      </c>
      <c r="BS659" t="s">
        <v>1807</v>
      </c>
      <c r="BT659" s="17">
        <f>Tabla1[[#This Row],[FECHA_TRASPLANTE]]</f>
        <v>45743</v>
      </c>
      <c r="BU659">
        <f>IF(Tabla1[[#This Row],[FALLECIDO SI/NO]]="NO",0,1)</f>
        <v>0</v>
      </c>
      <c r="BV659" s="3">
        <f ca="1">IF(Tabla1[[#This Row],[FALLECIDO_COD]]=0,TODAY()-Tabla1[[#This Row],[FECHA_TRASPLANTE]],Tabla1[[#This Row],[FECHA DE DEFUNCIÓN]]-Tabla1[[#This Row],[FECHA_TRASPLANTE]])</f>
        <v>132</v>
      </c>
      <c r="BW659" s="3">
        <f ca="1">IF(Tabla1[[#This Row],[FALLECIDO_COD]]=0,TODAY()-Tabla1[[#This Row],[FECHA_TRASPLANTE]],Tabla1[[#This Row],[FECHA DE DEFUNCIÓN]]-Tabla1[[#This Row],[FECHA_TRASPLANTE]])/30.4375</f>
        <v>4.3367556468172488</v>
      </c>
      <c r="BX659" s="3">
        <f ca="1">IF(Tabla1[[#This Row],[FALLECIDO_COD]]=0,TODAY()-Tabla1[[#This Row],[FECHA_TRASPLANTE]],Tabla1[[#This Row],[FECHA DE DEFUNCIÓN]]-Tabla1[[#This Row],[FECHA_TRASPLANTE]])/365.25</f>
        <v>0.3613963039014374</v>
      </c>
      <c r="BY659"/>
      <c r="BZ659"/>
    </row>
    <row r="660" spans="1:78" x14ac:dyDescent="0.35">
      <c r="A660" t="s">
        <v>377</v>
      </c>
      <c r="B660" t="s">
        <v>2249</v>
      </c>
      <c r="E660" t="s">
        <v>77</v>
      </c>
      <c r="J660" t="s">
        <v>2370</v>
      </c>
      <c r="K660" t="s">
        <v>2371</v>
      </c>
      <c r="N660" s="11">
        <v>504210478</v>
      </c>
      <c r="O660" s="2">
        <v>45743</v>
      </c>
      <c r="P660" t="s">
        <v>90</v>
      </c>
      <c r="Q660" s="2">
        <v>35900</v>
      </c>
      <c r="R660" s="3">
        <f>(Tabla1[[#This Row],[FECHA_TRASPLANTE]]-Tabla1[[#This Row],[FECHA_NAC]])/365.25</f>
        <v>26.948665297741272</v>
      </c>
      <c r="S660" t="s">
        <v>205</v>
      </c>
      <c r="T660"/>
      <c r="W660" t="s">
        <v>82</v>
      </c>
      <c r="X660" t="s">
        <v>2077</v>
      </c>
      <c r="AA660" s="7">
        <v>0.33333333333333331</v>
      </c>
      <c r="AE660" t="s">
        <v>106</v>
      </c>
      <c r="AF660" t="s">
        <v>375</v>
      </c>
      <c r="AG660" t="s">
        <v>375</v>
      </c>
      <c r="AM660" t="s">
        <v>106</v>
      </c>
      <c r="AQ660" t="s">
        <v>358</v>
      </c>
      <c r="AV660" s="2"/>
      <c r="AY660" t="s">
        <v>106</v>
      </c>
      <c r="BD660" t="s">
        <v>106</v>
      </c>
      <c r="BE660" s="2"/>
      <c r="BH660" t="s">
        <v>106</v>
      </c>
      <c r="BI660" t="s">
        <v>106</v>
      </c>
      <c r="BJ660" s="2"/>
      <c r="BT660" s="17">
        <f>Tabla1[[#This Row],[FECHA_TRASPLANTE]]</f>
        <v>45743</v>
      </c>
      <c r="BU660">
        <f>IF(Tabla1[[#This Row],[FALLECIDO SI/NO]]="NO",0,1)</f>
        <v>0</v>
      </c>
      <c r="BV660" s="3">
        <f ca="1">IF(Tabla1[[#This Row],[FALLECIDO_COD]]=0,TODAY()-Tabla1[[#This Row],[FECHA_TRASPLANTE]],Tabla1[[#This Row],[FECHA DE DEFUNCIÓN]]-Tabla1[[#This Row],[FECHA_TRASPLANTE]])</f>
        <v>132</v>
      </c>
      <c r="BW660" s="3">
        <f ca="1">IF(Tabla1[[#This Row],[FALLECIDO_COD]]=0,TODAY()-Tabla1[[#This Row],[FECHA_TRASPLANTE]],Tabla1[[#This Row],[FECHA DE DEFUNCIÓN]]-Tabla1[[#This Row],[FECHA_TRASPLANTE]])/30.4375</f>
        <v>4.3367556468172488</v>
      </c>
      <c r="BX660" s="3">
        <f ca="1">IF(Tabla1[[#This Row],[FALLECIDO_COD]]=0,TODAY()-Tabla1[[#This Row],[FECHA_TRASPLANTE]],Tabla1[[#This Row],[FECHA DE DEFUNCIÓN]]-Tabla1[[#This Row],[FECHA_TRASPLANTE]])/365.25</f>
        <v>0.3613963039014374</v>
      </c>
      <c r="BY660"/>
      <c r="BZ660"/>
    </row>
    <row r="661" spans="1:78" x14ac:dyDescent="0.35">
      <c r="A661" t="s">
        <v>1125</v>
      </c>
      <c r="B661" t="s">
        <v>1125</v>
      </c>
      <c r="D661" t="s">
        <v>1129</v>
      </c>
      <c r="E661" t="s">
        <v>77</v>
      </c>
      <c r="N661" s="11">
        <v>105230740</v>
      </c>
      <c r="O661" s="2">
        <v>45745</v>
      </c>
      <c r="P661" t="s">
        <v>81</v>
      </c>
      <c r="Q661" s="2">
        <v>21922</v>
      </c>
      <c r="R661" s="3">
        <f>(Tabla1[[#This Row],[FECHA_TRASPLANTE]]-Tabla1[[#This Row],[FECHA_NAC]])/365.25</f>
        <v>65.223819301848053</v>
      </c>
      <c r="S661" t="s">
        <v>210</v>
      </c>
      <c r="T661"/>
      <c r="U661" t="s">
        <v>2184</v>
      </c>
      <c r="V661" t="s">
        <v>1838</v>
      </c>
      <c r="W661" t="s">
        <v>82</v>
      </c>
      <c r="X661" t="s">
        <v>91</v>
      </c>
      <c r="Y661" t="s">
        <v>498</v>
      </c>
      <c r="Z661" t="s">
        <v>2372</v>
      </c>
      <c r="AA661" s="7">
        <v>0.26319444444444445</v>
      </c>
      <c r="AE661" t="s">
        <v>86</v>
      </c>
      <c r="AF661" t="s">
        <v>375</v>
      </c>
      <c r="AG661" t="s">
        <v>375</v>
      </c>
      <c r="AM661" t="s">
        <v>106</v>
      </c>
      <c r="AO661"/>
      <c r="AQ661" t="s">
        <v>358</v>
      </c>
      <c r="AV661" s="2"/>
      <c r="AY661" t="s">
        <v>106</v>
      </c>
      <c r="BD661" t="s">
        <v>106</v>
      </c>
      <c r="BE661" s="2"/>
      <c r="BH661" t="s">
        <v>106</v>
      </c>
      <c r="BI661" t="s">
        <v>106</v>
      </c>
      <c r="BJ661" s="2"/>
      <c r="BT661" s="17">
        <f>Tabla1[[#This Row],[FECHA_TRASPLANTE]]</f>
        <v>45745</v>
      </c>
      <c r="BU661">
        <f>IF(Tabla1[[#This Row],[FALLECIDO SI/NO]]="NO",0,1)</f>
        <v>0</v>
      </c>
      <c r="BV661" s="3">
        <f ca="1">IF(Tabla1[[#This Row],[FALLECIDO_COD]]=0,TODAY()-Tabla1[[#This Row],[FECHA_TRASPLANTE]],Tabla1[[#This Row],[FECHA DE DEFUNCIÓN]]-Tabla1[[#This Row],[FECHA_TRASPLANTE]])</f>
        <v>130</v>
      </c>
      <c r="BW661" s="3">
        <f ca="1">IF(Tabla1[[#This Row],[FALLECIDO_COD]]=0,TODAY()-Tabla1[[#This Row],[FECHA_TRASPLANTE]],Tabla1[[#This Row],[FECHA DE DEFUNCIÓN]]-Tabla1[[#This Row],[FECHA_TRASPLANTE]])/30.4375</f>
        <v>4.2710472279260783</v>
      </c>
      <c r="BX661" s="3">
        <f ca="1">IF(Tabla1[[#This Row],[FALLECIDO_COD]]=0,TODAY()-Tabla1[[#This Row],[FECHA_TRASPLANTE]],Tabla1[[#This Row],[FECHA DE DEFUNCIÓN]]-Tabla1[[#This Row],[FECHA_TRASPLANTE]])/365.25</f>
        <v>0.35592060232717315</v>
      </c>
      <c r="BY661"/>
      <c r="BZ661"/>
    </row>
    <row r="662" spans="1:78" x14ac:dyDescent="0.35">
      <c r="A662" t="s">
        <v>377</v>
      </c>
      <c r="E662" t="s">
        <v>77</v>
      </c>
      <c r="J662" t="s">
        <v>2099</v>
      </c>
      <c r="K662" t="s">
        <v>2373</v>
      </c>
      <c r="N662" s="11">
        <v>206540260</v>
      </c>
      <c r="O662" s="2">
        <v>45745</v>
      </c>
      <c r="P662" t="s">
        <v>2319</v>
      </c>
      <c r="Q662" s="2">
        <v>32487</v>
      </c>
      <c r="R662" s="3">
        <f>(Tabla1[[#This Row],[FECHA_TRASPLANTE]]-Tabla1[[#This Row],[FECHA_NAC]])/365.25</f>
        <v>36.298425735797402</v>
      </c>
      <c r="T662"/>
      <c r="W662" t="s">
        <v>82</v>
      </c>
      <c r="X662" t="s">
        <v>2374</v>
      </c>
      <c r="AE662" t="s">
        <v>106</v>
      </c>
      <c r="AF662" t="s">
        <v>375</v>
      </c>
      <c r="AG662" t="s">
        <v>375</v>
      </c>
      <c r="AM662" t="s">
        <v>106</v>
      </c>
      <c r="AQ662" t="s">
        <v>358</v>
      </c>
      <c r="AV662" s="2"/>
      <c r="AY662" t="s">
        <v>106</v>
      </c>
      <c r="BD662" t="s">
        <v>106</v>
      </c>
      <c r="BE662" s="2"/>
      <c r="BH662" t="s">
        <v>106</v>
      </c>
      <c r="BI662" t="s">
        <v>106</v>
      </c>
      <c r="BJ662" s="2"/>
      <c r="BT662" s="17">
        <f>Tabla1[[#This Row],[FECHA_TRASPLANTE]]</f>
        <v>45745</v>
      </c>
      <c r="BU662">
        <f>IF(Tabla1[[#This Row],[FALLECIDO SI/NO]]="NO",0,1)</f>
        <v>0</v>
      </c>
      <c r="BV662" s="3">
        <f ca="1">IF(Tabla1[[#This Row],[FALLECIDO_COD]]=0,TODAY()-Tabla1[[#This Row],[FECHA_TRASPLANTE]],Tabla1[[#This Row],[FECHA DE DEFUNCIÓN]]-Tabla1[[#This Row],[FECHA_TRASPLANTE]])</f>
        <v>130</v>
      </c>
      <c r="BW662" s="3">
        <f ca="1">IF(Tabla1[[#This Row],[FALLECIDO_COD]]=0,TODAY()-Tabla1[[#This Row],[FECHA_TRASPLANTE]],Tabla1[[#This Row],[FECHA DE DEFUNCIÓN]]-Tabla1[[#This Row],[FECHA_TRASPLANTE]])/30.4375</f>
        <v>4.2710472279260783</v>
      </c>
      <c r="BX662" s="3">
        <f ca="1">IF(Tabla1[[#This Row],[FALLECIDO_COD]]=0,TODAY()-Tabla1[[#This Row],[FECHA_TRASPLANTE]],Tabla1[[#This Row],[FECHA DE DEFUNCIÓN]]-Tabla1[[#This Row],[FECHA_TRASPLANTE]])/365.25</f>
        <v>0.35592060232717315</v>
      </c>
      <c r="BY662"/>
      <c r="BZ662"/>
    </row>
    <row r="663" spans="1:78" x14ac:dyDescent="0.35">
      <c r="A663" t="s">
        <v>377</v>
      </c>
      <c r="E663" t="s">
        <v>77</v>
      </c>
      <c r="J663" t="s">
        <v>2370</v>
      </c>
      <c r="K663" t="s">
        <v>2375</v>
      </c>
      <c r="N663" s="11">
        <v>207810393</v>
      </c>
      <c r="O663" s="2">
        <v>45747</v>
      </c>
      <c r="P663" t="s">
        <v>2319</v>
      </c>
      <c r="Q663" s="2">
        <v>35965</v>
      </c>
      <c r="R663" s="3">
        <f>(Tabla1[[#This Row],[FECHA_TRASPLANTE]]-Tabla1[[#This Row],[FECHA_NAC]])/365.25</f>
        <v>26.781656399726216</v>
      </c>
      <c r="T663"/>
      <c r="W663" t="s">
        <v>82</v>
      </c>
      <c r="X663" t="s">
        <v>2376</v>
      </c>
      <c r="AE663" t="s">
        <v>86</v>
      </c>
      <c r="AF663" t="s">
        <v>375</v>
      </c>
      <c r="AG663" t="s">
        <v>375</v>
      </c>
      <c r="AM663" t="s">
        <v>106</v>
      </c>
      <c r="AQ663" t="s">
        <v>358</v>
      </c>
      <c r="AV663" s="2"/>
      <c r="AY663" t="s">
        <v>106</v>
      </c>
      <c r="BD663" t="s">
        <v>86</v>
      </c>
      <c r="BE663" s="2">
        <v>45750</v>
      </c>
      <c r="BF663" t="s">
        <v>1816</v>
      </c>
      <c r="BG663" t="s">
        <v>2377</v>
      </c>
      <c r="BH663" t="s">
        <v>86</v>
      </c>
      <c r="BI663" t="s">
        <v>106</v>
      </c>
      <c r="BJ663" s="2"/>
      <c r="BT663" s="17">
        <f>Tabla1[[#This Row],[FECHA_TRASPLANTE]]</f>
        <v>45747</v>
      </c>
      <c r="BU663">
        <f>IF(Tabla1[[#This Row],[FALLECIDO SI/NO]]="NO",0,1)</f>
        <v>0</v>
      </c>
      <c r="BV663" s="3">
        <f ca="1">IF(Tabla1[[#This Row],[FALLECIDO_COD]]=0,TODAY()-Tabla1[[#This Row],[FECHA_TRASPLANTE]],Tabla1[[#This Row],[FECHA DE DEFUNCIÓN]]-Tabla1[[#This Row],[FECHA_TRASPLANTE]])</f>
        <v>128</v>
      </c>
      <c r="BW663" s="3">
        <f ca="1">IF(Tabla1[[#This Row],[FALLECIDO_COD]]=0,TODAY()-Tabla1[[#This Row],[FECHA_TRASPLANTE]],Tabla1[[#This Row],[FECHA DE DEFUNCIÓN]]-Tabla1[[#This Row],[FECHA_TRASPLANTE]])/30.4375</f>
        <v>4.2053388090349078</v>
      </c>
      <c r="BX663" s="3">
        <f ca="1">IF(Tabla1[[#This Row],[FALLECIDO_COD]]=0,TODAY()-Tabla1[[#This Row],[FECHA_TRASPLANTE]],Tabla1[[#This Row],[FECHA DE DEFUNCIÓN]]-Tabla1[[#This Row],[FECHA_TRASPLANTE]])/365.25</f>
        <v>0.35044490075290896</v>
      </c>
      <c r="BY663"/>
      <c r="BZ663"/>
    </row>
    <row r="664" spans="1:78" x14ac:dyDescent="0.35">
      <c r="A664" t="s">
        <v>75</v>
      </c>
      <c r="B664" t="s">
        <v>1828</v>
      </c>
      <c r="C664" t="s">
        <v>2378</v>
      </c>
      <c r="D664" t="s">
        <v>1129</v>
      </c>
      <c r="E664" t="s">
        <v>77</v>
      </c>
      <c r="G664" t="s">
        <v>200</v>
      </c>
      <c r="I664">
        <v>35</v>
      </c>
      <c r="N664" s="11">
        <v>106890743</v>
      </c>
      <c r="O664" s="16">
        <v>45747</v>
      </c>
      <c r="P664" t="s">
        <v>81</v>
      </c>
      <c r="Q664" s="2">
        <v>24483</v>
      </c>
      <c r="R664" s="3">
        <f>(Tabla1[[#This Row],[FECHA_TRASPLANTE]]-Tabla1[[#This Row],[FECHA_NAC]])/365.25</f>
        <v>58.217659137577002</v>
      </c>
      <c r="S664" t="s">
        <v>200</v>
      </c>
      <c r="U664" t="s">
        <v>2379</v>
      </c>
      <c r="V664" t="s">
        <v>2309</v>
      </c>
      <c r="W664" t="s">
        <v>82</v>
      </c>
      <c r="X664" t="s">
        <v>91</v>
      </c>
      <c r="Y664" t="s">
        <v>157</v>
      </c>
      <c r="Z664" t="s">
        <v>1839</v>
      </c>
      <c r="AA664" t="s">
        <v>2310</v>
      </c>
      <c r="AB664" t="s">
        <v>2310</v>
      </c>
      <c r="AC664">
        <v>7.2</v>
      </c>
      <c r="AD664" t="s">
        <v>2311</v>
      </c>
      <c r="AE664" t="s">
        <v>106</v>
      </c>
      <c r="AF664" t="s">
        <v>375</v>
      </c>
      <c r="AG664" t="s">
        <v>375</v>
      </c>
      <c r="AM664" t="s">
        <v>106</v>
      </c>
      <c r="AO664"/>
      <c r="AQ664" t="s">
        <v>358</v>
      </c>
      <c r="AR664" s="2"/>
      <c r="AS664" s="2"/>
      <c r="AV664" s="2"/>
      <c r="AY664" t="s">
        <v>106</v>
      </c>
      <c r="BA664" t="s">
        <v>2314</v>
      </c>
      <c r="BD664" t="s">
        <v>106</v>
      </c>
      <c r="BE664" s="2"/>
      <c r="BH664" t="s">
        <v>106</v>
      </c>
      <c r="BI664" t="s">
        <v>106</v>
      </c>
      <c r="BJ664" s="2"/>
      <c r="BL664" t="s">
        <v>2315</v>
      </c>
      <c r="BT664" s="17">
        <f>Tabla1[[#This Row],[FECHA_TRASPLANTE]]</f>
        <v>45747</v>
      </c>
      <c r="BU664">
        <f>IF(Tabla1[[#This Row],[FALLECIDO SI/NO]]="NO",0,1)</f>
        <v>0</v>
      </c>
      <c r="BV664" s="3">
        <f ca="1">IF(Tabla1[[#This Row],[FALLECIDO_COD]]=0,TODAY()-Tabla1[[#This Row],[FECHA_TRASPLANTE]],Tabla1[[#This Row],[FECHA DE DEFUNCIÓN]]-Tabla1[[#This Row],[FECHA_TRASPLANTE]])</f>
        <v>128</v>
      </c>
      <c r="BW664" s="3">
        <f ca="1">IF(Tabla1[[#This Row],[FALLECIDO_COD]]=0,TODAY()-Tabla1[[#This Row],[FECHA_TRASPLANTE]],Tabla1[[#This Row],[FECHA DE DEFUNCIÓN]]-Tabla1[[#This Row],[FECHA_TRASPLANTE]])/30.4375</f>
        <v>4.2053388090349078</v>
      </c>
      <c r="BX664" s="3">
        <f ca="1">IF(Tabla1[[#This Row],[FALLECIDO_COD]]=0,TODAY()-Tabla1[[#This Row],[FECHA_TRASPLANTE]],Tabla1[[#This Row],[FECHA DE DEFUNCIÓN]]-Tabla1[[#This Row],[FECHA_TRASPLANTE]])/365.25</f>
        <v>0.35044490075290896</v>
      </c>
      <c r="BY664"/>
      <c r="BZ664"/>
    </row>
    <row r="665" spans="1:78" x14ac:dyDescent="0.35">
      <c r="A665" t="s">
        <v>1125</v>
      </c>
      <c r="B665" t="s">
        <v>1125</v>
      </c>
      <c r="D665" t="s">
        <v>1129</v>
      </c>
      <c r="E665" t="s">
        <v>77</v>
      </c>
      <c r="N665" s="11">
        <v>18512035</v>
      </c>
      <c r="O665" s="2">
        <v>45748</v>
      </c>
      <c r="P665" t="s">
        <v>81</v>
      </c>
      <c r="Q665" s="2">
        <v>31175</v>
      </c>
      <c r="R665" s="3">
        <f>(Tabla1[[#This Row],[FECHA_TRASPLANTE]]-Tabla1[[#This Row],[FECHA_NAC]])/365.25</f>
        <v>39.898699520876114</v>
      </c>
      <c r="S665" t="s">
        <v>200</v>
      </c>
      <c r="T665"/>
      <c r="U665" t="s">
        <v>2380</v>
      </c>
      <c r="V665" t="s">
        <v>1838</v>
      </c>
      <c r="W665" t="s">
        <v>146</v>
      </c>
      <c r="X665" t="s">
        <v>91</v>
      </c>
      <c r="Y665" t="s">
        <v>580</v>
      </c>
      <c r="Z665" t="s">
        <v>580</v>
      </c>
      <c r="AA665" s="7">
        <v>0.30555555555555558</v>
      </c>
      <c r="AE665" t="s">
        <v>86</v>
      </c>
      <c r="AF665" t="s">
        <v>375</v>
      </c>
      <c r="AG665" t="s">
        <v>375</v>
      </c>
      <c r="AM665" t="s">
        <v>106</v>
      </c>
      <c r="AO665"/>
      <c r="AQ665" t="s">
        <v>358</v>
      </c>
      <c r="AV665" s="2"/>
      <c r="AY665" t="s">
        <v>106</v>
      </c>
      <c r="BD665" t="s">
        <v>106</v>
      </c>
      <c r="BE665" s="2"/>
      <c r="BH665" t="s">
        <v>106</v>
      </c>
      <c r="BI665" t="s">
        <v>106</v>
      </c>
      <c r="BJ665" s="2"/>
      <c r="BT665" s="17">
        <f>Tabla1[[#This Row],[FECHA_TRASPLANTE]]</f>
        <v>45748</v>
      </c>
      <c r="BU665">
        <f>IF(Tabla1[[#This Row],[FALLECIDO SI/NO]]="NO",0,1)</f>
        <v>0</v>
      </c>
      <c r="BV665" s="3">
        <f ca="1">IF(Tabla1[[#This Row],[FALLECIDO_COD]]=0,TODAY()-Tabla1[[#This Row],[FECHA_TRASPLANTE]],Tabla1[[#This Row],[FECHA DE DEFUNCIÓN]]-Tabla1[[#This Row],[FECHA_TRASPLANTE]])</f>
        <v>127</v>
      </c>
      <c r="BW665" s="3">
        <f ca="1">IF(Tabla1[[#This Row],[FALLECIDO_COD]]=0,TODAY()-Tabla1[[#This Row],[FECHA_TRASPLANTE]],Tabla1[[#This Row],[FECHA DE DEFUNCIÓN]]-Tabla1[[#This Row],[FECHA_TRASPLANTE]])/30.4375</f>
        <v>4.1724845995893221</v>
      </c>
      <c r="BX665" s="3">
        <f ca="1">IF(Tabla1[[#This Row],[FALLECIDO_COD]]=0,TODAY()-Tabla1[[#This Row],[FECHA_TRASPLANTE]],Tabla1[[#This Row],[FECHA DE DEFUNCIÓN]]-Tabla1[[#This Row],[FECHA_TRASPLANTE]])/365.25</f>
        <v>0.34770704996577684</v>
      </c>
      <c r="BY665"/>
      <c r="BZ665"/>
    </row>
    <row r="666" spans="1:78" x14ac:dyDescent="0.35">
      <c r="A666" t="s">
        <v>1126</v>
      </c>
      <c r="B666" t="s">
        <v>1126</v>
      </c>
      <c r="D666" t="s">
        <v>1333</v>
      </c>
      <c r="E666" t="s">
        <v>77</v>
      </c>
      <c r="F666" t="s">
        <v>86</v>
      </c>
      <c r="I666">
        <v>125.25119780971937</v>
      </c>
      <c r="J666" t="s">
        <v>1820</v>
      </c>
      <c r="N666" s="11">
        <v>304650482</v>
      </c>
      <c r="O666" s="2">
        <v>45748</v>
      </c>
      <c r="P666" t="s">
        <v>1669</v>
      </c>
      <c r="Q666" s="2">
        <v>33884</v>
      </c>
      <c r="R666" s="3">
        <f>(Tabla1[[#This Row],[FECHA_TRASPLANTE]]-Tabla1[[#This Row],[FECHA_NAC]])/365.25</f>
        <v>32.481861738535251</v>
      </c>
      <c r="S666" t="s">
        <v>210</v>
      </c>
      <c r="U666" t="s">
        <v>1565</v>
      </c>
      <c r="V666" t="s">
        <v>1566</v>
      </c>
      <c r="W666" t="s">
        <v>82</v>
      </c>
      <c r="X666" t="s">
        <v>110</v>
      </c>
      <c r="Y666" t="s">
        <v>801</v>
      </c>
      <c r="Z666" t="s">
        <v>311</v>
      </c>
      <c r="AB666" s="7">
        <v>2.4305555555555556E-2</v>
      </c>
      <c r="AC666" s="7">
        <v>0.22916666666666666</v>
      </c>
      <c r="AD666">
        <v>0</v>
      </c>
      <c r="AE666" t="s">
        <v>86</v>
      </c>
      <c r="AF666" t="s">
        <v>375</v>
      </c>
      <c r="AG666" t="s">
        <v>375</v>
      </c>
      <c r="AM666" t="s">
        <v>106</v>
      </c>
      <c r="AQ666" t="s">
        <v>2381</v>
      </c>
      <c r="AR666" s="2"/>
      <c r="AS666" s="2"/>
      <c r="AV666" s="2">
        <v>45748</v>
      </c>
      <c r="AW666" t="s">
        <v>2382</v>
      </c>
      <c r="AX666" t="s">
        <v>2344</v>
      </c>
      <c r="AY666" t="s">
        <v>106</v>
      </c>
      <c r="BA666" t="s">
        <v>1552</v>
      </c>
      <c r="BD666" t="s">
        <v>86</v>
      </c>
      <c r="BE666" s="2">
        <v>45749</v>
      </c>
      <c r="BF666" t="s">
        <v>1905</v>
      </c>
      <c r="BH666" t="s">
        <v>86</v>
      </c>
      <c r="BI666" t="s">
        <v>106</v>
      </c>
      <c r="BJ666" s="2"/>
      <c r="BL666" t="s">
        <v>106</v>
      </c>
      <c r="BT666" s="17">
        <f>Tabla1[[#This Row],[FECHA_TRASPLANTE]]</f>
        <v>45748</v>
      </c>
      <c r="BU666">
        <f>IF(Tabla1[[#This Row],[FALLECIDO SI/NO]]="NO",0,1)</f>
        <v>0</v>
      </c>
      <c r="BV666" s="3">
        <f ca="1">IF(Tabla1[[#This Row],[FALLECIDO_COD]]=0,TODAY()-Tabla1[[#This Row],[FECHA_TRASPLANTE]],Tabla1[[#This Row],[FECHA DE DEFUNCIÓN]]-Tabla1[[#This Row],[FECHA_TRASPLANTE]])</f>
        <v>127</v>
      </c>
      <c r="BW666" s="3">
        <f ca="1">IF(Tabla1[[#This Row],[FALLECIDO_COD]]=0,TODAY()-Tabla1[[#This Row],[FECHA_TRASPLANTE]],Tabla1[[#This Row],[FECHA DE DEFUNCIÓN]]-Tabla1[[#This Row],[FECHA_TRASPLANTE]])/30.4375</f>
        <v>4.1724845995893221</v>
      </c>
      <c r="BX666" s="3">
        <f ca="1">IF(Tabla1[[#This Row],[FALLECIDO_COD]]=0,TODAY()-Tabla1[[#This Row],[FECHA_TRASPLANTE]],Tabla1[[#This Row],[FECHA DE DEFUNCIÓN]]-Tabla1[[#This Row],[FECHA_TRASPLANTE]])/365.25</f>
        <v>0.34770704996577684</v>
      </c>
      <c r="BY666"/>
      <c r="BZ666"/>
    </row>
    <row r="667" spans="1:78" x14ac:dyDescent="0.35">
      <c r="A667" t="s">
        <v>1125</v>
      </c>
      <c r="B667" t="s">
        <v>1125</v>
      </c>
      <c r="D667" t="s">
        <v>1333</v>
      </c>
      <c r="E667" t="s">
        <v>375</v>
      </c>
      <c r="J667" t="s">
        <v>746</v>
      </c>
      <c r="K667" t="s">
        <v>2383</v>
      </c>
      <c r="L667" t="s">
        <v>149</v>
      </c>
      <c r="M667" t="s">
        <v>2384</v>
      </c>
      <c r="N667" s="11">
        <v>2840102343</v>
      </c>
      <c r="O667" s="2">
        <v>45749</v>
      </c>
      <c r="P667" t="s">
        <v>90</v>
      </c>
      <c r="Q667" s="2">
        <v>30762</v>
      </c>
      <c r="R667" s="3">
        <f>(Tabla1[[#This Row],[FECHA_TRASPLANTE]]-Tabla1[[#This Row],[FECHA_NAC]])/365.25</f>
        <v>41.032169746748799</v>
      </c>
      <c r="S667" t="s">
        <v>200</v>
      </c>
      <c r="T667"/>
      <c r="U667" t="s">
        <v>2385</v>
      </c>
      <c r="V667" t="s">
        <v>1824</v>
      </c>
      <c r="W667" t="s">
        <v>146</v>
      </c>
      <c r="X667" t="s">
        <v>91</v>
      </c>
      <c r="Y667" t="s">
        <v>91</v>
      </c>
      <c r="Z667" t="s">
        <v>1519</v>
      </c>
      <c r="AA667" s="7">
        <v>5.9027777777777776E-2</v>
      </c>
      <c r="AE667" t="s">
        <v>106</v>
      </c>
      <c r="AM667" t="s">
        <v>106</v>
      </c>
      <c r="AO667"/>
      <c r="AV667" s="2"/>
      <c r="AY667" t="s">
        <v>106</v>
      </c>
      <c r="BD667" t="s">
        <v>106</v>
      </c>
      <c r="BE667" s="2"/>
      <c r="BH667" t="s">
        <v>106</v>
      </c>
      <c r="BI667" t="s">
        <v>106</v>
      </c>
      <c r="BJ667" s="2"/>
      <c r="BO667">
        <v>2040101751</v>
      </c>
      <c r="BP667" t="s">
        <v>90</v>
      </c>
      <c r="BQ667" t="s">
        <v>146</v>
      </c>
      <c r="BR667" t="s">
        <v>1806</v>
      </c>
      <c r="BS667" t="s">
        <v>2005</v>
      </c>
      <c r="BT667" s="17">
        <f>Tabla1[[#This Row],[FECHA_TRASPLANTE]]</f>
        <v>45749</v>
      </c>
      <c r="BU667">
        <f>IF(Tabla1[[#This Row],[FALLECIDO SI/NO]]="NO",0,1)</f>
        <v>0</v>
      </c>
      <c r="BV667" s="3">
        <f ca="1">IF(Tabla1[[#This Row],[FALLECIDO_COD]]=0,TODAY()-Tabla1[[#This Row],[FECHA_TRASPLANTE]],Tabla1[[#This Row],[FECHA DE DEFUNCIÓN]]-Tabla1[[#This Row],[FECHA_TRASPLANTE]])</f>
        <v>126</v>
      </c>
      <c r="BW667" s="3">
        <f ca="1">IF(Tabla1[[#This Row],[FALLECIDO_COD]]=0,TODAY()-Tabla1[[#This Row],[FECHA_TRASPLANTE]],Tabla1[[#This Row],[FECHA DE DEFUNCIÓN]]-Tabla1[[#This Row],[FECHA_TRASPLANTE]])/30.4375</f>
        <v>4.1396303901437372</v>
      </c>
      <c r="BX667" s="3">
        <f ca="1">IF(Tabla1[[#This Row],[FALLECIDO_COD]]=0,TODAY()-Tabla1[[#This Row],[FECHA_TRASPLANTE]],Tabla1[[#This Row],[FECHA DE DEFUNCIÓN]]-Tabla1[[#This Row],[FECHA_TRASPLANTE]])/365.25</f>
        <v>0.34496919917864477</v>
      </c>
      <c r="BY667"/>
      <c r="BZ667"/>
    </row>
    <row r="668" spans="1:78" x14ac:dyDescent="0.35">
      <c r="A668" t="s">
        <v>377</v>
      </c>
      <c r="E668" t="s">
        <v>77</v>
      </c>
      <c r="J668" t="s">
        <v>1834</v>
      </c>
      <c r="K668" t="s">
        <v>2386</v>
      </c>
      <c r="N668" s="11">
        <v>602660010</v>
      </c>
      <c r="O668" s="2">
        <v>45756</v>
      </c>
      <c r="P668" t="s">
        <v>2305</v>
      </c>
      <c r="Q668" s="2">
        <v>27414</v>
      </c>
      <c r="R668" s="3">
        <f>(Tabla1[[#This Row],[FECHA_TRASPLANTE]]-Tabla1[[#This Row],[FECHA_NAC]])/365.25</f>
        <v>50.217659137577002</v>
      </c>
      <c r="T668"/>
      <c r="W668" t="s">
        <v>82</v>
      </c>
      <c r="X668" t="s">
        <v>2387</v>
      </c>
      <c r="AE668" t="s">
        <v>106</v>
      </c>
      <c r="AF668" t="s">
        <v>375</v>
      </c>
      <c r="AG668" t="s">
        <v>375</v>
      </c>
      <c r="AM668" t="s">
        <v>106</v>
      </c>
      <c r="AV668" s="2"/>
      <c r="BE668" s="2"/>
      <c r="BJ668" s="2"/>
      <c r="BT668" s="17">
        <f>Tabla1[[#This Row],[FECHA_TRASPLANTE]]</f>
        <v>45756</v>
      </c>
      <c r="BU668">
        <f>IF(Tabla1[[#This Row],[FALLECIDO SI/NO]]="NO",0,1)</f>
        <v>0</v>
      </c>
      <c r="BV668" s="3">
        <f ca="1">IF(Tabla1[[#This Row],[FALLECIDO_COD]]=0,TODAY()-Tabla1[[#This Row],[FECHA_TRASPLANTE]],Tabla1[[#This Row],[FECHA DE DEFUNCIÓN]]-Tabla1[[#This Row],[FECHA_TRASPLANTE]])</f>
        <v>119</v>
      </c>
      <c r="BW668" s="3">
        <f ca="1">IF(Tabla1[[#This Row],[FALLECIDO_COD]]=0,TODAY()-Tabla1[[#This Row],[FECHA_TRASPLANTE]],Tabla1[[#This Row],[FECHA DE DEFUNCIÓN]]-Tabla1[[#This Row],[FECHA_TRASPLANTE]])/30.4375</f>
        <v>3.9096509240246409</v>
      </c>
      <c r="BX668" s="3">
        <f ca="1">IF(Tabla1[[#This Row],[FALLECIDO_COD]]=0,TODAY()-Tabla1[[#This Row],[FECHA_TRASPLANTE]],Tabla1[[#This Row],[FECHA DE DEFUNCIÓN]]-Tabla1[[#This Row],[FECHA_TRASPLANTE]])/365.25</f>
        <v>0.32580424366872007</v>
      </c>
      <c r="BY668"/>
      <c r="BZ668"/>
    </row>
    <row r="669" spans="1:78" x14ac:dyDescent="0.35">
      <c r="A669" t="s">
        <v>75</v>
      </c>
      <c r="B669" t="s">
        <v>1828</v>
      </c>
      <c r="C669" t="s">
        <v>1065</v>
      </c>
      <c r="D669" t="s">
        <v>1129</v>
      </c>
      <c r="E669" t="s">
        <v>77</v>
      </c>
      <c r="G669" t="s">
        <v>205</v>
      </c>
      <c r="I669">
        <v>17</v>
      </c>
      <c r="N669" s="11">
        <v>109920958</v>
      </c>
      <c r="O669" s="16">
        <v>45756</v>
      </c>
      <c r="P669" t="s">
        <v>81</v>
      </c>
      <c r="Q669" s="2">
        <v>28544</v>
      </c>
      <c r="R669" s="3">
        <f>(Tabla1[[#This Row],[FECHA_TRASPLANTE]]-Tabla1[[#This Row],[FECHA_NAC]])/365.25</f>
        <v>47.123887748117724</v>
      </c>
      <c r="S669" t="s">
        <v>205</v>
      </c>
      <c r="U669" t="s">
        <v>2388</v>
      </c>
      <c r="V669" t="s">
        <v>2309</v>
      </c>
      <c r="W669" t="s">
        <v>82</v>
      </c>
      <c r="X669" t="s">
        <v>91</v>
      </c>
      <c r="Y669" t="s">
        <v>211</v>
      </c>
      <c r="Z669" t="s">
        <v>454</v>
      </c>
      <c r="AA669">
        <v>11</v>
      </c>
      <c r="AB669" t="s">
        <v>2310</v>
      </c>
      <c r="AC669">
        <v>8.4499999999999993</v>
      </c>
      <c r="AD669" t="s">
        <v>86</v>
      </c>
      <c r="AE669" t="s">
        <v>106</v>
      </c>
      <c r="AF669" t="s">
        <v>2312</v>
      </c>
      <c r="AM669" t="s">
        <v>106</v>
      </c>
      <c r="AO669"/>
      <c r="AR669" s="2"/>
      <c r="AS669" s="2"/>
      <c r="AV669" s="2"/>
      <c r="AY669" t="s">
        <v>2313</v>
      </c>
      <c r="BA669" t="s">
        <v>2314</v>
      </c>
      <c r="BD669" t="s">
        <v>2313</v>
      </c>
      <c r="BE669" s="2"/>
      <c r="BI669" t="s">
        <v>2313</v>
      </c>
      <c r="BJ669" s="2"/>
      <c r="BL669" t="s">
        <v>2315</v>
      </c>
      <c r="BT669" s="17">
        <f>Tabla1[[#This Row],[FECHA_TRASPLANTE]]</f>
        <v>45756</v>
      </c>
      <c r="BU669">
        <f>IF(Tabla1[[#This Row],[FALLECIDO SI/NO]]="NO",0,1)</f>
        <v>0</v>
      </c>
      <c r="BV669" s="3">
        <f ca="1">IF(Tabla1[[#This Row],[FALLECIDO_COD]]=0,TODAY()-Tabla1[[#This Row],[FECHA_TRASPLANTE]],Tabla1[[#This Row],[FECHA DE DEFUNCIÓN]]-Tabla1[[#This Row],[FECHA_TRASPLANTE]])</f>
        <v>119</v>
      </c>
      <c r="BW669" s="3">
        <f ca="1">IF(Tabla1[[#This Row],[FALLECIDO_COD]]=0,TODAY()-Tabla1[[#This Row],[FECHA_TRASPLANTE]],Tabla1[[#This Row],[FECHA DE DEFUNCIÓN]]-Tabla1[[#This Row],[FECHA_TRASPLANTE]])/30.4375</f>
        <v>3.9096509240246409</v>
      </c>
      <c r="BX669" s="3">
        <f ca="1">IF(Tabla1[[#This Row],[FALLECIDO_COD]]=0,TODAY()-Tabla1[[#This Row],[FECHA_TRASPLANTE]],Tabla1[[#This Row],[FECHA DE DEFUNCIÓN]]-Tabla1[[#This Row],[FECHA_TRASPLANTE]])/365.25</f>
        <v>0.32580424366872007</v>
      </c>
      <c r="BY669"/>
      <c r="BZ669"/>
    </row>
    <row r="670" spans="1:78" x14ac:dyDescent="0.35">
      <c r="A670" t="s">
        <v>377</v>
      </c>
      <c r="B670" t="s">
        <v>2249</v>
      </c>
      <c r="E670" t="s">
        <v>77</v>
      </c>
      <c r="J670" t="s">
        <v>1834</v>
      </c>
      <c r="K670" t="s">
        <v>2389</v>
      </c>
      <c r="N670" s="11">
        <v>1720102675</v>
      </c>
      <c r="O670" s="2">
        <v>45761</v>
      </c>
      <c r="P670" t="s">
        <v>2305</v>
      </c>
      <c r="Q670" s="2">
        <v>26525</v>
      </c>
      <c r="R670" s="3">
        <f>(Tabla1[[#This Row],[FECHA_TRASPLANTE]]-Tabla1[[#This Row],[FECHA_NAC]])/365.25</f>
        <v>52.6652977412731</v>
      </c>
      <c r="T670"/>
      <c r="W670" t="s">
        <v>146</v>
      </c>
      <c r="X670" t="s">
        <v>2001</v>
      </c>
      <c r="AE670" t="s">
        <v>86</v>
      </c>
      <c r="AM670" t="s">
        <v>106</v>
      </c>
      <c r="AV670" s="2"/>
      <c r="BD670" t="s">
        <v>86</v>
      </c>
      <c r="BE670" s="2"/>
      <c r="BF670" t="s">
        <v>2390</v>
      </c>
      <c r="BJ670" s="2"/>
      <c r="BT670" s="17">
        <f>Tabla1[[#This Row],[FECHA_TRASPLANTE]]</f>
        <v>45761</v>
      </c>
      <c r="BU670">
        <f>IF(Tabla1[[#This Row],[FALLECIDO SI/NO]]="NO",0,1)</f>
        <v>0</v>
      </c>
      <c r="BV670" s="3">
        <f ca="1">IF(Tabla1[[#This Row],[FALLECIDO_COD]]=0,TODAY()-Tabla1[[#This Row],[FECHA_TRASPLANTE]],Tabla1[[#This Row],[FECHA DE DEFUNCIÓN]]-Tabla1[[#This Row],[FECHA_TRASPLANTE]])</f>
        <v>114</v>
      </c>
      <c r="BW670" s="3">
        <f ca="1">IF(Tabla1[[#This Row],[FALLECIDO_COD]]=0,TODAY()-Tabla1[[#This Row],[FECHA_TRASPLANTE]],Tabla1[[#This Row],[FECHA DE DEFUNCIÓN]]-Tabla1[[#This Row],[FECHA_TRASPLANTE]])/30.4375</f>
        <v>3.7453798767967146</v>
      </c>
      <c r="BX670" s="3">
        <f ca="1">IF(Tabla1[[#This Row],[FALLECIDO_COD]]=0,TODAY()-Tabla1[[#This Row],[FECHA_TRASPLANTE]],Tabla1[[#This Row],[FECHA DE DEFUNCIÓN]]-Tabla1[[#This Row],[FECHA_TRASPLANTE]])/365.25</f>
        <v>0.31211498973305957</v>
      </c>
      <c r="BY670"/>
      <c r="BZ670"/>
    </row>
    <row r="671" spans="1:78" x14ac:dyDescent="0.35">
      <c r="A671" t="s">
        <v>376</v>
      </c>
      <c r="B671" t="s">
        <v>376</v>
      </c>
      <c r="D671" t="s">
        <v>1129</v>
      </c>
      <c r="E671" t="s">
        <v>77</v>
      </c>
      <c r="N671" s="11">
        <v>120750081</v>
      </c>
      <c r="O671" s="2">
        <v>45762</v>
      </c>
      <c r="P671" t="s">
        <v>81</v>
      </c>
      <c r="Q671" s="2">
        <v>40163</v>
      </c>
      <c r="R671" s="3">
        <f>(Tabla1[[#This Row],[FECHA_TRASPLANTE]]-Tabla1[[#This Row],[FECHA_NAC]])/365.25</f>
        <v>15.329226557152635</v>
      </c>
      <c r="S671" t="s">
        <v>200</v>
      </c>
      <c r="T671" s="2">
        <v>45658</v>
      </c>
      <c r="W671" t="s">
        <v>82</v>
      </c>
      <c r="X671" t="s">
        <v>91</v>
      </c>
      <c r="Y671" t="s">
        <v>157</v>
      </c>
      <c r="Z671" t="s">
        <v>158</v>
      </c>
      <c r="AE671" t="s">
        <v>106</v>
      </c>
      <c r="AM671" t="s">
        <v>106</v>
      </c>
      <c r="AV671" s="2"/>
      <c r="BE671" s="2"/>
      <c r="BJ671" s="2"/>
      <c r="BQ671" s="4"/>
      <c r="BR671" s="4"/>
      <c r="BT671" s="17">
        <f>Tabla1[[#This Row],[FECHA_TRASPLANTE]]</f>
        <v>45762</v>
      </c>
      <c r="BU671">
        <f>IF(Tabla1[[#This Row],[FALLECIDO SI/NO]]="NO",0,1)</f>
        <v>0</v>
      </c>
      <c r="BV671" s="3">
        <f ca="1">IF(Tabla1[[#This Row],[FALLECIDO_COD]]=0,TODAY()-Tabla1[[#This Row],[FECHA_TRASPLANTE]],Tabla1[[#This Row],[FECHA DE DEFUNCIÓN]]-Tabla1[[#This Row],[FECHA_TRASPLANTE]])</f>
        <v>113</v>
      </c>
      <c r="BW671" s="3">
        <f ca="1">IF(Tabla1[[#This Row],[FALLECIDO_COD]]=0,TODAY()-Tabla1[[#This Row],[FECHA_TRASPLANTE]],Tabla1[[#This Row],[FECHA DE DEFUNCIÓN]]-Tabla1[[#This Row],[FECHA_TRASPLANTE]])/30.4375</f>
        <v>3.7125256673511293</v>
      </c>
      <c r="BX671" s="3">
        <f ca="1">IF(Tabla1[[#This Row],[FALLECIDO_COD]]=0,TODAY()-Tabla1[[#This Row],[FECHA_TRASPLANTE]],Tabla1[[#This Row],[FECHA DE DEFUNCIÓN]]-Tabla1[[#This Row],[FECHA_TRASPLANTE]])/365.25</f>
        <v>0.30937713894592744</v>
      </c>
      <c r="BY671"/>
      <c r="BZ671"/>
    </row>
    <row r="672" spans="1:78" x14ac:dyDescent="0.35">
      <c r="A672" t="s">
        <v>75</v>
      </c>
      <c r="B672" t="s">
        <v>1828</v>
      </c>
      <c r="C672" t="s">
        <v>2391</v>
      </c>
      <c r="D672" t="s">
        <v>1129</v>
      </c>
      <c r="E672" t="s">
        <v>77</v>
      </c>
      <c r="F672" t="s">
        <v>86</v>
      </c>
      <c r="G672" t="s">
        <v>200</v>
      </c>
      <c r="I672">
        <v>54</v>
      </c>
      <c r="N672" s="11">
        <v>107450114</v>
      </c>
      <c r="O672" s="16">
        <v>45765</v>
      </c>
      <c r="P672" t="s">
        <v>81</v>
      </c>
      <c r="Q672" s="2">
        <v>25300</v>
      </c>
      <c r="R672" s="3">
        <f>(Tabla1[[#This Row],[FECHA_TRASPLANTE]]-Tabla1[[#This Row],[FECHA_NAC]])/365.25</f>
        <v>56.030116358658454</v>
      </c>
      <c r="S672" t="s">
        <v>200</v>
      </c>
      <c r="U672" t="s">
        <v>2350</v>
      </c>
      <c r="V672" t="s">
        <v>2309</v>
      </c>
      <c r="W672" t="s">
        <v>82</v>
      </c>
      <c r="X672" t="s">
        <v>91</v>
      </c>
      <c r="Y672" t="s">
        <v>193</v>
      </c>
      <c r="Z672" t="s">
        <v>193</v>
      </c>
      <c r="AA672">
        <v>5.03</v>
      </c>
      <c r="AB672" t="s">
        <v>2310</v>
      </c>
      <c r="AC672">
        <v>2.1</v>
      </c>
      <c r="AD672" t="s">
        <v>86</v>
      </c>
      <c r="AE672" t="s">
        <v>106</v>
      </c>
      <c r="AF672" t="s">
        <v>375</v>
      </c>
      <c r="AM672" t="s">
        <v>106</v>
      </c>
      <c r="AO672"/>
      <c r="AR672" s="2"/>
      <c r="AS672" s="2"/>
      <c r="AV672" s="2"/>
      <c r="AY672" t="s">
        <v>2313</v>
      </c>
      <c r="BA672" t="s">
        <v>2314</v>
      </c>
      <c r="BD672" t="s">
        <v>2313</v>
      </c>
      <c r="BE672" s="2"/>
      <c r="BI672" t="s">
        <v>2313</v>
      </c>
      <c r="BJ672" s="2"/>
      <c r="BL672" t="s">
        <v>2315</v>
      </c>
      <c r="BT672" s="17">
        <f>Tabla1[[#This Row],[FECHA_TRASPLANTE]]</f>
        <v>45765</v>
      </c>
      <c r="BU672">
        <f>IF(Tabla1[[#This Row],[FALLECIDO SI/NO]]="NO",0,1)</f>
        <v>0</v>
      </c>
      <c r="BV672" s="3">
        <f ca="1">IF(Tabla1[[#This Row],[FALLECIDO_COD]]=0,TODAY()-Tabla1[[#This Row],[FECHA_TRASPLANTE]],Tabla1[[#This Row],[FECHA DE DEFUNCIÓN]]-Tabla1[[#This Row],[FECHA_TRASPLANTE]])</f>
        <v>110</v>
      </c>
      <c r="BW672" s="3">
        <f ca="1">IF(Tabla1[[#This Row],[FALLECIDO_COD]]=0,TODAY()-Tabla1[[#This Row],[FECHA_TRASPLANTE]],Tabla1[[#This Row],[FECHA DE DEFUNCIÓN]]-Tabla1[[#This Row],[FECHA_TRASPLANTE]])/30.4375</f>
        <v>3.6139630390143735</v>
      </c>
      <c r="BX672" s="3">
        <f ca="1">IF(Tabla1[[#This Row],[FALLECIDO_COD]]=0,TODAY()-Tabla1[[#This Row],[FECHA_TRASPLANTE]],Tabla1[[#This Row],[FECHA DE DEFUNCIÓN]]-Tabla1[[#This Row],[FECHA_TRASPLANTE]])/365.25</f>
        <v>0.30116358658453113</v>
      </c>
      <c r="BY672"/>
      <c r="BZ672"/>
    </row>
    <row r="673" spans="1:81" x14ac:dyDescent="0.35">
      <c r="A673" t="s">
        <v>377</v>
      </c>
      <c r="D673" t="s">
        <v>1333</v>
      </c>
      <c r="E673" t="s">
        <v>375</v>
      </c>
      <c r="H673" s="2">
        <v>35023</v>
      </c>
      <c r="I673">
        <v>29</v>
      </c>
      <c r="J673" t="s">
        <v>1898</v>
      </c>
      <c r="K673" t="s">
        <v>2392</v>
      </c>
      <c r="L673" t="s">
        <v>2393</v>
      </c>
      <c r="M673" t="s">
        <v>269</v>
      </c>
      <c r="N673" s="11">
        <v>401910001</v>
      </c>
      <c r="O673" s="2">
        <v>45771</v>
      </c>
      <c r="P673" t="s">
        <v>2305</v>
      </c>
      <c r="Q673" s="2">
        <v>31530</v>
      </c>
      <c r="R673" s="3">
        <f>(Tabla1[[#This Row],[FECHA_TRASPLANTE]]-Tabla1[[#This Row],[FECHA_NAC]])/365.25</f>
        <v>38.989733059548257</v>
      </c>
      <c r="T673"/>
      <c r="W673" t="s">
        <v>82</v>
      </c>
      <c r="X673" t="s">
        <v>2394</v>
      </c>
      <c r="AE673" t="s">
        <v>106</v>
      </c>
      <c r="AM673" t="s">
        <v>106</v>
      </c>
      <c r="AV673" s="2"/>
      <c r="BE673" s="2"/>
      <c r="BJ673" s="2"/>
      <c r="BO673">
        <v>702400640</v>
      </c>
      <c r="BP673" t="s">
        <v>81</v>
      </c>
      <c r="BQ673" t="s">
        <v>82</v>
      </c>
      <c r="BR673" t="s">
        <v>1900</v>
      </c>
      <c r="BS673" t="s">
        <v>2330</v>
      </c>
      <c r="BT673" s="17">
        <f>Tabla1[[#This Row],[FECHA_TRASPLANTE]]</f>
        <v>45771</v>
      </c>
      <c r="BU673">
        <f>IF(Tabla1[[#This Row],[FALLECIDO SI/NO]]="NO",0,1)</f>
        <v>0</v>
      </c>
      <c r="BV673" s="3">
        <f ca="1">IF(Tabla1[[#This Row],[FALLECIDO_COD]]=0,TODAY()-Tabla1[[#This Row],[FECHA_TRASPLANTE]],Tabla1[[#This Row],[FECHA DE DEFUNCIÓN]]-Tabla1[[#This Row],[FECHA_TRASPLANTE]])</f>
        <v>104</v>
      </c>
      <c r="BW673" s="3">
        <f ca="1">IF(Tabla1[[#This Row],[FALLECIDO_COD]]=0,TODAY()-Tabla1[[#This Row],[FECHA_TRASPLANTE]],Tabla1[[#This Row],[FECHA DE DEFUNCIÓN]]-Tabla1[[#This Row],[FECHA_TRASPLANTE]])/30.4375</f>
        <v>3.4168377823408624</v>
      </c>
      <c r="BX673" s="3">
        <f ca="1">IF(Tabla1[[#This Row],[FALLECIDO_COD]]=0,TODAY()-Tabla1[[#This Row],[FECHA_TRASPLANTE]],Tabla1[[#This Row],[FECHA DE DEFUNCIÓN]]-Tabla1[[#This Row],[FECHA_TRASPLANTE]])/365.25</f>
        <v>0.28473648186173856</v>
      </c>
      <c r="BY673"/>
      <c r="BZ673"/>
    </row>
    <row r="674" spans="1:81" x14ac:dyDescent="0.35">
      <c r="A674" t="s">
        <v>1125</v>
      </c>
      <c r="B674" t="s">
        <v>1125</v>
      </c>
      <c r="D674" t="s">
        <v>1333</v>
      </c>
      <c r="E674" t="s">
        <v>375</v>
      </c>
      <c r="H674" s="2">
        <v>31487</v>
      </c>
      <c r="I674">
        <v>39</v>
      </c>
      <c r="J674" t="s">
        <v>746</v>
      </c>
      <c r="K674" t="s">
        <v>2395</v>
      </c>
      <c r="L674" t="s">
        <v>98</v>
      </c>
      <c r="M674" t="s">
        <v>2396</v>
      </c>
      <c r="N674" s="11">
        <v>119470404</v>
      </c>
      <c r="O674" s="2">
        <v>45777</v>
      </c>
      <c r="P674" t="s">
        <v>90</v>
      </c>
      <c r="Q674" s="2">
        <v>38632</v>
      </c>
      <c r="R674" s="3">
        <f>(Tabla1[[#This Row],[FECHA_TRASPLANTE]]-Tabla1[[#This Row],[FECHA_NAC]])/365.25</f>
        <v>19.561943874058862</v>
      </c>
      <c r="S674" t="s">
        <v>210</v>
      </c>
      <c r="T674" s="2">
        <v>45721</v>
      </c>
      <c r="U674" t="s">
        <v>2397</v>
      </c>
      <c r="V674" t="s">
        <v>1838</v>
      </c>
      <c r="W674" t="s">
        <v>82</v>
      </c>
      <c r="X674" t="s">
        <v>91</v>
      </c>
      <c r="Y674" t="s">
        <v>116</v>
      </c>
      <c r="Z674" t="s">
        <v>616</v>
      </c>
      <c r="AA674" s="7">
        <v>8.3333333333333329E-2</v>
      </c>
      <c r="AE674" t="s">
        <v>106</v>
      </c>
      <c r="AM674" t="s">
        <v>106</v>
      </c>
      <c r="AO674"/>
      <c r="AV674" s="2"/>
      <c r="AX674" t="s">
        <v>2398</v>
      </c>
      <c r="AY674" t="s">
        <v>106</v>
      </c>
      <c r="BD674" t="s">
        <v>106</v>
      </c>
      <c r="BE674" s="2"/>
      <c r="BH674" t="s">
        <v>106</v>
      </c>
      <c r="BI674" t="s">
        <v>106</v>
      </c>
      <c r="BJ674" s="2"/>
      <c r="BO674">
        <v>112740173</v>
      </c>
      <c r="BP674" t="s">
        <v>90</v>
      </c>
      <c r="BQ674" t="s">
        <v>82</v>
      </c>
      <c r="BR674" t="s">
        <v>1806</v>
      </c>
      <c r="BS674" t="s">
        <v>1807</v>
      </c>
      <c r="BT674" s="17">
        <f>Tabla1[[#This Row],[FECHA_TRASPLANTE]]</f>
        <v>45777</v>
      </c>
      <c r="BU674">
        <f>IF(Tabla1[[#This Row],[FALLECIDO SI/NO]]="NO",0,1)</f>
        <v>0</v>
      </c>
      <c r="BV674" s="3">
        <f ca="1">IF(Tabla1[[#This Row],[FALLECIDO_COD]]=0,TODAY()-Tabla1[[#This Row],[FECHA_TRASPLANTE]],Tabla1[[#This Row],[FECHA DE DEFUNCIÓN]]-Tabla1[[#This Row],[FECHA_TRASPLANTE]])</f>
        <v>98</v>
      </c>
      <c r="BW674" s="3">
        <f ca="1">IF(Tabla1[[#This Row],[FALLECIDO_COD]]=0,TODAY()-Tabla1[[#This Row],[FECHA_TRASPLANTE]],Tabla1[[#This Row],[FECHA DE DEFUNCIÓN]]-Tabla1[[#This Row],[FECHA_TRASPLANTE]])/30.4375</f>
        <v>3.2197125256673513</v>
      </c>
      <c r="BX674" s="3">
        <f ca="1">IF(Tabla1[[#This Row],[FALLECIDO_COD]]=0,TODAY()-Tabla1[[#This Row],[FECHA_TRASPLANTE]],Tabla1[[#This Row],[FECHA DE DEFUNCIÓN]]-Tabla1[[#This Row],[FECHA_TRASPLANTE]])/365.25</f>
        <v>0.26830937713894593</v>
      </c>
      <c r="BY674"/>
      <c r="BZ674"/>
    </row>
    <row r="675" spans="1:81" x14ac:dyDescent="0.35">
      <c r="A675" t="s">
        <v>1126</v>
      </c>
      <c r="B675" t="s">
        <v>1126</v>
      </c>
      <c r="D675" t="s">
        <v>1333</v>
      </c>
      <c r="E675" t="s">
        <v>77</v>
      </c>
      <c r="F675" t="s">
        <v>86</v>
      </c>
      <c r="I675">
        <v>125.3388090349076</v>
      </c>
      <c r="J675" t="s">
        <v>1820</v>
      </c>
      <c r="K675" t="s">
        <v>2399</v>
      </c>
      <c r="L675" t="s">
        <v>669</v>
      </c>
      <c r="M675" t="s">
        <v>195</v>
      </c>
      <c r="N675" s="11">
        <v>302290037</v>
      </c>
      <c r="O675" s="2">
        <v>45780</v>
      </c>
      <c r="P675" t="s">
        <v>1549</v>
      </c>
      <c r="Q675" s="2">
        <v>21422</v>
      </c>
      <c r="R675" s="3">
        <f>(Tabla1[[#This Row],[FECHA_TRASPLANTE]]-Tabla1[[#This Row],[FECHA_NAC]])/365.25</f>
        <v>66.688569472963721</v>
      </c>
      <c r="S675" t="s">
        <v>200</v>
      </c>
      <c r="T675" s="2">
        <v>44194</v>
      </c>
      <c r="U675" t="s">
        <v>1550</v>
      </c>
      <c r="V675" t="s">
        <v>1566</v>
      </c>
      <c r="W675" t="s">
        <v>82</v>
      </c>
      <c r="X675" t="s">
        <v>110</v>
      </c>
      <c r="Y675" t="s">
        <v>111</v>
      </c>
      <c r="Z675" t="s">
        <v>951</v>
      </c>
      <c r="AB675" t="s">
        <v>2400</v>
      </c>
      <c r="AC675" t="s">
        <v>2401</v>
      </c>
      <c r="AD675">
        <v>0</v>
      </c>
      <c r="AE675" t="s">
        <v>86</v>
      </c>
      <c r="AF675" t="s">
        <v>770</v>
      </c>
      <c r="AG675" t="s">
        <v>770</v>
      </c>
      <c r="AM675" t="s">
        <v>86</v>
      </c>
      <c r="AN675" s="2">
        <v>45781</v>
      </c>
      <c r="AO675" s="2" t="s">
        <v>2027</v>
      </c>
      <c r="AP675" t="s">
        <v>106</v>
      </c>
      <c r="AQ675" t="s">
        <v>770</v>
      </c>
      <c r="AR675" s="2"/>
      <c r="AS675" s="2"/>
      <c r="AV675" s="2"/>
      <c r="BE675" s="2"/>
      <c r="BH675" t="s">
        <v>106</v>
      </c>
      <c r="BJ675" s="2"/>
      <c r="BT675" s="17">
        <f>Tabla1[[#This Row],[FECHA_TRASPLANTE]]</f>
        <v>45780</v>
      </c>
      <c r="BU675">
        <f>IF(Tabla1[[#This Row],[FALLECIDO SI/NO]]="NO",0,1)</f>
        <v>1</v>
      </c>
      <c r="BV675" s="3">
        <f ca="1">IF(Tabla1[[#This Row],[FALLECIDO_COD]]=0,TODAY()-Tabla1[[#This Row],[FECHA_TRASPLANTE]],Tabla1[[#This Row],[FECHA DE DEFUNCIÓN]]-Tabla1[[#This Row],[FECHA_TRASPLANTE]])</f>
        <v>1</v>
      </c>
      <c r="BW675" s="3">
        <f ca="1">IF(Tabla1[[#This Row],[FALLECIDO_COD]]=0,TODAY()-Tabla1[[#This Row],[FECHA_TRASPLANTE]],Tabla1[[#This Row],[FECHA DE DEFUNCIÓN]]-Tabla1[[#This Row],[FECHA_TRASPLANTE]])/30.4375</f>
        <v>3.2854209445585217E-2</v>
      </c>
      <c r="BX675" s="3">
        <f ca="1">IF(Tabla1[[#This Row],[FALLECIDO_COD]]=0,TODAY()-Tabla1[[#This Row],[FECHA_TRASPLANTE]],Tabla1[[#This Row],[FECHA DE DEFUNCIÓN]]-Tabla1[[#This Row],[FECHA_TRASPLANTE]])/365.25</f>
        <v>2.7378507871321013E-3</v>
      </c>
      <c r="BY675"/>
      <c r="BZ675"/>
    </row>
    <row r="676" spans="1:81" x14ac:dyDescent="0.35">
      <c r="A676" t="s">
        <v>377</v>
      </c>
      <c r="D676" t="s">
        <v>1333</v>
      </c>
      <c r="E676" t="s">
        <v>77</v>
      </c>
      <c r="J676" t="s">
        <v>2370</v>
      </c>
      <c r="K676" t="s">
        <v>2402</v>
      </c>
      <c r="L676" t="s">
        <v>94</v>
      </c>
      <c r="M676" t="s">
        <v>431</v>
      </c>
      <c r="N676" s="11">
        <v>204270479</v>
      </c>
      <c r="O676" s="2">
        <v>45780</v>
      </c>
      <c r="P676" t="s">
        <v>2403</v>
      </c>
      <c r="Q676" s="2">
        <v>24556</v>
      </c>
      <c r="R676" s="3">
        <f>(Tabla1[[#This Row],[FECHA_TRASPLANTE]]-Tabla1[[#This Row],[FECHA_NAC]])/365.25</f>
        <v>58.108145106091719</v>
      </c>
      <c r="S676" t="s">
        <v>200</v>
      </c>
      <c r="T676" s="2">
        <v>43732</v>
      </c>
      <c r="U676" t="s">
        <v>2404</v>
      </c>
      <c r="W676" t="s">
        <v>82</v>
      </c>
      <c r="X676" t="s">
        <v>115</v>
      </c>
      <c r="Y676" t="s">
        <v>459</v>
      </c>
      <c r="Z676" t="s">
        <v>459</v>
      </c>
      <c r="AE676" t="s">
        <v>106</v>
      </c>
      <c r="AF676" t="s">
        <v>375</v>
      </c>
      <c r="AG676" t="s">
        <v>375</v>
      </c>
      <c r="AM676" t="s">
        <v>106</v>
      </c>
      <c r="AV676" s="2"/>
      <c r="BE676" s="2"/>
      <c r="BJ676" s="2"/>
      <c r="BT676" s="17">
        <f>Tabla1[[#This Row],[FECHA_TRASPLANTE]]</f>
        <v>45780</v>
      </c>
      <c r="BU676">
        <f>IF(Tabla1[[#This Row],[FALLECIDO SI/NO]]="NO",0,1)</f>
        <v>0</v>
      </c>
      <c r="BV676" s="3">
        <f ca="1">IF(Tabla1[[#This Row],[FALLECIDO_COD]]=0,TODAY()-Tabla1[[#This Row],[FECHA_TRASPLANTE]],Tabla1[[#This Row],[FECHA DE DEFUNCIÓN]]-Tabla1[[#This Row],[FECHA_TRASPLANTE]])</f>
        <v>95</v>
      </c>
      <c r="BW676" s="3">
        <f ca="1">IF(Tabla1[[#This Row],[FALLECIDO_COD]]=0,TODAY()-Tabla1[[#This Row],[FECHA_TRASPLANTE]],Tabla1[[#This Row],[FECHA DE DEFUNCIÓN]]-Tabla1[[#This Row],[FECHA_TRASPLANTE]])/30.4375</f>
        <v>3.1211498973305956</v>
      </c>
      <c r="BX676" s="3">
        <f ca="1">IF(Tabla1[[#This Row],[FALLECIDO_COD]]=0,TODAY()-Tabla1[[#This Row],[FECHA_TRASPLANTE]],Tabla1[[#This Row],[FECHA DE DEFUNCIÓN]]-Tabla1[[#This Row],[FECHA_TRASPLANTE]])/365.25</f>
        <v>0.26009582477754961</v>
      </c>
      <c r="BY676"/>
      <c r="BZ676"/>
    </row>
    <row r="677" spans="1:81" x14ac:dyDescent="0.35">
      <c r="A677" t="s">
        <v>1125</v>
      </c>
      <c r="B677" t="s">
        <v>1125</v>
      </c>
      <c r="D677" t="s">
        <v>1129</v>
      </c>
      <c r="E677" t="s">
        <v>77</v>
      </c>
      <c r="K677" t="s">
        <v>2405</v>
      </c>
      <c r="L677" t="s">
        <v>149</v>
      </c>
      <c r="M677" t="s">
        <v>913</v>
      </c>
      <c r="N677" s="11">
        <v>108790600</v>
      </c>
      <c r="O677" s="2">
        <v>45781</v>
      </c>
      <c r="P677" t="s">
        <v>90</v>
      </c>
      <c r="Q677" s="2">
        <v>27150</v>
      </c>
      <c r="R677" s="3">
        <f>(Tabla1[[#This Row],[FECHA_TRASPLANTE]]-Tabla1[[#This Row],[FECHA_NAC]])/365.25</f>
        <v>51.008898015058179</v>
      </c>
      <c r="S677" t="s">
        <v>200</v>
      </c>
      <c r="T677" s="2">
        <v>44593</v>
      </c>
      <c r="U677" t="s">
        <v>1348</v>
      </c>
      <c r="V677" t="s">
        <v>1824</v>
      </c>
      <c r="W677" t="s">
        <v>82</v>
      </c>
      <c r="X677" t="s">
        <v>91</v>
      </c>
      <c r="Y677" t="s">
        <v>116</v>
      </c>
      <c r="Z677" t="s">
        <v>510</v>
      </c>
      <c r="AA677" s="7">
        <v>0.25694444444444442</v>
      </c>
      <c r="AE677" t="s">
        <v>86</v>
      </c>
      <c r="AF677" t="s">
        <v>375</v>
      </c>
      <c r="AG677" t="s">
        <v>375</v>
      </c>
      <c r="AM677" t="s">
        <v>106</v>
      </c>
      <c r="AO677"/>
      <c r="AV677" s="2"/>
      <c r="AY677" t="s">
        <v>106</v>
      </c>
      <c r="BD677" t="s">
        <v>106</v>
      </c>
      <c r="BE677" s="2"/>
      <c r="BH677" t="s">
        <v>106</v>
      </c>
      <c r="BI677" t="s">
        <v>106</v>
      </c>
      <c r="BJ677" s="2"/>
      <c r="BT677" s="17">
        <f>Tabla1[[#This Row],[FECHA_TRASPLANTE]]</f>
        <v>45781</v>
      </c>
      <c r="BU677">
        <f>IF(Tabla1[[#This Row],[FALLECIDO SI/NO]]="NO",0,1)</f>
        <v>0</v>
      </c>
      <c r="BV677" s="3">
        <f ca="1">IF(Tabla1[[#This Row],[FALLECIDO_COD]]=0,TODAY()-Tabla1[[#This Row],[FECHA_TRASPLANTE]],Tabla1[[#This Row],[FECHA DE DEFUNCIÓN]]-Tabla1[[#This Row],[FECHA_TRASPLANTE]])</f>
        <v>94</v>
      </c>
      <c r="BW677" s="3">
        <f ca="1">IF(Tabla1[[#This Row],[FALLECIDO_COD]]=0,TODAY()-Tabla1[[#This Row],[FECHA_TRASPLANTE]],Tabla1[[#This Row],[FECHA DE DEFUNCIÓN]]-Tabla1[[#This Row],[FECHA_TRASPLANTE]])/30.4375</f>
        <v>3.0882956878850103</v>
      </c>
      <c r="BX677" s="3">
        <f ca="1">IF(Tabla1[[#This Row],[FALLECIDO_COD]]=0,TODAY()-Tabla1[[#This Row],[FECHA_TRASPLANTE]],Tabla1[[#This Row],[FECHA DE DEFUNCIÓN]]-Tabla1[[#This Row],[FECHA_TRASPLANTE]])/365.25</f>
        <v>0.25735797399041754</v>
      </c>
      <c r="BY677"/>
      <c r="BZ677"/>
    </row>
    <row r="678" spans="1:81" x14ac:dyDescent="0.35">
      <c r="A678" t="s">
        <v>1125</v>
      </c>
      <c r="B678" t="s">
        <v>1125</v>
      </c>
      <c r="D678" t="s">
        <v>1129</v>
      </c>
      <c r="E678" t="s">
        <v>77</v>
      </c>
      <c r="K678" t="s">
        <v>2406</v>
      </c>
      <c r="L678" t="s">
        <v>459</v>
      </c>
      <c r="M678" t="s">
        <v>1164</v>
      </c>
      <c r="N678" s="11">
        <v>117090275</v>
      </c>
      <c r="O678" s="2">
        <v>45786</v>
      </c>
      <c r="P678" t="s">
        <v>81</v>
      </c>
      <c r="Q678" s="2">
        <v>35929</v>
      </c>
      <c r="R678" s="3">
        <f>(Tabla1[[#This Row],[FECHA_TRASPLANTE]]-Tabla1[[#This Row],[FECHA_NAC]])/365.25</f>
        <v>26.986995208761122</v>
      </c>
      <c r="S678" t="s">
        <v>200</v>
      </c>
      <c r="T678" s="2">
        <v>36843</v>
      </c>
      <c r="U678" t="s">
        <v>2407</v>
      </c>
      <c r="V678" t="s">
        <v>1838</v>
      </c>
      <c r="W678" t="s">
        <v>82</v>
      </c>
      <c r="X678" t="s">
        <v>91</v>
      </c>
      <c r="Y678" t="s">
        <v>521</v>
      </c>
      <c r="Z678" t="s">
        <v>2408</v>
      </c>
      <c r="AA678" s="7">
        <v>0.28333333333333333</v>
      </c>
      <c r="AE678" t="s">
        <v>106</v>
      </c>
      <c r="AM678" t="s">
        <v>106</v>
      </c>
      <c r="AO678"/>
      <c r="AV678" s="2"/>
      <c r="AY678" t="s">
        <v>106</v>
      </c>
      <c r="BD678" t="s">
        <v>106</v>
      </c>
      <c r="BE678" s="2"/>
      <c r="BH678" t="s">
        <v>106</v>
      </c>
      <c r="BI678" t="s">
        <v>106</v>
      </c>
      <c r="BJ678" s="2"/>
      <c r="BT678" s="17">
        <f>Tabla1[[#This Row],[FECHA_TRASPLANTE]]</f>
        <v>45786</v>
      </c>
      <c r="BU678">
        <f>IF(Tabla1[[#This Row],[FALLECIDO SI/NO]]="NO",0,1)</f>
        <v>0</v>
      </c>
      <c r="BV678" s="3">
        <f ca="1">IF(Tabla1[[#This Row],[FALLECIDO_COD]]=0,TODAY()-Tabla1[[#This Row],[FECHA_TRASPLANTE]],Tabla1[[#This Row],[FECHA DE DEFUNCIÓN]]-Tabla1[[#This Row],[FECHA_TRASPLANTE]])</f>
        <v>89</v>
      </c>
      <c r="BW678" s="3">
        <f ca="1">IF(Tabla1[[#This Row],[FALLECIDO_COD]]=0,TODAY()-Tabla1[[#This Row],[FECHA_TRASPLANTE]],Tabla1[[#This Row],[FECHA DE DEFUNCIÓN]]-Tabla1[[#This Row],[FECHA_TRASPLANTE]])/30.4375</f>
        <v>2.924024640657084</v>
      </c>
      <c r="BX678" s="3">
        <f ca="1">IF(Tabla1[[#This Row],[FALLECIDO_COD]]=0,TODAY()-Tabla1[[#This Row],[FECHA_TRASPLANTE]],Tabla1[[#This Row],[FECHA DE DEFUNCIÓN]]-Tabla1[[#This Row],[FECHA_TRASPLANTE]])/365.25</f>
        <v>0.24366872005475701</v>
      </c>
      <c r="BY678"/>
      <c r="BZ678"/>
    </row>
    <row r="679" spans="1:81" x14ac:dyDescent="0.35">
      <c r="A679" t="s">
        <v>377</v>
      </c>
      <c r="D679" t="s">
        <v>1333</v>
      </c>
      <c r="E679" t="s">
        <v>77</v>
      </c>
      <c r="J679" t="s">
        <v>2370</v>
      </c>
      <c r="K679" t="s">
        <v>2409</v>
      </c>
      <c r="L679" t="s">
        <v>1535</v>
      </c>
      <c r="M679" t="s">
        <v>408</v>
      </c>
      <c r="N679" s="11">
        <v>110310860</v>
      </c>
      <c r="O679" s="2">
        <v>45786</v>
      </c>
      <c r="P679" t="s">
        <v>2319</v>
      </c>
      <c r="Q679" s="2">
        <v>28964</v>
      </c>
      <c r="R679" s="3">
        <f>(Tabla1[[#This Row],[FECHA_TRASPLANTE]]-Tabla1[[#This Row],[FECHA_NAC]])/365.25</f>
        <v>46.056125941136209</v>
      </c>
      <c r="S679" t="s">
        <v>200</v>
      </c>
      <c r="T679" s="2">
        <v>44281</v>
      </c>
      <c r="U679" t="s">
        <v>2410</v>
      </c>
      <c r="W679" t="s">
        <v>82</v>
      </c>
      <c r="X679" t="s">
        <v>261</v>
      </c>
      <c r="Y679" t="s">
        <v>454</v>
      </c>
      <c r="Z679" t="s">
        <v>2411</v>
      </c>
      <c r="AA679" s="7">
        <v>0.21736111111111112</v>
      </c>
      <c r="AE679" t="s">
        <v>106</v>
      </c>
      <c r="AM679" t="s">
        <v>106</v>
      </c>
      <c r="AQ679" t="s">
        <v>358</v>
      </c>
      <c r="AV679" s="2"/>
      <c r="AY679" t="s">
        <v>106</v>
      </c>
      <c r="BE679" s="2"/>
      <c r="BJ679" s="2"/>
      <c r="BT679" s="17">
        <f>Tabla1[[#This Row],[FECHA_TRASPLANTE]]</f>
        <v>45786</v>
      </c>
      <c r="BU679">
        <f>IF(Tabla1[[#This Row],[FALLECIDO SI/NO]]="NO",0,1)</f>
        <v>0</v>
      </c>
      <c r="BV679" s="3">
        <f ca="1">IF(Tabla1[[#This Row],[FALLECIDO_COD]]=0,TODAY()-Tabla1[[#This Row],[FECHA_TRASPLANTE]],Tabla1[[#This Row],[FECHA DE DEFUNCIÓN]]-Tabla1[[#This Row],[FECHA_TRASPLANTE]])</f>
        <v>89</v>
      </c>
      <c r="BW679" s="3">
        <f ca="1">IF(Tabla1[[#This Row],[FALLECIDO_COD]]=0,TODAY()-Tabla1[[#This Row],[FECHA_TRASPLANTE]],Tabla1[[#This Row],[FECHA DE DEFUNCIÓN]]-Tabla1[[#This Row],[FECHA_TRASPLANTE]])/30.4375</f>
        <v>2.924024640657084</v>
      </c>
      <c r="BX679" s="3">
        <f ca="1">IF(Tabla1[[#This Row],[FALLECIDO_COD]]=0,TODAY()-Tabla1[[#This Row],[FECHA_TRASPLANTE]],Tabla1[[#This Row],[FECHA DE DEFUNCIÓN]]-Tabla1[[#This Row],[FECHA_TRASPLANTE]])/365.25</f>
        <v>0.24366872005475701</v>
      </c>
      <c r="BY679"/>
      <c r="BZ679"/>
    </row>
    <row r="680" spans="1:81" x14ac:dyDescent="0.35">
      <c r="A680" t="s">
        <v>377</v>
      </c>
      <c r="D680" t="s">
        <v>1333</v>
      </c>
      <c r="E680" t="s">
        <v>77</v>
      </c>
      <c r="K680" t="s">
        <v>2412</v>
      </c>
      <c r="L680" t="s">
        <v>188</v>
      </c>
      <c r="M680" t="s">
        <v>521</v>
      </c>
      <c r="N680" s="11">
        <v>108430337</v>
      </c>
      <c r="O680" s="2">
        <v>45796</v>
      </c>
      <c r="P680" t="s">
        <v>81</v>
      </c>
      <c r="Q680" s="2">
        <v>26660</v>
      </c>
      <c r="R680" s="3">
        <f>(Tabla1[[#This Row],[FECHA_TRASPLANTE]]-Tabla1[[#This Row],[FECHA_NAC]])/365.25</f>
        <v>52.39151266255989</v>
      </c>
      <c r="T680"/>
      <c r="W680" t="s">
        <v>82</v>
      </c>
      <c r="AM680" t="s">
        <v>106</v>
      </c>
      <c r="AV680" s="2"/>
      <c r="BT680" s="17">
        <f>Tabla1[[#This Row],[FECHA_TRASPLANTE]]</f>
        <v>45796</v>
      </c>
      <c r="BU680">
        <f>IF(Tabla1[[#This Row],[FALLECIDO SI/NO]]="NO",0,1)</f>
        <v>0</v>
      </c>
      <c r="BV680" s="3">
        <f ca="1">IF(Tabla1[[#This Row],[FALLECIDO_COD]]=0,TODAY()-Tabla1[[#This Row],[FECHA_TRASPLANTE]],Tabla1[[#This Row],[FECHA DE DEFUNCIÓN]]-Tabla1[[#This Row],[FECHA_TRASPLANTE]])</f>
        <v>79</v>
      </c>
      <c r="BW680" s="3">
        <f ca="1">IF(Tabla1[[#This Row],[FALLECIDO_COD]]=0,TODAY()-Tabla1[[#This Row],[FECHA_TRASPLANTE]],Tabla1[[#This Row],[FECHA DE DEFUNCIÓN]]-Tabla1[[#This Row],[FECHA_TRASPLANTE]])/30.4375</f>
        <v>2.5954825462012319</v>
      </c>
      <c r="BX680" s="3">
        <f ca="1">IF(Tabla1[[#This Row],[FALLECIDO_COD]]=0,TODAY()-Tabla1[[#This Row],[FECHA_TRASPLANTE]],Tabla1[[#This Row],[FECHA DE DEFUNCIÓN]]-Tabla1[[#This Row],[FECHA_TRASPLANTE]])/365.25</f>
        <v>0.216290212183436</v>
      </c>
      <c r="BY680"/>
      <c r="BZ680"/>
    </row>
    <row r="681" spans="1:81" ht="15.5" x14ac:dyDescent="0.35">
      <c r="A681" t="s">
        <v>377</v>
      </c>
      <c r="D681" t="s">
        <v>1333</v>
      </c>
      <c r="E681" t="s">
        <v>375</v>
      </c>
      <c r="J681" t="s">
        <v>746</v>
      </c>
      <c r="K681" t="s">
        <v>2413</v>
      </c>
      <c r="L681" t="s">
        <v>1164</v>
      </c>
      <c r="M681" t="s">
        <v>1881</v>
      </c>
      <c r="N681" s="13">
        <v>118750564</v>
      </c>
      <c r="O681" s="2">
        <v>45798</v>
      </c>
      <c r="P681" t="s">
        <v>81</v>
      </c>
      <c r="Q681" s="2">
        <v>37760</v>
      </c>
      <c r="R681" s="3">
        <f>(Tabla1[[#This Row],[FECHA_TRASPLANTE]]-Tabla1[[#This Row],[FECHA_NAC]])/365.25</f>
        <v>22.00684462696783</v>
      </c>
      <c r="T681"/>
      <c r="W681" t="s">
        <v>82</v>
      </c>
      <c r="AM681" t="s">
        <v>106</v>
      </c>
      <c r="AV681" s="2"/>
      <c r="BO681">
        <v>206730575</v>
      </c>
      <c r="BP681" t="s">
        <v>81</v>
      </c>
      <c r="BQ681" t="s">
        <v>82</v>
      </c>
      <c r="BR681" t="s">
        <v>2108</v>
      </c>
      <c r="BS681" t="s">
        <v>2414</v>
      </c>
      <c r="BT681" s="17">
        <f>Tabla1[[#This Row],[FECHA_TRASPLANTE]]</f>
        <v>45798</v>
      </c>
      <c r="BU681">
        <f>IF(Tabla1[[#This Row],[FALLECIDO SI/NO]]="NO",0,1)</f>
        <v>0</v>
      </c>
      <c r="BV681" s="3">
        <f ca="1">IF(Tabla1[[#This Row],[FALLECIDO_COD]]=0,TODAY()-Tabla1[[#This Row],[FECHA_TRASPLANTE]],Tabla1[[#This Row],[FECHA DE DEFUNCIÓN]]-Tabla1[[#This Row],[FECHA_TRASPLANTE]])</f>
        <v>77</v>
      </c>
      <c r="BW681" s="3">
        <f ca="1">IF(Tabla1[[#This Row],[FALLECIDO_COD]]=0,TODAY()-Tabla1[[#This Row],[FECHA_TRASPLANTE]],Tabla1[[#This Row],[FECHA DE DEFUNCIÓN]]-Tabla1[[#This Row],[FECHA_TRASPLANTE]])/30.4375</f>
        <v>2.5297741273100618</v>
      </c>
      <c r="BX681" s="3">
        <f ca="1">IF(Tabla1[[#This Row],[FALLECIDO_COD]]=0,TODAY()-Tabla1[[#This Row],[FECHA_TRASPLANTE]],Tabla1[[#This Row],[FECHA DE DEFUNCIÓN]]-Tabla1[[#This Row],[FECHA_TRASPLANTE]])/365.25</f>
        <v>0.21081451060917181</v>
      </c>
      <c r="BY681"/>
      <c r="BZ681"/>
    </row>
    <row r="682" spans="1:81" x14ac:dyDescent="0.35">
      <c r="A682" t="s">
        <v>1125</v>
      </c>
      <c r="B682" t="s">
        <v>1125</v>
      </c>
      <c r="D682" t="s">
        <v>1129</v>
      </c>
      <c r="E682" t="s">
        <v>77</v>
      </c>
      <c r="K682" t="s">
        <v>2415</v>
      </c>
      <c r="L682" t="s">
        <v>108</v>
      </c>
      <c r="M682" t="s">
        <v>224</v>
      </c>
      <c r="N682" s="11">
        <v>901040589</v>
      </c>
      <c r="O682" s="2">
        <v>45800</v>
      </c>
      <c r="P682" t="s">
        <v>81</v>
      </c>
      <c r="Q682" s="2">
        <v>27174</v>
      </c>
      <c r="R682" s="3">
        <f>(Tabla1[[#This Row],[FECHA_TRASPLANTE]]-Tabla1[[#This Row],[FECHA_NAC]])/365.25</f>
        <v>50.99520876112252</v>
      </c>
      <c r="T682"/>
      <c r="W682" t="s">
        <v>82</v>
      </c>
      <c r="AM682" t="s">
        <v>106</v>
      </c>
      <c r="AV682" s="2"/>
      <c r="AY682" t="s">
        <v>106</v>
      </c>
      <c r="BD682" t="s">
        <v>106</v>
      </c>
      <c r="BH682" t="s">
        <v>106</v>
      </c>
      <c r="BI682" t="s">
        <v>106</v>
      </c>
      <c r="BT682" s="17">
        <f>Tabla1[[#This Row],[FECHA_TRASPLANTE]]</f>
        <v>45800</v>
      </c>
      <c r="BU682">
        <f>IF(Tabla1[[#This Row],[FALLECIDO SI/NO]]="NO",0,1)</f>
        <v>0</v>
      </c>
      <c r="BV682" s="3">
        <f ca="1">IF(Tabla1[[#This Row],[FALLECIDO_COD]]=0,TODAY()-Tabla1[[#This Row],[FECHA_TRASPLANTE]],Tabla1[[#This Row],[FECHA DE DEFUNCIÓN]]-Tabla1[[#This Row],[FECHA_TRASPLANTE]])</f>
        <v>75</v>
      </c>
      <c r="BW682" s="3">
        <f ca="1">IF(Tabla1[[#This Row],[FALLECIDO_COD]]=0,TODAY()-Tabla1[[#This Row],[FECHA_TRASPLANTE]],Tabla1[[#This Row],[FECHA DE DEFUNCIÓN]]-Tabla1[[#This Row],[FECHA_TRASPLANTE]])/30.4375</f>
        <v>2.4640657084188913</v>
      </c>
      <c r="BX682" s="3">
        <f ca="1">IF(Tabla1[[#This Row],[FALLECIDO_COD]]=0,TODAY()-Tabla1[[#This Row],[FECHA_TRASPLANTE]],Tabla1[[#This Row],[FECHA DE DEFUNCIÓN]]-Tabla1[[#This Row],[FECHA_TRASPLANTE]])/365.25</f>
        <v>0.20533880903490759</v>
      </c>
      <c r="BY682"/>
      <c r="BZ682"/>
    </row>
    <row r="683" spans="1:81" x14ac:dyDescent="0.35">
      <c r="A683" t="s">
        <v>377</v>
      </c>
      <c r="B683" t="s">
        <v>2249</v>
      </c>
      <c r="D683" t="s">
        <v>1129</v>
      </c>
      <c r="E683" t="s">
        <v>77</v>
      </c>
      <c r="K683" t="s">
        <v>2416</v>
      </c>
      <c r="L683" t="s">
        <v>99</v>
      </c>
      <c r="M683" t="s">
        <v>145</v>
      </c>
      <c r="N683" s="11">
        <v>503630572</v>
      </c>
      <c r="O683" s="2">
        <v>45834</v>
      </c>
      <c r="P683" t="s">
        <v>81</v>
      </c>
      <c r="Q683" s="2">
        <v>25790</v>
      </c>
      <c r="R683" s="3">
        <f>(Tabla1[[#This Row],[FECHA_TRASPLANTE]]-Tabla1[[#This Row],[FECHA_NAC]])/365.25</f>
        <v>54.87748117727584</v>
      </c>
      <c r="T683"/>
      <c r="AM683" t="s">
        <v>86</v>
      </c>
      <c r="AN683" s="2">
        <v>45838</v>
      </c>
      <c r="AO683" s="2" t="s">
        <v>2417</v>
      </c>
      <c r="AP683" t="s">
        <v>106</v>
      </c>
      <c r="AV683" s="2"/>
      <c r="BT683" s="17">
        <f>Tabla1[[#This Row],[FECHA_TRASPLANTE]]</f>
        <v>45834</v>
      </c>
      <c r="BU683">
        <f>IF(Tabla1[[#This Row],[FALLECIDO SI/NO]]="NO",0,1)</f>
        <v>1</v>
      </c>
      <c r="BV683" s="3">
        <f ca="1">IF(Tabla1[[#This Row],[FALLECIDO_COD]]=0,TODAY()-Tabla1[[#This Row],[FECHA_TRASPLANTE]],Tabla1[[#This Row],[FECHA DE DEFUNCIÓN]]-Tabla1[[#This Row],[FECHA_TRASPLANTE]])</f>
        <v>4</v>
      </c>
      <c r="BW683" s="3">
        <f ca="1">IF(Tabla1[[#This Row],[FALLECIDO_COD]]=0,TODAY()-Tabla1[[#This Row],[FECHA_TRASPLANTE]],Tabla1[[#This Row],[FECHA DE DEFUNCIÓN]]-Tabla1[[#This Row],[FECHA_TRASPLANTE]])/30.4375</f>
        <v>0.13141683778234087</v>
      </c>
      <c r="BX683" s="3">
        <f ca="1">IF(Tabla1[[#This Row],[FALLECIDO_COD]]=0,TODAY()-Tabla1[[#This Row],[FECHA_TRASPLANTE]],Tabla1[[#This Row],[FECHA DE DEFUNCIÓN]]-Tabla1[[#This Row],[FECHA_TRASPLANTE]])/365.25</f>
        <v>1.0951403148528405E-2</v>
      </c>
      <c r="BZ683"/>
    </row>
    <row r="684" spans="1:81" x14ac:dyDescent="0.35">
      <c r="A684" t="s">
        <v>377</v>
      </c>
      <c r="D684" t="s">
        <v>1129</v>
      </c>
      <c r="E684" t="s">
        <v>77</v>
      </c>
      <c r="K684" t="s">
        <v>2418</v>
      </c>
      <c r="N684" s="11">
        <v>203440895</v>
      </c>
      <c r="O684" s="2">
        <v>45822</v>
      </c>
      <c r="P684" t="s">
        <v>81</v>
      </c>
      <c r="Q684" s="2">
        <v>19286</v>
      </c>
      <c r="R684" s="3">
        <f>(Tabla1[[#This Row],[FECHA_TRASPLANTE]]-Tabla1[[#This Row],[FECHA_NAC]])/365.25</f>
        <v>72.651608487337441</v>
      </c>
      <c r="T684"/>
      <c r="W684" t="s">
        <v>82</v>
      </c>
      <c r="AM684" t="s">
        <v>106</v>
      </c>
      <c r="AV684" s="2"/>
      <c r="BT684" s="17">
        <f>Tabla1[[#This Row],[FECHA_TRASPLANTE]]</f>
        <v>45822</v>
      </c>
      <c r="BU684">
        <f>IF(Tabla1[[#This Row],[FALLECIDO SI/NO]]="NO",0,1)</f>
        <v>0</v>
      </c>
      <c r="BV684" s="3">
        <f ca="1">IF(Tabla1[[#This Row],[FALLECIDO_COD]]=0,TODAY()-Tabla1[[#This Row],[FECHA_TRASPLANTE]],Tabla1[[#This Row],[FECHA DE DEFUNCIÓN]]-Tabla1[[#This Row],[FECHA_TRASPLANTE]])</f>
        <v>53</v>
      </c>
      <c r="BW684" s="3">
        <f ca="1">IF(Tabla1[[#This Row],[FALLECIDO_COD]]=0,TODAY()-Tabla1[[#This Row],[FECHA_TRASPLANTE]],Tabla1[[#This Row],[FECHA DE DEFUNCIÓN]]-Tabla1[[#This Row],[FECHA_TRASPLANTE]])/30.4375</f>
        <v>1.7412731006160165</v>
      </c>
      <c r="BX684" s="3">
        <f ca="1">IF(Tabla1[[#This Row],[FALLECIDO_COD]]=0,TODAY()-Tabla1[[#This Row],[FECHA_TRASPLANTE]],Tabla1[[#This Row],[FECHA DE DEFUNCIÓN]]-Tabla1[[#This Row],[FECHA_TRASPLANTE]])/365.25</f>
        <v>0.14510609171800137</v>
      </c>
      <c r="BZ684"/>
    </row>
    <row r="685" spans="1:81" x14ac:dyDescent="0.35">
      <c r="A685" t="s">
        <v>377</v>
      </c>
      <c r="D685" t="s">
        <v>1129</v>
      </c>
      <c r="E685" t="s">
        <v>375</v>
      </c>
      <c r="J685" t="s">
        <v>746</v>
      </c>
      <c r="K685" t="s">
        <v>2419</v>
      </c>
      <c r="N685" s="11">
        <v>502710823</v>
      </c>
      <c r="O685" s="2">
        <v>45833</v>
      </c>
      <c r="P685" t="s">
        <v>90</v>
      </c>
      <c r="Q685" s="2">
        <v>26407</v>
      </c>
      <c r="R685" s="3">
        <f>(Tabla1[[#This Row],[FECHA_TRASPLANTE]]-Tabla1[[#This Row],[FECHA_NAC]])/365.25</f>
        <v>53.185489390828202</v>
      </c>
      <c r="T685"/>
      <c r="W685" t="s">
        <v>82</v>
      </c>
      <c r="AM685" t="s">
        <v>106</v>
      </c>
      <c r="AV685" s="2"/>
      <c r="BO685">
        <v>503950353</v>
      </c>
      <c r="BP685" t="s">
        <v>81</v>
      </c>
      <c r="BQ685" t="s">
        <v>82</v>
      </c>
      <c r="BR685" t="s">
        <v>1806</v>
      </c>
      <c r="BS685" t="s">
        <v>1714</v>
      </c>
      <c r="BT685" s="17">
        <f>Tabla1[[#This Row],[FECHA_TRASPLANTE]]</f>
        <v>45833</v>
      </c>
      <c r="BU685">
        <f>IF(Tabla1[[#This Row],[FALLECIDO SI/NO]]="NO",0,1)</f>
        <v>0</v>
      </c>
      <c r="BV685" s="3">
        <f ca="1">IF(Tabla1[[#This Row],[FALLECIDO_COD]]=0,TODAY()-Tabla1[[#This Row],[FECHA_TRASPLANTE]],Tabla1[[#This Row],[FECHA DE DEFUNCIÓN]]-Tabla1[[#This Row],[FECHA_TRASPLANTE]])</f>
        <v>42</v>
      </c>
      <c r="BW685" s="3">
        <f ca="1">IF(Tabla1[[#This Row],[FALLECIDO_COD]]=0,TODAY()-Tabla1[[#This Row],[FECHA_TRASPLANTE]],Tabla1[[#This Row],[FECHA DE DEFUNCIÓN]]-Tabla1[[#This Row],[FECHA_TRASPLANTE]])/30.4375</f>
        <v>1.3798767967145791</v>
      </c>
      <c r="BX685" s="3">
        <f ca="1">IF(Tabla1[[#This Row],[FALLECIDO_COD]]=0,TODAY()-Tabla1[[#This Row],[FECHA_TRASPLANTE]],Tabla1[[#This Row],[FECHA DE DEFUNCIÓN]]-Tabla1[[#This Row],[FECHA_TRASPLANTE]])/365.25</f>
        <v>0.11498973305954825</v>
      </c>
      <c r="BZ685"/>
    </row>
    <row r="686" spans="1:81" x14ac:dyDescent="0.35">
      <c r="A686" t="s">
        <v>1126</v>
      </c>
      <c r="B686" t="s">
        <v>1126</v>
      </c>
      <c r="D686" t="s">
        <v>1333</v>
      </c>
      <c r="E686" t="s">
        <v>375</v>
      </c>
      <c r="F686" t="s">
        <v>106</v>
      </c>
      <c r="G686" t="s">
        <v>205</v>
      </c>
      <c r="H686" s="2">
        <v>29150</v>
      </c>
      <c r="I686">
        <v>45</v>
      </c>
      <c r="J686" t="s">
        <v>746</v>
      </c>
      <c r="N686" s="11">
        <v>28915612</v>
      </c>
      <c r="O686" s="2">
        <v>45810</v>
      </c>
      <c r="P686" t="s">
        <v>1669</v>
      </c>
      <c r="Q686" s="2">
        <v>32780</v>
      </c>
      <c r="R686" s="3">
        <f>(Tabla1[[#This Row],[FECHA_TRASPLANTE]]-Tabla1[[#This Row],[FECHA_NAC]])/365.25</f>
        <v>35.674195756331279</v>
      </c>
      <c r="S686" t="s">
        <v>205</v>
      </c>
      <c r="U686" s="1" t="s">
        <v>1960</v>
      </c>
      <c r="V686" t="s">
        <v>1566</v>
      </c>
      <c r="W686" t="s">
        <v>2420</v>
      </c>
      <c r="X686" t="s">
        <v>110</v>
      </c>
      <c r="Y686" t="s">
        <v>196</v>
      </c>
      <c r="Z686" t="s">
        <v>621</v>
      </c>
      <c r="AF686" t="s">
        <v>375</v>
      </c>
      <c r="AG686" t="s">
        <v>375</v>
      </c>
      <c r="AM686" t="s">
        <v>106</v>
      </c>
      <c r="AN686"/>
      <c r="AR686" s="2"/>
      <c r="AS686" s="2"/>
      <c r="AW686" s="2"/>
      <c r="AZ686"/>
      <c r="BA686" t="s">
        <v>1812</v>
      </c>
      <c r="BD686" s="2"/>
      <c r="BE686" s="2">
        <v>45810</v>
      </c>
      <c r="BF686" t="s">
        <v>2421</v>
      </c>
      <c r="BG686" t="s">
        <v>2422</v>
      </c>
      <c r="BH686" t="s">
        <v>86</v>
      </c>
      <c r="BT686" s="17">
        <f>Tabla1[[#This Row],[FECHA_TRASPLANTE]]</f>
        <v>45810</v>
      </c>
      <c r="BU686">
        <f>IF(Tabla1[[#This Row],[FALLECIDO SI/NO]]="NO",0,1)</f>
        <v>0</v>
      </c>
      <c r="BV686" s="3">
        <f ca="1">IF(Tabla1[[#This Row],[FALLECIDO_COD]]=0,TODAY()-Tabla1[[#This Row],[FECHA_TRASPLANTE]],Tabla1[[#This Row],[FECHA DE DEFUNCIÓN]]-Tabla1[[#This Row],[FECHA_TRASPLANTE]])</f>
        <v>65</v>
      </c>
      <c r="BW686" s="3">
        <f ca="1">IF(Tabla1[[#This Row],[FALLECIDO_COD]]=0,TODAY()-Tabla1[[#This Row],[FECHA_TRASPLANTE]],Tabla1[[#This Row],[FECHA DE DEFUNCIÓN]]-Tabla1[[#This Row],[FECHA_TRASPLANTE]])/30.4375</f>
        <v>2.1355236139630391</v>
      </c>
      <c r="BX686" s="3">
        <f ca="1">IF(Tabla1[[#This Row],[FALLECIDO_COD]]=0,TODAY()-Tabla1[[#This Row],[FECHA_TRASPLANTE]],Tabla1[[#This Row],[FECHA DE DEFUNCIÓN]]-Tabla1[[#This Row],[FECHA_TRASPLANTE]])/365.25</f>
        <v>0.17796030116358658</v>
      </c>
      <c r="BY686"/>
      <c r="BZ686"/>
      <c r="CA686" s="3"/>
      <c r="CB686" s="3"/>
      <c r="CC686" s="3"/>
    </row>
    <row r="687" spans="1:81" x14ac:dyDescent="0.35">
      <c r="A687" t="s">
        <v>1126</v>
      </c>
      <c r="B687" t="s">
        <v>1126</v>
      </c>
      <c r="D687" t="s">
        <v>2423</v>
      </c>
      <c r="E687" t="s">
        <v>77</v>
      </c>
      <c r="F687" t="s">
        <v>86</v>
      </c>
      <c r="I687">
        <v>125.49486652977413</v>
      </c>
      <c r="J687" t="s">
        <v>1919</v>
      </c>
      <c r="N687" s="11">
        <v>304150662</v>
      </c>
      <c r="O687" s="2">
        <v>45837</v>
      </c>
      <c r="P687" t="s">
        <v>1549</v>
      </c>
      <c r="Q687" s="2">
        <v>31739</v>
      </c>
      <c r="R687" s="3">
        <f>(Tabla1[[#This Row],[FECHA_TRASPLANTE]]-Tabla1[[#This Row],[FECHA_NAC]])/365.25</f>
        <v>38.598220396988367</v>
      </c>
      <c r="U687" s="1" t="s">
        <v>1907</v>
      </c>
      <c r="V687" t="s">
        <v>1566</v>
      </c>
      <c r="W687" t="s">
        <v>82</v>
      </c>
      <c r="X687" t="s">
        <v>110</v>
      </c>
      <c r="Y687" t="s">
        <v>110</v>
      </c>
      <c r="Z687" t="s">
        <v>158</v>
      </c>
      <c r="AA687" t="s">
        <v>2424</v>
      </c>
      <c r="AB687" t="s">
        <v>2425</v>
      </c>
      <c r="AC687" t="s">
        <v>2426</v>
      </c>
      <c r="AF687" t="s">
        <v>375</v>
      </c>
      <c r="AM687" t="s">
        <v>106</v>
      </c>
      <c r="AN687"/>
      <c r="AR687" s="2"/>
      <c r="AS687" s="2"/>
      <c r="AW687" s="2"/>
      <c r="AZ687"/>
      <c r="BD687" s="2"/>
      <c r="BE687" s="2"/>
      <c r="BT687" s="17">
        <f>Tabla1[[#This Row],[FECHA_TRASPLANTE]]</f>
        <v>45837</v>
      </c>
      <c r="BU687">
        <f>IF(Tabla1[[#This Row],[FALLECIDO SI/NO]]="NO",0,1)</f>
        <v>0</v>
      </c>
      <c r="BV687" s="3">
        <f ca="1">IF(Tabla1[[#This Row],[FALLECIDO_COD]]=0,TODAY()-Tabla1[[#This Row],[FECHA_TRASPLANTE]],Tabla1[[#This Row],[FECHA DE DEFUNCIÓN]]-Tabla1[[#This Row],[FECHA_TRASPLANTE]])</f>
        <v>38</v>
      </c>
      <c r="BW687" s="3">
        <f ca="1">IF(Tabla1[[#This Row],[FALLECIDO_COD]]=0,TODAY()-Tabla1[[#This Row],[FECHA_TRASPLANTE]],Tabla1[[#This Row],[FECHA DE DEFUNCIÓN]]-Tabla1[[#This Row],[FECHA_TRASPLANTE]])/30.4375</f>
        <v>1.2484599589322383</v>
      </c>
      <c r="BX687" s="3">
        <f ca="1">IF(Tabla1[[#This Row],[FALLECIDO_COD]]=0,TODAY()-Tabla1[[#This Row],[FECHA_TRASPLANTE]],Tabla1[[#This Row],[FECHA DE DEFUNCIÓN]]-Tabla1[[#This Row],[FECHA_TRASPLANTE]])/365.25</f>
        <v>0.10403832991101986</v>
      </c>
      <c r="BY687"/>
      <c r="BZ687"/>
      <c r="CA687" s="3"/>
      <c r="CB687" s="3"/>
      <c r="CC687" s="3"/>
    </row>
    <row r="688" spans="1:81" x14ac:dyDescent="0.35">
      <c r="A688" t="s">
        <v>75</v>
      </c>
      <c r="B688" t="s">
        <v>1828</v>
      </c>
      <c r="C688" t="s">
        <v>2427</v>
      </c>
      <c r="D688" t="s">
        <v>1129</v>
      </c>
      <c r="E688" t="s">
        <v>77</v>
      </c>
      <c r="G688" t="s">
        <v>200</v>
      </c>
      <c r="I688">
        <v>18</v>
      </c>
      <c r="N688" s="11">
        <v>700970430</v>
      </c>
      <c r="O688" s="16">
        <v>45797</v>
      </c>
      <c r="P688" t="s">
        <v>81</v>
      </c>
      <c r="Q688" s="2">
        <v>25790</v>
      </c>
      <c r="R688" s="3">
        <f>(Tabla1[[#This Row],[FECHA_TRASPLANTE]]-Tabla1[[#This Row],[FECHA_NAC]])/365.25</f>
        <v>54.776180698151954</v>
      </c>
      <c r="S688" t="s">
        <v>200</v>
      </c>
      <c r="T688"/>
      <c r="U688" t="s">
        <v>2350</v>
      </c>
      <c r="V688" t="s">
        <v>2326</v>
      </c>
      <c r="W688" t="s">
        <v>82</v>
      </c>
      <c r="X688" t="s">
        <v>120</v>
      </c>
      <c r="Y688" t="s">
        <v>120</v>
      </c>
      <c r="Z688" t="s">
        <v>120</v>
      </c>
      <c r="AA688">
        <v>9.32</v>
      </c>
      <c r="AB688" t="s">
        <v>2310</v>
      </c>
      <c r="AC688" t="s">
        <v>2310</v>
      </c>
      <c r="AD688" t="s">
        <v>2311</v>
      </c>
      <c r="AE688" t="s">
        <v>2428</v>
      </c>
      <c r="AM688" t="s">
        <v>86</v>
      </c>
      <c r="AN688" s="2">
        <v>45798</v>
      </c>
      <c r="AO688" s="2" t="s">
        <v>2429</v>
      </c>
      <c r="AV688" s="2"/>
      <c r="AY688" t="s">
        <v>2313</v>
      </c>
      <c r="AZ688"/>
      <c r="BA688" s="2" t="s">
        <v>2340</v>
      </c>
      <c r="BD688" t="s">
        <v>2311</v>
      </c>
      <c r="BE688">
        <v>45797</v>
      </c>
      <c r="BF688" t="s">
        <v>2430</v>
      </c>
      <c r="BG688" t="s">
        <v>2431</v>
      </c>
      <c r="BH688" t="s">
        <v>2313</v>
      </c>
      <c r="BL688" t="s">
        <v>2315</v>
      </c>
      <c r="BT688" s="17">
        <f>Tabla1[[#This Row],[FECHA_TRASPLANTE]]</f>
        <v>45797</v>
      </c>
      <c r="BU688">
        <f>IF(Tabla1[[#This Row],[FALLECIDO SI/NO]]="NO",0,1)</f>
        <v>1</v>
      </c>
      <c r="BV688" s="3">
        <f ca="1">IF(Tabla1[[#This Row],[FALLECIDO_COD]]=0,TODAY()-Tabla1[[#This Row],[FECHA_TRASPLANTE]],Tabla1[[#This Row],[FECHA DE DEFUNCIÓN]]-Tabla1[[#This Row],[FECHA_TRASPLANTE]])</f>
        <v>1</v>
      </c>
      <c r="BW688" s="3">
        <f ca="1">IF(Tabla1[[#This Row],[FALLECIDO_COD]]=0,TODAY()-Tabla1[[#This Row],[FECHA_TRASPLANTE]],Tabla1[[#This Row],[FECHA DE DEFUNCIÓN]]-Tabla1[[#This Row],[FECHA_TRASPLANTE]])/30.4375</f>
        <v>3.2854209445585217E-2</v>
      </c>
      <c r="BX688" s="3">
        <f ca="1">IF(Tabla1[[#This Row],[FALLECIDO_COD]]=0,TODAY()-Tabla1[[#This Row],[FECHA_TRASPLANTE]],Tabla1[[#This Row],[FECHA DE DEFUNCIÓN]]-Tabla1[[#This Row],[FECHA_TRASPLANTE]])/365.25</f>
        <v>2.7378507871321013E-3</v>
      </c>
    </row>
    <row r="689" spans="1:76" x14ac:dyDescent="0.35">
      <c r="A689" t="s">
        <v>75</v>
      </c>
      <c r="B689" t="s">
        <v>1828</v>
      </c>
      <c r="C689" t="s">
        <v>2432</v>
      </c>
      <c r="D689" t="s">
        <v>1129</v>
      </c>
      <c r="E689" t="s">
        <v>77</v>
      </c>
      <c r="G689" t="s">
        <v>210</v>
      </c>
      <c r="I689">
        <v>31</v>
      </c>
      <c r="N689" s="11">
        <v>302820645</v>
      </c>
      <c r="O689" s="16">
        <v>45818</v>
      </c>
      <c r="P689" t="s">
        <v>81</v>
      </c>
      <c r="Q689" s="2">
        <v>24256</v>
      </c>
      <c r="R689" s="3">
        <f>(Tabla1[[#This Row],[FECHA_TRASPLANTE]]-Tabla1[[#This Row],[FECHA_NAC]])/365.25</f>
        <v>59.03353867214237</v>
      </c>
      <c r="S689" t="s">
        <v>210</v>
      </c>
      <c r="T689"/>
      <c r="U689" t="s">
        <v>2433</v>
      </c>
      <c r="V689" t="s">
        <v>2326</v>
      </c>
      <c r="W689" t="s">
        <v>82</v>
      </c>
      <c r="X689" t="s">
        <v>91</v>
      </c>
      <c r="Y689" t="s">
        <v>161</v>
      </c>
      <c r="Z689" t="s">
        <v>234</v>
      </c>
      <c r="AA689" t="s">
        <v>2310</v>
      </c>
      <c r="AB689" t="s">
        <v>2310</v>
      </c>
      <c r="AC689">
        <v>8.1999999999999993</v>
      </c>
      <c r="AD689" t="s">
        <v>2311</v>
      </c>
      <c r="AE689" t="s">
        <v>2312</v>
      </c>
      <c r="AM689" t="s">
        <v>106</v>
      </c>
      <c r="AV689" s="2"/>
      <c r="AY689" t="s">
        <v>2313</v>
      </c>
      <c r="AZ689"/>
      <c r="BA689" s="2" t="s">
        <v>2340</v>
      </c>
      <c r="BD689" t="s">
        <v>2313</v>
      </c>
      <c r="BL689" t="s">
        <v>2315</v>
      </c>
      <c r="BT689" s="17">
        <f>Tabla1[[#This Row],[FECHA_TRASPLANTE]]</f>
        <v>45818</v>
      </c>
      <c r="BU689">
        <f>IF(Tabla1[[#This Row],[FALLECIDO SI/NO]]="NO",0,1)</f>
        <v>0</v>
      </c>
      <c r="BV689" s="3">
        <f ca="1">IF(Tabla1[[#This Row],[FALLECIDO_COD]]=0,TODAY()-Tabla1[[#This Row],[FECHA_TRASPLANTE]],Tabla1[[#This Row],[FECHA DE DEFUNCIÓN]]-Tabla1[[#This Row],[FECHA_TRASPLANTE]])</f>
        <v>57</v>
      </c>
      <c r="BW689" s="3">
        <f ca="1">IF(Tabla1[[#This Row],[FALLECIDO_COD]]=0,TODAY()-Tabla1[[#This Row],[FECHA_TRASPLANTE]],Tabla1[[#This Row],[FECHA DE DEFUNCIÓN]]-Tabla1[[#This Row],[FECHA_TRASPLANTE]])/30.4375</f>
        <v>1.8726899383983573</v>
      </c>
      <c r="BX689" s="3">
        <f ca="1">IF(Tabla1[[#This Row],[FALLECIDO_COD]]=0,TODAY()-Tabla1[[#This Row],[FECHA_TRASPLANTE]],Tabla1[[#This Row],[FECHA DE DEFUNCIÓN]]-Tabla1[[#This Row],[FECHA_TRASPLANTE]])/365.25</f>
        <v>0.15605749486652978</v>
      </c>
    </row>
    <row r="690" spans="1:76" x14ac:dyDescent="0.35">
      <c r="A690" t="s">
        <v>75</v>
      </c>
      <c r="B690" t="s">
        <v>1828</v>
      </c>
      <c r="C690" t="s">
        <v>1102</v>
      </c>
      <c r="D690" t="s">
        <v>1129</v>
      </c>
      <c r="E690" t="s">
        <v>77</v>
      </c>
      <c r="G690" t="s">
        <v>200</v>
      </c>
      <c r="I690">
        <v>36</v>
      </c>
      <c r="N690" s="11">
        <v>900760160</v>
      </c>
      <c r="O690" s="16">
        <v>45823</v>
      </c>
      <c r="P690" t="s">
        <v>90</v>
      </c>
      <c r="Q690" s="2">
        <v>25162</v>
      </c>
      <c r="R690" s="3">
        <f>(Tabla1[[#This Row],[FECHA_TRASPLANTE]]-Tabla1[[#This Row],[FECHA_NAC]])/365.25</f>
        <v>56.566735112936342</v>
      </c>
      <c r="S690" t="s">
        <v>200</v>
      </c>
      <c r="T690"/>
      <c r="U690" t="s">
        <v>2434</v>
      </c>
      <c r="V690" t="s">
        <v>2326</v>
      </c>
      <c r="W690" t="s">
        <v>82</v>
      </c>
      <c r="X690" t="s">
        <v>91</v>
      </c>
      <c r="Y690" t="s">
        <v>211</v>
      </c>
      <c r="Z690" t="s">
        <v>607</v>
      </c>
      <c r="AA690">
        <v>11</v>
      </c>
      <c r="AB690" t="s">
        <v>2310</v>
      </c>
      <c r="AC690" t="s">
        <v>2310</v>
      </c>
      <c r="AD690" t="s">
        <v>2311</v>
      </c>
      <c r="AE690" t="s">
        <v>2312</v>
      </c>
      <c r="AM690" t="s">
        <v>106</v>
      </c>
      <c r="AV690" s="2"/>
      <c r="AY690" t="s">
        <v>2313</v>
      </c>
      <c r="AZ690"/>
      <c r="BA690" s="2" t="s">
        <v>2314</v>
      </c>
      <c r="BD690" t="s">
        <v>86</v>
      </c>
      <c r="BG690" t="s">
        <v>2435</v>
      </c>
      <c r="BH690" t="s">
        <v>106</v>
      </c>
      <c r="BL690" t="s">
        <v>2315</v>
      </c>
      <c r="BT690" s="17">
        <f>Tabla1[[#This Row],[FECHA_TRASPLANTE]]</f>
        <v>45823</v>
      </c>
      <c r="BU690">
        <f>IF(Tabla1[[#This Row],[FALLECIDO SI/NO]]="NO",0,1)</f>
        <v>0</v>
      </c>
      <c r="BV690" s="3">
        <f ca="1">IF(Tabla1[[#This Row],[FALLECIDO_COD]]=0,TODAY()-Tabla1[[#This Row],[FECHA_TRASPLANTE]],Tabla1[[#This Row],[FECHA DE DEFUNCIÓN]]-Tabla1[[#This Row],[FECHA_TRASPLANTE]])</f>
        <v>52</v>
      </c>
      <c r="BW690" s="3">
        <f ca="1">IF(Tabla1[[#This Row],[FALLECIDO_COD]]=0,TODAY()-Tabla1[[#This Row],[FECHA_TRASPLANTE]],Tabla1[[#This Row],[FECHA DE DEFUNCIÓN]]-Tabla1[[#This Row],[FECHA_TRASPLANTE]])/30.4375</f>
        <v>1.7084188911704312</v>
      </c>
      <c r="BX690" s="3">
        <f ca="1">IF(Tabla1[[#This Row],[FALLECIDO_COD]]=0,TODAY()-Tabla1[[#This Row],[FECHA_TRASPLANTE]],Tabla1[[#This Row],[FECHA DE DEFUNCIÓN]]-Tabla1[[#This Row],[FECHA_TRASPLANTE]])/365.25</f>
        <v>0.14236824093086928</v>
      </c>
    </row>
    <row r="691" spans="1:76" x14ac:dyDescent="0.35">
      <c r="A691" t="s">
        <v>75</v>
      </c>
      <c r="B691" t="s">
        <v>1828</v>
      </c>
      <c r="D691" t="s">
        <v>1129</v>
      </c>
      <c r="E691" t="s">
        <v>375</v>
      </c>
      <c r="G691" t="s">
        <v>200</v>
      </c>
      <c r="J691" t="s">
        <v>746</v>
      </c>
      <c r="N691" s="11">
        <v>205540039</v>
      </c>
      <c r="O691" s="16">
        <v>45831</v>
      </c>
      <c r="P691" t="s">
        <v>81</v>
      </c>
      <c r="Q691" s="2">
        <v>29505</v>
      </c>
      <c r="R691" s="3">
        <f>(Tabla1[[#This Row],[FECHA_TRASPLANTE]]-Tabla1[[#This Row],[FECHA_NAC]])/365.25</f>
        <v>44.698151950718689</v>
      </c>
      <c r="S691" t="s">
        <v>200</v>
      </c>
      <c r="T691"/>
      <c r="U691" t="s">
        <v>2436</v>
      </c>
      <c r="V691" t="s">
        <v>2326</v>
      </c>
      <c r="W691" t="s">
        <v>82</v>
      </c>
      <c r="X691" t="s">
        <v>91</v>
      </c>
      <c r="Y691" t="s">
        <v>157</v>
      </c>
      <c r="Z691" t="s">
        <v>409</v>
      </c>
      <c r="AA691">
        <v>1.26</v>
      </c>
      <c r="AB691" t="s">
        <v>2310</v>
      </c>
      <c r="AC691" t="s">
        <v>2310</v>
      </c>
      <c r="AD691" t="s">
        <v>86</v>
      </c>
      <c r="AE691" t="s">
        <v>2312</v>
      </c>
      <c r="AM691" t="s">
        <v>106</v>
      </c>
      <c r="AV691" s="2"/>
      <c r="AY691" t="s">
        <v>106</v>
      </c>
      <c r="AZ691"/>
      <c r="BA691" s="2" t="s">
        <v>1812</v>
      </c>
      <c r="BD691" t="s">
        <v>106</v>
      </c>
      <c r="BH691" t="s">
        <v>106</v>
      </c>
      <c r="BL691" t="s">
        <v>2315</v>
      </c>
      <c r="BT691" s="17">
        <f>Tabla1[[#This Row],[FECHA_TRASPLANTE]]</f>
        <v>45831</v>
      </c>
      <c r="BU691">
        <f>IF(Tabla1[[#This Row],[FALLECIDO SI/NO]]="NO",0,1)</f>
        <v>0</v>
      </c>
      <c r="BV691" s="3">
        <f ca="1">IF(Tabla1[[#This Row],[FALLECIDO_COD]]=0,TODAY()-Tabla1[[#This Row],[FECHA_TRASPLANTE]],Tabla1[[#This Row],[FECHA DE DEFUNCIÓN]]-Tabla1[[#This Row],[FECHA_TRASPLANTE]])</f>
        <v>44</v>
      </c>
      <c r="BW691" s="3">
        <f ca="1">IF(Tabla1[[#This Row],[FALLECIDO_COD]]=0,TODAY()-Tabla1[[#This Row],[FECHA_TRASPLANTE]],Tabla1[[#This Row],[FECHA DE DEFUNCIÓN]]-Tabla1[[#This Row],[FECHA_TRASPLANTE]])/30.4375</f>
        <v>1.4455852156057496</v>
      </c>
      <c r="BX691" s="3">
        <f ca="1">IF(Tabla1[[#This Row],[FALLECIDO_COD]]=0,TODAY()-Tabla1[[#This Row],[FECHA_TRASPLANTE]],Tabla1[[#This Row],[FECHA DE DEFUNCIÓN]]-Tabla1[[#This Row],[FECHA_TRASPLANTE]])/365.25</f>
        <v>0.12046543463381246</v>
      </c>
    </row>
    <row r="692" spans="1:76" x14ac:dyDescent="0.35">
      <c r="A692" t="s">
        <v>75</v>
      </c>
      <c r="B692" t="s">
        <v>1828</v>
      </c>
      <c r="C692" t="s">
        <v>2437</v>
      </c>
      <c r="D692" t="s">
        <v>1129</v>
      </c>
      <c r="E692" t="s">
        <v>77</v>
      </c>
      <c r="G692" t="s">
        <v>200</v>
      </c>
      <c r="I692">
        <v>33</v>
      </c>
      <c r="N692" s="11">
        <v>116570506</v>
      </c>
      <c r="O692" s="16">
        <v>45848</v>
      </c>
      <c r="P692" t="s">
        <v>90</v>
      </c>
      <c r="Q692" s="2">
        <v>35363</v>
      </c>
      <c r="R692" s="3">
        <f>(Tabla1[[#This Row],[FECHA_TRASPLANTE]]-Tabla1[[#This Row],[FECHA_NAC]])/365.25</f>
        <v>28.706365503080082</v>
      </c>
      <c r="S692" t="s">
        <v>200</v>
      </c>
      <c r="T692"/>
      <c r="U692" t="s">
        <v>2438</v>
      </c>
      <c r="V692" t="s">
        <v>2326</v>
      </c>
      <c r="W692" t="s">
        <v>82</v>
      </c>
      <c r="X692" t="s">
        <v>91</v>
      </c>
      <c r="Y692" t="s">
        <v>176</v>
      </c>
      <c r="Z692" t="s">
        <v>311</v>
      </c>
      <c r="AA692">
        <v>8.3000000000000007</v>
      </c>
      <c r="AB692" t="s">
        <v>2310</v>
      </c>
      <c r="AC692">
        <v>7.3</v>
      </c>
      <c r="AD692" t="s">
        <v>86</v>
      </c>
      <c r="AE692" t="s">
        <v>2312</v>
      </c>
      <c r="AM692" t="s">
        <v>106</v>
      </c>
      <c r="AV692" s="2"/>
      <c r="AY692" t="s">
        <v>106</v>
      </c>
      <c r="AZ692"/>
      <c r="BA692" s="2" t="s">
        <v>2314</v>
      </c>
      <c r="BD692" t="s">
        <v>2313</v>
      </c>
      <c r="BL692" t="s">
        <v>2315</v>
      </c>
      <c r="BT692" s="17">
        <f>Tabla1[[#This Row],[FECHA_TRASPLANTE]]</f>
        <v>45848</v>
      </c>
      <c r="BU692">
        <f>IF(Tabla1[[#This Row],[FALLECIDO SI/NO]]="NO",0,1)</f>
        <v>0</v>
      </c>
      <c r="BV692" s="3">
        <f ca="1">IF(Tabla1[[#This Row],[FALLECIDO_COD]]=0,TODAY()-Tabla1[[#This Row],[FECHA_TRASPLANTE]],Tabla1[[#This Row],[FECHA DE DEFUNCIÓN]]-Tabla1[[#This Row],[FECHA_TRASPLANTE]])</f>
        <v>27</v>
      </c>
      <c r="BW692" s="3">
        <f ca="1">IF(Tabla1[[#This Row],[FALLECIDO_COD]]=0,TODAY()-Tabla1[[#This Row],[FECHA_TRASPLANTE]],Tabla1[[#This Row],[FECHA DE DEFUNCIÓN]]-Tabla1[[#This Row],[FECHA_TRASPLANTE]])/30.4375</f>
        <v>0.88706365503080087</v>
      </c>
      <c r="BX692" s="3">
        <f ca="1">IF(Tabla1[[#This Row],[FALLECIDO_COD]]=0,TODAY()-Tabla1[[#This Row],[FECHA_TRASPLANTE]],Tabla1[[#This Row],[FECHA DE DEFUNCIÓN]]-Tabla1[[#This Row],[FECHA_TRASPLANTE]])/365.25</f>
        <v>7.3921971252566734E-2</v>
      </c>
    </row>
    <row r="693" spans="1:76" x14ac:dyDescent="0.35">
      <c r="A693" t="s">
        <v>1125</v>
      </c>
      <c r="B693" t="s">
        <v>1125</v>
      </c>
      <c r="D693" t="s">
        <v>1129</v>
      </c>
      <c r="E693" t="s">
        <v>375</v>
      </c>
      <c r="J693" t="s">
        <v>746</v>
      </c>
      <c r="K693" t="s">
        <v>2439</v>
      </c>
      <c r="L693" t="s">
        <v>224</v>
      </c>
      <c r="M693" t="s">
        <v>199</v>
      </c>
      <c r="N693" s="11">
        <v>117410495</v>
      </c>
      <c r="O693" s="2">
        <v>45805</v>
      </c>
      <c r="P693" t="s">
        <v>81</v>
      </c>
      <c r="Q693" s="2">
        <v>36278</v>
      </c>
      <c r="R693" s="1">
        <f>(Tabla1[[#This Row],[FECHA_TRASPLANTE]]-Tabla1[[#This Row],[FECHA_NAC]])/365.25</f>
        <v>26.083504449007528</v>
      </c>
      <c r="S693" t="s">
        <v>200</v>
      </c>
      <c r="T693" s="2">
        <v>44606</v>
      </c>
      <c r="U693" s="4" t="s">
        <v>2440</v>
      </c>
      <c r="W693" t="s">
        <v>82</v>
      </c>
      <c r="X693" t="s">
        <v>91</v>
      </c>
      <c r="Y693" t="s">
        <v>116</v>
      </c>
      <c r="Z693" t="s">
        <v>705</v>
      </c>
      <c r="AM693" t="s">
        <v>106</v>
      </c>
      <c r="AV693" s="2"/>
      <c r="AY693" t="s">
        <v>106</v>
      </c>
      <c r="BD693" t="s">
        <v>106</v>
      </c>
      <c r="BH693" t="s">
        <v>106</v>
      </c>
      <c r="BI693" t="s">
        <v>106</v>
      </c>
      <c r="BT693" s="17">
        <f>Tabla1[[#This Row],[FECHA_TRASPLANTE]]</f>
        <v>45805</v>
      </c>
      <c r="BU693">
        <f>IF(Tabla1[[#This Row],[FALLECIDO SI/NO]]="NO",0,1)</f>
        <v>0</v>
      </c>
      <c r="BV693" s="3">
        <f ca="1">IF(Tabla1[[#This Row],[FALLECIDO_COD]]=0,TODAY()-Tabla1[[#This Row],[FECHA_TRASPLANTE]],Tabla1[[#This Row],[FECHA DE DEFUNCIÓN]]-Tabla1[[#This Row],[FECHA_TRASPLANTE]])</f>
        <v>70</v>
      </c>
      <c r="BW693" s="3">
        <f ca="1">IF(Tabla1[[#This Row],[FALLECIDO_COD]]=0,TODAY()-Tabla1[[#This Row],[FECHA_TRASPLANTE]],Tabla1[[#This Row],[FECHA DE DEFUNCIÓN]]-Tabla1[[#This Row],[FECHA_TRASPLANTE]])/30.4375</f>
        <v>2.299794661190965</v>
      </c>
      <c r="BX693" s="3">
        <f ca="1">IF(Tabla1[[#This Row],[FALLECIDO_COD]]=0,TODAY()-Tabla1[[#This Row],[FECHA_TRASPLANTE]],Tabla1[[#This Row],[FECHA DE DEFUNCIÓN]]-Tabla1[[#This Row],[FECHA_TRASPLANTE]])/365.25</f>
        <v>0.19164955509924708</v>
      </c>
    </row>
    <row r="694" spans="1:76" x14ac:dyDescent="0.35">
      <c r="A694" t="s">
        <v>1125</v>
      </c>
      <c r="B694" t="s">
        <v>1125</v>
      </c>
      <c r="D694" t="s">
        <v>1129</v>
      </c>
      <c r="E694" t="s">
        <v>375</v>
      </c>
      <c r="J694" t="s">
        <v>746</v>
      </c>
      <c r="K694" t="s">
        <v>463</v>
      </c>
      <c r="L694" t="s">
        <v>670</v>
      </c>
      <c r="M694" t="s">
        <v>1295</v>
      </c>
      <c r="N694" s="11">
        <v>115290461</v>
      </c>
      <c r="O694" s="2">
        <v>45833</v>
      </c>
      <c r="P694" t="s">
        <v>90</v>
      </c>
      <c r="Q694" s="2">
        <v>34023</v>
      </c>
      <c r="R694" s="1">
        <f>(Tabla1[[#This Row],[FECHA_TRASPLANTE]]-Tabla1[[#This Row],[FECHA_NAC]])/365.25</f>
        <v>32.334017796030118</v>
      </c>
      <c r="S694" t="s">
        <v>200</v>
      </c>
      <c r="U694" s="4" t="s">
        <v>1348</v>
      </c>
      <c r="W694" t="s">
        <v>82</v>
      </c>
      <c r="X694" t="s">
        <v>91</v>
      </c>
      <c r="Y694" t="s">
        <v>215</v>
      </c>
      <c r="Z694" t="s">
        <v>405</v>
      </c>
      <c r="AM694" t="s">
        <v>106</v>
      </c>
      <c r="AV694" s="2"/>
      <c r="AY694" t="s">
        <v>106</v>
      </c>
      <c r="BD694" t="s">
        <v>106</v>
      </c>
      <c r="BH694" t="s">
        <v>106</v>
      </c>
      <c r="BI694" t="s">
        <v>106</v>
      </c>
      <c r="BT694" s="17">
        <f>Tabla1[[#This Row],[FECHA_TRASPLANTE]]</f>
        <v>45833</v>
      </c>
      <c r="BU694">
        <f>IF(Tabla1[[#This Row],[FALLECIDO SI/NO]]="NO",0,1)</f>
        <v>0</v>
      </c>
      <c r="BV694" s="3">
        <f ca="1">IF(Tabla1[[#This Row],[FALLECIDO_COD]]=0,TODAY()-Tabla1[[#This Row],[FECHA_TRASPLANTE]],Tabla1[[#This Row],[FECHA DE DEFUNCIÓN]]-Tabla1[[#This Row],[FECHA_TRASPLANTE]])</f>
        <v>42</v>
      </c>
      <c r="BW694" s="3">
        <f ca="1">IF(Tabla1[[#This Row],[FALLECIDO_COD]]=0,TODAY()-Tabla1[[#This Row],[FECHA_TRASPLANTE]],Tabla1[[#This Row],[FECHA DE DEFUNCIÓN]]-Tabla1[[#This Row],[FECHA_TRASPLANTE]])/30.4375</f>
        <v>1.3798767967145791</v>
      </c>
      <c r="BX694" s="3">
        <f ca="1">IF(Tabla1[[#This Row],[FALLECIDO_COD]]=0,TODAY()-Tabla1[[#This Row],[FECHA_TRASPLANTE]],Tabla1[[#This Row],[FECHA DE DEFUNCIÓN]]-Tabla1[[#This Row],[FECHA_TRASPLANTE]])/365.25</f>
        <v>0.11498973305954825</v>
      </c>
    </row>
    <row r="695" spans="1:76" x14ac:dyDescent="0.35">
      <c r="A695" t="s">
        <v>1125</v>
      </c>
      <c r="B695" t="s">
        <v>1125</v>
      </c>
      <c r="D695" t="s">
        <v>1129</v>
      </c>
      <c r="E695" t="s">
        <v>77</v>
      </c>
      <c r="K695" t="s">
        <v>2441</v>
      </c>
      <c r="L695" t="s">
        <v>605</v>
      </c>
      <c r="M695" t="s">
        <v>459</v>
      </c>
      <c r="N695" s="11">
        <v>112560238</v>
      </c>
      <c r="O695" s="2">
        <v>45834</v>
      </c>
      <c r="P695" t="s">
        <v>81</v>
      </c>
      <c r="Q695" s="2">
        <v>31314</v>
      </c>
      <c r="R695" s="1">
        <f>(Tabla1[[#This Row],[FECHA_TRASPLANTE]]-Tabla1[[#This Row],[FECHA_NAC]])/365.25</f>
        <v>39.753593429158109</v>
      </c>
      <c r="S695" t="s">
        <v>200</v>
      </c>
      <c r="T695" s="2">
        <v>42294</v>
      </c>
      <c r="U695" s="4" t="s">
        <v>1348</v>
      </c>
      <c r="W695" t="s">
        <v>82</v>
      </c>
      <c r="X695" t="s">
        <v>91</v>
      </c>
      <c r="Y695" t="s">
        <v>152</v>
      </c>
      <c r="Z695" t="s">
        <v>2442</v>
      </c>
      <c r="AM695" t="s">
        <v>106</v>
      </c>
      <c r="AV695" s="2"/>
      <c r="AY695" t="s">
        <v>106</v>
      </c>
      <c r="BD695" t="s">
        <v>106</v>
      </c>
      <c r="BH695" t="s">
        <v>106</v>
      </c>
      <c r="BI695" t="s">
        <v>106</v>
      </c>
      <c r="BT695" s="17">
        <f>Tabla1[[#This Row],[FECHA_TRASPLANTE]]</f>
        <v>45834</v>
      </c>
      <c r="BU695">
        <f>IF(Tabla1[[#This Row],[FALLECIDO SI/NO]]="NO",0,1)</f>
        <v>0</v>
      </c>
      <c r="BV695" s="3">
        <f ca="1">IF(Tabla1[[#This Row],[FALLECIDO_COD]]=0,TODAY()-Tabla1[[#This Row],[FECHA_TRASPLANTE]],Tabla1[[#This Row],[FECHA DE DEFUNCIÓN]]-Tabla1[[#This Row],[FECHA_TRASPLANTE]])</f>
        <v>41</v>
      </c>
      <c r="BW695" s="3">
        <f ca="1">IF(Tabla1[[#This Row],[FALLECIDO_COD]]=0,TODAY()-Tabla1[[#This Row],[FECHA_TRASPLANTE]],Tabla1[[#This Row],[FECHA DE DEFUNCIÓN]]-Tabla1[[#This Row],[FECHA_TRASPLANTE]])/30.4375</f>
        <v>1.3470225872689938</v>
      </c>
      <c r="BX695" s="3">
        <f ca="1">IF(Tabla1[[#This Row],[FALLECIDO_COD]]=0,TODAY()-Tabla1[[#This Row],[FECHA_TRASPLANTE]],Tabla1[[#This Row],[FECHA DE DEFUNCIÓN]]-Tabla1[[#This Row],[FECHA_TRASPLANTE]])/365.25</f>
        <v>0.11225188227241616</v>
      </c>
    </row>
    <row r="696" spans="1:76" x14ac:dyDescent="0.35">
      <c r="A696" t="s">
        <v>1125</v>
      </c>
      <c r="B696" t="s">
        <v>1125</v>
      </c>
      <c r="D696" t="s">
        <v>1129</v>
      </c>
      <c r="E696" t="s">
        <v>77</v>
      </c>
      <c r="K696" t="s">
        <v>2443</v>
      </c>
      <c r="L696" t="s">
        <v>2444</v>
      </c>
      <c r="M696" t="s">
        <v>141</v>
      </c>
      <c r="N696" s="11">
        <v>801270066</v>
      </c>
      <c r="O696" s="2">
        <v>45848</v>
      </c>
      <c r="P696" t="s">
        <v>90</v>
      </c>
      <c r="Q696" s="2">
        <v>26014</v>
      </c>
      <c r="R696" s="1">
        <f>(Tabla1[[#This Row],[FECHA_TRASPLANTE]]-Tabla1[[#This Row],[FECHA_NAC]])/365.25</f>
        <v>54.3025325119781</v>
      </c>
      <c r="S696" t="s">
        <v>210</v>
      </c>
      <c r="T696" s="2">
        <v>44684</v>
      </c>
      <c r="U696" s="4" t="s">
        <v>2445</v>
      </c>
      <c r="W696" t="s">
        <v>82</v>
      </c>
      <c r="X696" t="s">
        <v>91</v>
      </c>
      <c r="Y696" t="s">
        <v>553</v>
      </c>
      <c r="Z696" t="s">
        <v>2233</v>
      </c>
      <c r="AM696" t="s">
        <v>106</v>
      </c>
      <c r="AV696" s="2"/>
      <c r="AY696" t="s">
        <v>106</v>
      </c>
      <c r="BD696" t="s">
        <v>106</v>
      </c>
      <c r="BH696" t="s">
        <v>106</v>
      </c>
      <c r="BI696" t="s">
        <v>106</v>
      </c>
      <c r="BT696" s="17">
        <f>Tabla1[[#This Row],[FECHA_TRASPLANTE]]</f>
        <v>45848</v>
      </c>
      <c r="BU696">
        <f>IF(Tabla1[[#This Row],[FALLECIDO SI/NO]]="NO",0,1)</f>
        <v>0</v>
      </c>
      <c r="BV696" s="3">
        <f ca="1">IF(Tabla1[[#This Row],[FALLECIDO_COD]]=0,TODAY()-Tabla1[[#This Row],[FECHA_TRASPLANTE]],Tabla1[[#This Row],[FECHA DE DEFUNCIÓN]]-Tabla1[[#This Row],[FECHA_TRASPLANTE]])</f>
        <v>27</v>
      </c>
      <c r="BW696" s="3">
        <f ca="1">IF(Tabla1[[#This Row],[FALLECIDO_COD]]=0,TODAY()-Tabla1[[#This Row],[FECHA_TRASPLANTE]],Tabla1[[#This Row],[FECHA DE DEFUNCIÓN]]-Tabla1[[#This Row],[FECHA_TRASPLANTE]])/30.4375</f>
        <v>0.88706365503080087</v>
      </c>
      <c r="BX696" s="3">
        <f ca="1">IF(Tabla1[[#This Row],[FALLECIDO_COD]]=0,TODAY()-Tabla1[[#This Row],[FECHA_TRASPLANTE]],Tabla1[[#This Row],[FECHA DE DEFUNCIÓN]]-Tabla1[[#This Row],[FECHA_TRASPLANTE]])/365.25</f>
        <v>7.3921971252566734E-2</v>
      </c>
    </row>
    <row r="697" spans="1:76" x14ac:dyDescent="0.35">
      <c r="A697" t="s">
        <v>1125</v>
      </c>
      <c r="B697" t="s">
        <v>1125</v>
      </c>
      <c r="D697" t="s">
        <v>1129</v>
      </c>
      <c r="E697" t="s">
        <v>375</v>
      </c>
      <c r="J697" t="s">
        <v>746</v>
      </c>
      <c r="K697" t="s">
        <v>2446</v>
      </c>
      <c r="L697" t="s">
        <v>149</v>
      </c>
      <c r="M697" t="s">
        <v>2447</v>
      </c>
      <c r="N697" s="11">
        <v>801510205</v>
      </c>
      <c r="O697" s="2">
        <v>45847</v>
      </c>
      <c r="P697" t="s">
        <v>90</v>
      </c>
      <c r="Q697" s="2">
        <v>29390</v>
      </c>
      <c r="R697" s="1">
        <f>(Tabla1[[#This Row],[FECHA_TRASPLANTE]]-Tabla1[[#This Row],[FECHA_NAC]])/365.25</f>
        <v>45.056810403832991</v>
      </c>
      <c r="S697" t="s">
        <v>200</v>
      </c>
      <c r="T697" s="2">
        <v>45841</v>
      </c>
      <c r="U697" s="4" t="s">
        <v>2448</v>
      </c>
      <c r="W697" t="s">
        <v>82</v>
      </c>
      <c r="X697" t="s">
        <v>115</v>
      </c>
      <c r="Y697" t="s">
        <v>115</v>
      </c>
      <c r="Z697" t="s">
        <v>311</v>
      </c>
      <c r="AM697" t="s">
        <v>106</v>
      </c>
      <c r="AV697" s="2"/>
      <c r="AY697" t="s">
        <v>106</v>
      </c>
      <c r="BD697" t="s">
        <v>106</v>
      </c>
      <c r="BH697" t="s">
        <v>106</v>
      </c>
      <c r="BI697" t="s">
        <v>106</v>
      </c>
      <c r="BT697" s="17">
        <f>Tabla1[[#This Row],[FECHA_TRASPLANTE]]</f>
        <v>45847</v>
      </c>
      <c r="BU697">
        <f>IF(Tabla1[[#This Row],[FALLECIDO SI/NO]]="NO",0,1)</f>
        <v>0</v>
      </c>
      <c r="BV697" s="3">
        <f ca="1">IF(Tabla1[[#This Row],[FALLECIDO_COD]]=0,TODAY()-Tabla1[[#This Row],[FECHA_TRASPLANTE]],Tabla1[[#This Row],[FECHA DE DEFUNCIÓN]]-Tabla1[[#This Row],[FECHA_TRASPLANTE]])</f>
        <v>28</v>
      </c>
      <c r="BW697" s="3">
        <f ca="1">IF(Tabla1[[#This Row],[FALLECIDO_COD]]=0,TODAY()-Tabla1[[#This Row],[FECHA_TRASPLANTE]],Tabla1[[#This Row],[FECHA DE DEFUNCIÓN]]-Tabla1[[#This Row],[FECHA_TRASPLANTE]])/30.4375</f>
        <v>0.91991786447638602</v>
      </c>
      <c r="BX697" s="3">
        <f ca="1">IF(Tabla1[[#This Row],[FALLECIDO_COD]]=0,TODAY()-Tabla1[[#This Row],[FECHA_TRASPLANTE]],Tabla1[[#This Row],[FECHA DE DEFUNCIÓN]]-Tabla1[[#This Row],[FECHA_TRASPLANTE]])/365.25</f>
        <v>7.665982203969883E-2</v>
      </c>
    </row>
    <row r="698" spans="1:76" x14ac:dyDescent="0.35">
      <c r="A698" t="s">
        <v>75</v>
      </c>
      <c r="B698" t="s">
        <v>1828</v>
      </c>
      <c r="D698" t="s">
        <v>1129</v>
      </c>
      <c r="E698" t="s">
        <v>375</v>
      </c>
      <c r="G698" t="s">
        <v>200</v>
      </c>
      <c r="H698" s="2">
        <v>26325</v>
      </c>
      <c r="I698">
        <v>52.84873374401095</v>
      </c>
      <c r="J698" t="s">
        <v>746</v>
      </c>
      <c r="K698" t="s">
        <v>328</v>
      </c>
      <c r="L698" t="s">
        <v>155</v>
      </c>
      <c r="M698" t="s">
        <v>2449</v>
      </c>
      <c r="N698" s="14">
        <v>107830958</v>
      </c>
      <c r="O698" s="16">
        <v>45628</v>
      </c>
      <c r="P698" t="s">
        <v>90</v>
      </c>
      <c r="Q698" s="2">
        <v>25905</v>
      </c>
      <c r="R698" s="3">
        <f>(Tabla1[[#This Row],[FECHA_TRASPLANTE]]-Tabla1[[#This Row],[FECHA_NAC]])/365.25</f>
        <v>53.998631074606436</v>
      </c>
      <c r="S698" t="s">
        <v>200</v>
      </c>
      <c r="T698"/>
      <c r="U698" t="s">
        <v>1830</v>
      </c>
      <c r="V698" t="s">
        <v>1838</v>
      </c>
      <c r="W698" t="s">
        <v>82</v>
      </c>
      <c r="X698" t="s">
        <v>91</v>
      </c>
      <c r="Y698" t="s">
        <v>211</v>
      </c>
      <c r="Z698" t="s">
        <v>607</v>
      </c>
      <c r="AC698">
        <v>2.2999999999999998</v>
      </c>
      <c r="AF698" t="s">
        <v>375</v>
      </c>
      <c r="AG698" t="s">
        <v>375</v>
      </c>
      <c r="AM698" t="s">
        <v>106</v>
      </c>
      <c r="AO698"/>
      <c r="AV698" s="2"/>
      <c r="AY698" t="s">
        <v>106</v>
      </c>
      <c r="AZ698" s="2" t="s">
        <v>2003</v>
      </c>
      <c r="BD698" t="s">
        <v>106</v>
      </c>
      <c r="BI698" t="s">
        <v>106</v>
      </c>
      <c r="BJ698" s="2"/>
      <c r="BO698">
        <v>108200028</v>
      </c>
      <c r="BP698" t="s">
        <v>90</v>
      </c>
      <c r="BQ698" t="s">
        <v>82</v>
      </c>
      <c r="BR698" t="s">
        <v>1854</v>
      </c>
      <c r="BS698" t="s">
        <v>1855</v>
      </c>
      <c r="BT698" s="17">
        <f>Tabla1[[#This Row],[FECHA_TRASPLANTE]]</f>
        <v>45628</v>
      </c>
      <c r="BU698">
        <f>IF(Tabla1[[#This Row],[FALLECIDO SI/NO]]="NO",0,1)</f>
        <v>0</v>
      </c>
      <c r="BV698" s="3">
        <f ca="1">IF(Tabla1[[#This Row],[FALLECIDO_COD]]=0,TODAY()-Tabla1[[#This Row],[FECHA_TRASPLANTE]],Tabla1[[#This Row],[FECHA DE DEFUNCIÓN]]-Tabla1[[#This Row],[FECHA_TRASPLANTE]])</f>
        <v>247</v>
      </c>
      <c r="BW698" s="3">
        <f ca="1">IF(Tabla1[[#This Row],[FALLECIDO_COD]]=0,TODAY()-Tabla1[[#This Row],[FECHA_TRASPLANTE]],Tabla1[[#This Row],[FECHA DE DEFUNCIÓN]]-Tabla1[[#This Row],[FECHA_TRASPLANTE]])/30.4375</f>
        <v>8.1149897330595486</v>
      </c>
      <c r="BX698" s="3">
        <f ca="1">IF(Tabla1[[#This Row],[FALLECIDO_COD]]=0,TODAY()-Tabla1[[#This Row],[FECHA_TRASPLANTE]],Tabla1[[#This Row],[FECHA DE DEFUNCIÓN]]-Tabla1[[#This Row],[FECHA_TRASPLANTE]])/365.25</f>
        <v>0.67624914442162898</v>
      </c>
    </row>
    <row r="699" spans="1:76" x14ac:dyDescent="0.35">
      <c r="A699" t="s">
        <v>75</v>
      </c>
      <c r="B699" t="s">
        <v>1828</v>
      </c>
      <c r="C699" t="s">
        <v>2450</v>
      </c>
      <c r="D699" t="s">
        <v>1129</v>
      </c>
      <c r="E699" t="s">
        <v>77</v>
      </c>
      <c r="K699" t="s">
        <v>2451</v>
      </c>
      <c r="L699" t="s">
        <v>269</v>
      </c>
      <c r="M699" t="s">
        <v>1368</v>
      </c>
      <c r="N699" s="11">
        <v>111580971</v>
      </c>
      <c r="O699" s="16">
        <v>45654</v>
      </c>
      <c r="P699" t="s">
        <v>81</v>
      </c>
      <c r="Q699" s="2">
        <v>30321</v>
      </c>
      <c r="R699" s="15">
        <f>(Tabla1[[#This Row],[FECHA_TRASPLANTE]]-Tabla1[[#This Row],[FECHA_NAC]])/365.25</f>
        <v>41.979466119096507</v>
      </c>
      <c r="S699" t="s">
        <v>205</v>
      </c>
      <c r="T699"/>
      <c r="U699" t="s">
        <v>1830</v>
      </c>
      <c r="V699" t="s">
        <v>1824</v>
      </c>
      <c r="W699" t="s">
        <v>82</v>
      </c>
      <c r="X699" t="s">
        <v>91</v>
      </c>
      <c r="Y699" t="s">
        <v>434</v>
      </c>
      <c r="Z699" t="s">
        <v>130</v>
      </c>
      <c r="AM699" t="s">
        <v>106</v>
      </c>
      <c r="AO699"/>
      <c r="AV699" s="2"/>
      <c r="BJ699" s="2"/>
      <c r="BT699" s="17">
        <f>Tabla1[[#This Row],[FECHA_TRASPLANTE]]</f>
        <v>45654</v>
      </c>
      <c r="BU699">
        <f>IF(Tabla1[[#This Row],[FALLECIDO SI/NO]]="NO",0,1)</f>
        <v>0</v>
      </c>
      <c r="BV699" s="15">
        <f ca="1">IF(Tabla1[[#This Row],[FALLECIDO_COD]]=0,TODAY()-Tabla1[[#This Row],[FECHA_TRASPLANTE]],Tabla1[[#This Row],[FECHA DE DEFUNCIÓN]]-Tabla1[[#This Row],[FECHA_TRASPLANTE]])</f>
        <v>221</v>
      </c>
      <c r="BW699" s="15">
        <f ca="1">IF(Tabla1[[#This Row],[FALLECIDO_COD]]=0,TODAY()-Tabla1[[#This Row],[FECHA_TRASPLANTE]],Tabla1[[#This Row],[FECHA DE DEFUNCIÓN]]-Tabla1[[#This Row],[FECHA_TRASPLANTE]])/30.4375</f>
        <v>7.2607802874743328</v>
      </c>
      <c r="BX699" s="15">
        <f ca="1">IF(Tabla1[[#This Row],[FALLECIDO_COD]]=0,TODAY()-Tabla1[[#This Row],[FECHA_TRASPLANTE]],Tabla1[[#This Row],[FECHA DE DEFUNCIÓN]]-Tabla1[[#This Row],[FECHA_TRASPLANTE]])/365.25</f>
        <v>0.60506502395619444</v>
      </c>
    </row>
    <row r="700" spans="1:76" x14ac:dyDescent="0.35">
      <c r="A700" t="s">
        <v>75</v>
      </c>
      <c r="B700" t="s">
        <v>1828</v>
      </c>
      <c r="D700" t="s">
        <v>1129</v>
      </c>
      <c r="E700" t="s">
        <v>77</v>
      </c>
      <c r="K700" t="s">
        <v>2452</v>
      </c>
      <c r="L700" t="s">
        <v>124</v>
      </c>
      <c r="M700" t="s">
        <v>619</v>
      </c>
      <c r="N700" s="11">
        <v>117660520</v>
      </c>
      <c r="O700" s="16">
        <v>45482</v>
      </c>
      <c r="P700" t="s">
        <v>81</v>
      </c>
      <c r="Q700" s="2">
        <v>36541</v>
      </c>
      <c r="R700" s="3">
        <f>(Tabla1[[#This Row],[FECHA_TRASPLANTE]]-Tabla1[[#This Row],[FECHA_NAC]])/365.25</f>
        <v>24.479123887748116</v>
      </c>
      <c r="T700"/>
      <c r="W700" t="s">
        <v>82</v>
      </c>
      <c r="AM700" t="s">
        <v>106</v>
      </c>
      <c r="AO700"/>
      <c r="AV700" s="2"/>
      <c r="BJ700" s="2"/>
      <c r="BT700" s="17">
        <f>Tabla1[[#This Row],[FECHA_TRASPLANTE]]</f>
        <v>45482</v>
      </c>
      <c r="BU700">
        <f>IF(Tabla1[[#This Row],[FALLECIDO SI/NO]]="NO",0,1)</f>
        <v>0</v>
      </c>
      <c r="BV700" s="3">
        <f ca="1">IF(Tabla1[[#This Row],[FALLECIDO_COD]]=0,TODAY()-Tabla1[[#This Row],[FECHA_TRASPLANTE]],Tabla1[[#This Row],[FECHA DE DEFUNCIÓN]]-Tabla1[[#This Row],[FECHA_TRASPLANTE]])</f>
        <v>393</v>
      </c>
      <c r="BW700" s="3">
        <f ca="1">IF(Tabla1[[#This Row],[FALLECIDO_COD]]=0,TODAY()-Tabla1[[#This Row],[FECHA_TRASPLANTE]],Tabla1[[#This Row],[FECHA DE DEFUNCIÓN]]-Tabla1[[#This Row],[FECHA_TRASPLANTE]])/30.4375</f>
        <v>12.91170431211499</v>
      </c>
      <c r="BX700" s="3">
        <f ca="1">IF(Tabla1[[#This Row],[FALLECIDO_COD]]=0,TODAY()-Tabla1[[#This Row],[FECHA_TRASPLANTE]],Tabla1[[#This Row],[FECHA DE DEFUNCIÓN]]-Tabla1[[#This Row],[FECHA_TRASPLANTE]])/365.25</f>
        <v>1.0759753593429158</v>
      </c>
    </row>
    <row r="701" spans="1:76" x14ac:dyDescent="0.35">
      <c r="A701" t="s">
        <v>75</v>
      </c>
      <c r="B701" t="s">
        <v>1828</v>
      </c>
      <c r="C701" t="s">
        <v>2453</v>
      </c>
      <c r="D701" t="s">
        <v>1129</v>
      </c>
      <c r="E701" t="s">
        <v>77</v>
      </c>
      <c r="H701" s="2">
        <v>39706</v>
      </c>
      <c r="I701">
        <v>15</v>
      </c>
      <c r="K701" t="s">
        <v>2454</v>
      </c>
      <c r="L701" t="s">
        <v>246</v>
      </c>
      <c r="M701" t="s">
        <v>263</v>
      </c>
      <c r="N701" s="11">
        <v>205900362</v>
      </c>
      <c r="O701" s="16">
        <v>45377.25</v>
      </c>
      <c r="P701" t="s">
        <v>81</v>
      </c>
      <c r="Q701" s="2">
        <v>30704</v>
      </c>
      <c r="R701" s="3">
        <f>(Tabla1[[#This Row],[FECHA_TRASPLANTE]]-Tabla1[[#This Row],[FECHA_NAC]])/365.25</f>
        <v>40.173169062286107</v>
      </c>
      <c r="S701" t="s">
        <v>210</v>
      </c>
      <c r="T701"/>
      <c r="U701" t="s">
        <v>2184</v>
      </c>
      <c r="V701" t="s">
        <v>1824</v>
      </c>
      <c r="W701" t="s">
        <v>82</v>
      </c>
      <c r="X701" t="s">
        <v>91</v>
      </c>
      <c r="Y701" t="s">
        <v>484</v>
      </c>
      <c r="Z701" t="s">
        <v>484</v>
      </c>
      <c r="AD701">
        <v>7</v>
      </c>
      <c r="AF701" t="s">
        <v>978</v>
      </c>
      <c r="AG701" t="s">
        <v>978</v>
      </c>
      <c r="AM701" t="s">
        <v>106</v>
      </c>
      <c r="AO701"/>
      <c r="AQ701" t="s">
        <v>358</v>
      </c>
      <c r="AV701" s="2"/>
      <c r="AY701" t="s">
        <v>106</v>
      </c>
      <c r="BJ701" s="2"/>
      <c r="BO701">
        <v>114470529</v>
      </c>
      <c r="BP701" t="s">
        <v>81</v>
      </c>
      <c r="BQ701" t="s">
        <v>82</v>
      </c>
      <c r="BT701" s="17">
        <f>Tabla1[[#This Row],[FECHA_TRASPLANTE]]</f>
        <v>45377.25</v>
      </c>
      <c r="BU701">
        <f>IF(Tabla1[[#This Row],[FALLECIDO SI/NO]]="NO",0,1)</f>
        <v>0</v>
      </c>
      <c r="BV701" s="3">
        <f ca="1">IF(Tabla1[[#This Row],[FALLECIDO_COD]]=0,TODAY()-Tabla1[[#This Row],[FECHA_TRASPLANTE]],Tabla1[[#This Row],[FECHA DE DEFUNCIÓN]]-Tabla1[[#This Row],[FECHA_TRASPLANTE]])</f>
        <v>497.75</v>
      </c>
      <c r="BW701" s="3">
        <f ca="1">IF(Tabla1[[#This Row],[FALLECIDO_COD]]=0,TODAY()-Tabla1[[#This Row],[FECHA_TRASPLANTE]],Tabla1[[#This Row],[FECHA DE DEFUNCIÓN]]-Tabla1[[#This Row],[FECHA_TRASPLANTE]])/30.4375</f>
        <v>16.353182751540039</v>
      </c>
      <c r="BX701" s="3">
        <f ca="1">IF(Tabla1[[#This Row],[FALLECIDO_COD]]=0,TODAY()-Tabla1[[#This Row],[FECHA_TRASPLANTE]],Tabla1[[#This Row],[FECHA DE DEFUNCIÓN]]-Tabla1[[#This Row],[FECHA_TRASPLANTE]])/365.25</f>
        <v>1.3627652292950034</v>
      </c>
    </row>
    <row r="702" spans="1:76" x14ac:dyDescent="0.35">
      <c r="A702" t="s">
        <v>75</v>
      </c>
      <c r="B702" t="s">
        <v>1828</v>
      </c>
      <c r="C702" t="s">
        <v>952</v>
      </c>
      <c r="D702" t="s">
        <v>1129</v>
      </c>
      <c r="E702" t="s">
        <v>77</v>
      </c>
      <c r="H702" s="2">
        <v>26142</v>
      </c>
      <c r="I702">
        <v>53</v>
      </c>
      <c r="K702" t="s">
        <v>2455</v>
      </c>
      <c r="L702" t="s">
        <v>1396</v>
      </c>
      <c r="M702" t="s">
        <v>195</v>
      </c>
      <c r="N702" s="11">
        <v>302800989</v>
      </c>
      <c r="O702" s="16">
        <v>45376.25</v>
      </c>
      <c r="P702" t="s">
        <v>90</v>
      </c>
      <c r="Q702" s="2">
        <v>22737</v>
      </c>
      <c r="R702" s="3">
        <f>(Tabla1[[#This Row],[FECHA_TRASPLANTE]]-Tabla1[[#This Row],[FECHA_NAC]])/365.25</f>
        <v>61.982888432580424</v>
      </c>
      <c r="S702" t="s">
        <v>200</v>
      </c>
      <c r="T702"/>
      <c r="U702" t="s">
        <v>2184</v>
      </c>
      <c r="V702" t="s">
        <v>1838</v>
      </c>
      <c r="W702" t="s">
        <v>82</v>
      </c>
      <c r="X702" t="s">
        <v>91</v>
      </c>
      <c r="Y702" t="s">
        <v>84</v>
      </c>
      <c r="Z702" t="s">
        <v>457</v>
      </c>
      <c r="AD702">
        <v>7</v>
      </c>
      <c r="AF702" t="s">
        <v>978</v>
      </c>
      <c r="AG702" t="s">
        <v>2456</v>
      </c>
      <c r="AM702" t="s">
        <v>86</v>
      </c>
      <c r="AN702" s="2">
        <v>45388</v>
      </c>
      <c r="AO702" t="s">
        <v>2457</v>
      </c>
      <c r="AQ702" t="s">
        <v>358</v>
      </c>
      <c r="AV702" s="2"/>
      <c r="AY702" t="s">
        <v>106</v>
      </c>
      <c r="BJ702" s="2"/>
      <c r="BO702">
        <v>17125091</v>
      </c>
      <c r="BP702" t="s">
        <v>81</v>
      </c>
      <c r="BQ702" t="s">
        <v>2091</v>
      </c>
      <c r="BT702" s="17">
        <f>Tabla1[[#This Row],[FECHA_TRASPLANTE]]</f>
        <v>45376.25</v>
      </c>
      <c r="BU702">
        <f>IF(Tabla1[[#This Row],[FALLECIDO SI/NO]]="NO",0,1)</f>
        <v>1</v>
      </c>
      <c r="BV702" s="3">
        <f ca="1">IF(Tabla1[[#This Row],[FALLECIDO_COD]]=0,TODAY()-Tabla1[[#This Row],[FECHA_TRASPLANTE]],Tabla1[[#This Row],[FECHA DE DEFUNCIÓN]]-Tabla1[[#This Row],[FECHA_TRASPLANTE]])</f>
        <v>11.75</v>
      </c>
      <c r="BW702" s="3">
        <f ca="1">IF(Tabla1[[#This Row],[FALLECIDO_COD]]=0,TODAY()-Tabla1[[#This Row],[FECHA_TRASPLANTE]],Tabla1[[#This Row],[FECHA DE DEFUNCIÓN]]-Tabla1[[#This Row],[FECHA_TRASPLANTE]])/30.4375</f>
        <v>0.38603696098562629</v>
      </c>
      <c r="BX702" s="3">
        <f ca="1">IF(Tabla1[[#This Row],[FALLECIDO_COD]]=0,TODAY()-Tabla1[[#This Row],[FECHA_TRASPLANTE]],Tabla1[[#This Row],[FECHA DE DEFUNCIÓN]]-Tabla1[[#This Row],[FECHA_TRASPLANTE]])/365.25</f>
        <v>3.2169746748802193E-2</v>
      </c>
    </row>
    <row r="703" spans="1:76" x14ac:dyDescent="0.35">
      <c r="A703" t="s">
        <v>75</v>
      </c>
      <c r="B703" t="s">
        <v>1828</v>
      </c>
      <c r="C703" t="s">
        <v>939</v>
      </c>
      <c r="D703" t="s">
        <v>1129</v>
      </c>
      <c r="E703" t="s">
        <v>77</v>
      </c>
      <c r="H703" s="2">
        <v>35542</v>
      </c>
      <c r="I703">
        <v>26</v>
      </c>
      <c r="K703" t="s">
        <v>2458</v>
      </c>
      <c r="L703" t="s">
        <v>1185</v>
      </c>
      <c r="M703" t="s">
        <v>203</v>
      </c>
      <c r="N703" s="11">
        <v>601620629</v>
      </c>
      <c r="O703" s="16">
        <v>45319.25</v>
      </c>
      <c r="P703" t="s">
        <v>81</v>
      </c>
      <c r="Q703" s="2">
        <v>22137</v>
      </c>
      <c r="R703" s="3">
        <f>(Tabla1[[#This Row],[FECHA_TRASPLANTE]]-Tabla1[[#This Row],[FECHA_NAC]])/365.25</f>
        <v>63.469541409993155</v>
      </c>
      <c r="S703" t="s">
        <v>200</v>
      </c>
      <c r="T703"/>
      <c r="U703" t="s">
        <v>2009</v>
      </c>
      <c r="V703" t="s">
        <v>1824</v>
      </c>
      <c r="W703" t="s">
        <v>82</v>
      </c>
      <c r="X703" t="s">
        <v>110</v>
      </c>
      <c r="Y703" t="s">
        <v>188</v>
      </c>
      <c r="Z703" t="s">
        <v>2459</v>
      </c>
      <c r="AD703">
        <v>7</v>
      </c>
      <c r="AF703" t="s">
        <v>978</v>
      </c>
      <c r="AG703" t="s">
        <v>978</v>
      </c>
      <c r="AH703" t="s">
        <v>978</v>
      </c>
      <c r="AM703" t="s">
        <v>86</v>
      </c>
      <c r="AN703" s="2">
        <v>45582</v>
      </c>
      <c r="AO703" t="s">
        <v>2460</v>
      </c>
      <c r="AP703" t="s">
        <v>86</v>
      </c>
      <c r="AQ703" t="s">
        <v>358</v>
      </c>
      <c r="AV703" s="2"/>
      <c r="AY703" t="s">
        <v>106</v>
      </c>
      <c r="BJ703" s="2"/>
      <c r="BO703">
        <v>116740380</v>
      </c>
      <c r="BP703" t="s">
        <v>81</v>
      </c>
      <c r="BQ703" t="s">
        <v>82</v>
      </c>
      <c r="BT703" s="17">
        <f>Tabla1[[#This Row],[FECHA_TRASPLANTE]]</f>
        <v>45319.25</v>
      </c>
      <c r="BU703">
        <f>IF(Tabla1[[#This Row],[FALLECIDO SI/NO]]="NO",0,1)</f>
        <v>1</v>
      </c>
      <c r="BV703" s="3">
        <f ca="1">IF(Tabla1[[#This Row],[FALLECIDO_COD]]=0,TODAY()-Tabla1[[#This Row],[FECHA_TRASPLANTE]],Tabla1[[#This Row],[FECHA DE DEFUNCIÓN]]-Tabla1[[#This Row],[FECHA_TRASPLANTE]])</f>
        <v>262.75</v>
      </c>
      <c r="BW703" s="3">
        <f ca="1">IF(Tabla1[[#This Row],[FALLECIDO_COD]]=0,TODAY()-Tabla1[[#This Row],[FECHA_TRASPLANTE]],Tabla1[[#This Row],[FECHA DE DEFUNCIÓN]]-Tabla1[[#This Row],[FECHA_TRASPLANTE]])/30.4375</f>
        <v>8.6324435318275157</v>
      </c>
      <c r="BX703" s="3">
        <f ca="1">IF(Tabla1[[#This Row],[FALLECIDO_COD]]=0,TODAY()-Tabla1[[#This Row],[FECHA_TRASPLANTE]],Tabla1[[#This Row],[FECHA DE DEFUNCIÓN]]-Tabla1[[#This Row],[FECHA_TRASPLANTE]])/365.25</f>
        <v>0.7193702943189596</v>
      </c>
    </row>
    <row r="704" spans="1:76" x14ac:dyDescent="0.35">
      <c r="A704" t="s">
        <v>75</v>
      </c>
      <c r="B704" t="s">
        <v>1828</v>
      </c>
      <c r="C704" t="s">
        <v>2461</v>
      </c>
      <c r="D704" t="s">
        <v>1129</v>
      </c>
      <c r="E704" t="s">
        <v>77</v>
      </c>
      <c r="F704" t="s">
        <v>86</v>
      </c>
      <c r="G704" t="s">
        <v>200</v>
      </c>
      <c r="I704">
        <v>50</v>
      </c>
      <c r="N704" s="11">
        <v>303180541</v>
      </c>
      <c r="O704" s="16">
        <v>45849</v>
      </c>
      <c r="P704" t="s">
        <v>90</v>
      </c>
      <c r="Q704" s="2">
        <v>26290</v>
      </c>
      <c r="R704" s="3">
        <f>(Tabla1[[#This Row],[FECHA_TRASPLANTE]]-Tabla1[[#This Row],[FECHA_NAC]])/365.25</f>
        <v>53.549623545516766</v>
      </c>
      <c r="S704" t="s">
        <v>200</v>
      </c>
      <c r="T704"/>
      <c r="U704" t="s">
        <v>2388</v>
      </c>
      <c r="V704" t="s">
        <v>2309</v>
      </c>
      <c r="W704" t="s">
        <v>82</v>
      </c>
      <c r="X704" t="s">
        <v>120</v>
      </c>
      <c r="Y704" t="s">
        <v>471</v>
      </c>
      <c r="Z704" t="s">
        <v>2356</v>
      </c>
      <c r="AA704">
        <v>6.4</v>
      </c>
      <c r="AB704" t="s">
        <v>2310</v>
      </c>
      <c r="AC704" t="s">
        <v>2310</v>
      </c>
      <c r="AD704" t="s">
        <v>2311</v>
      </c>
      <c r="AE704" t="s">
        <v>2312</v>
      </c>
      <c r="AM704" t="s">
        <v>106</v>
      </c>
      <c r="AV704" s="2"/>
      <c r="AY704" t="s">
        <v>2313</v>
      </c>
      <c r="AZ704"/>
      <c r="BA704" s="2" t="s">
        <v>1812</v>
      </c>
      <c r="BD704" t="s">
        <v>106</v>
      </c>
      <c r="BL704" t="s">
        <v>2315</v>
      </c>
      <c r="BT704" s="17">
        <f>Tabla1[[#This Row],[FECHA_TRASPLANTE]]</f>
        <v>45849</v>
      </c>
      <c r="BU704">
        <f>IF(Tabla1[[#This Row],[FALLECIDO SI/NO]]="NO",0,1)</f>
        <v>0</v>
      </c>
      <c r="BV704" s="3">
        <f ca="1">IF(Tabla1[[#This Row],[FALLECIDO_COD]]=0,TODAY()-Tabla1[[#This Row],[FECHA_TRASPLANTE]],Tabla1[[#This Row],[FECHA DE DEFUNCIÓN]]-Tabla1[[#This Row],[FECHA_TRASPLANTE]])</f>
        <v>26</v>
      </c>
      <c r="BW704" s="3">
        <f ca="1">IF(Tabla1[[#This Row],[FALLECIDO_COD]]=0,TODAY()-Tabla1[[#This Row],[FECHA_TRASPLANTE]],Tabla1[[#This Row],[FECHA DE DEFUNCIÓN]]-Tabla1[[#This Row],[FECHA_TRASPLANTE]])/30.4375</f>
        <v>0.85420944558521561</v>
      </c>
      <c r="BX704" s="3">
        <f ca="1">IF(Tabla1[[#This Row],[FALLECIDO_COD]]=0,TODAY()-Tabla1[[#This Row],[FECHA_TRASPLANTE]],Tabla1[[#This Row],[FECHA DE DEFUNCIÓN]]-Tabla1[[#This Row],[FECHA_TRASPLANTE]])/365.25</f>
        <v>7.1184120465434639E-2</v>
      </c>
    </row>
    <row r="705" spans="1:76" x14ac:dyDescent="0.35">
      <c r="A705" t="s">
        <v>1125</v>
      </c>
      <c r="B705" t="s">
        <v>1125</v>
      </c>
      <c r="C705" t="s">
        <v>2462</v>
      </c>
      <c r="D705" t="s">
        <v>1129</v>
      </c>
      <c r="E705" t="s">
        <v>77</v>
      </c>
      <c r="F705" t="s">
        <v>106</v>
      </c>
      <c r="G705" t="s">
        <v>200</v>
      </c>
      <c r="H705" s="2">
        <v>31328</v>
      </c>
      <c r="I705">
        <v>38.670088980150581</v>
      </c>
      <c r="J705" t="s">
        <v>1928</v>
      </c>
      <c r="K705" t="s">
        <v>2463</v>
      </c>
      <c r="L705" t="s">
        <v>269</v>
      </c>
      <c r="M705" t="s">
        <v>595</v>
      </c>
      <c r="N705" s="11">
        <v>2650100498</v>
      </c>
      <c r="O705" s="2">
        <v>45452.25</v>
      </c>
      <c r="P705" t="s">
        <v>1669</v>
      </c>
      <c r="Q705" s="2">
        <v>23795.25</v>
      </c>
      <c r="R705" s="3">
        <f>(Tabla1[[#This Row],[FECHA_TRASPLANTE]]-Tabla1[[#This Row],[FECHA_NAC]])/365.25</f>
        <v>59.293634496919921</v>
      </c>
      <c r="S705" t="s">
        <v>200</v>
      </c>
      <c r="T705" s="2">
        <v>42452</v>
      </c>
      <c r="U705" t="s">
        <v>1348</v>
      </c>
      <c r="V705" t="s">
        <v>1824</v>
      </c>
      <c r="W705" t="s">
        <v>146</v>
      </c>
      <c r="X705" t="s">
        <v>252</v>
      </c>
      <c r="Y705" t="s">
        <v>116</v>
      </c>
      <c r="Z705" t="s">
        <v>2464</v>
      </c>
      <c r="AA705">
        <v>7.35</v>
      </c>
      <c r="AD705">
        <v>3</v>
      </c>
      <c r="AF705" t="s">
        <v>375</v>
      </c>
      <c r="AG705" t="s">
        <v>375</v>
      </c>
      <c r="AM705" t="s">
        <v>106</v>
      </c>
      <c r="AO705" t="s">
        <v>1334</v>
      </c>
      <c r="AQ705" t="s">
        <v>358</v>
      </c>
      <c r="AV705" s="2" t="s">
        <v>1334</v>
      </c>
      <c r="AY705" t="s">
        <v>106</v>
      </c>
      <c r="BA705" t="s">
        <v>1917</v>
      </c>
      <c r="BD705" t="s">
        <v>106</v>
      </c>
      <c r="BH705" t="s">
        <v>106</v>
      </c>
      <c r="BI705" t="s">
        <v>106</v>
      </c>
      <c r="BJ705" t="s">
        <v>1334</v>
      </c>
      <c r="BL705" t="s">
        <v>106</v>
      </c>
      <c r="BM705" t="s">
        <v>1334</v>
      </c>
      <c r="BN705" t="s">
        <v>1334</v>
      </c>
      <c r="BO705">
        <v>112560769</v>
      </c>
      <c r="BP705" t="s">
        <v>90</v>
      </c>
      <c r="BQ705" t="s">
        <v>1849</v>
      </c>
      <c r="BS705" t="s">
        <v>2223</v>
      </c>
      <c r="BT705" s="17">
        <f>Tabla1[[#This Row],[FECHA_TRASPLANTE]]</f>
        <v>45452.25</v>
      </c>
      <c r="BU705">
        <f>IF(Tabla1[[#This Row],[FALLECIDO SI/NO]]="NO",0,1)</f>
        <v>0</v>
      </c>
      <c r="BV705" s="3">
        <f ca="1">IF(Tabla1[[#This Row],[FALLECIDO_COD]]=0,TODAY()-Tabla1[[#This Row],[FECHA_TRASPLANTE]],Tabla1[[#This Row],[FECHA DE DEFUNCIÓN]]-Tabla1[[#This Row],[FECHA_TRASPLANTE]])</f>
        <v>422.75</v>
      </c>
      <c r="BW705" s="3">
        <f ca="1">IF(Tabla1[[#This Row],[FALLECIDO_COD]]=0,TODAY()-Tabla1[[#This Row],[FECHA_TRASPLANTE]],Tabla1[[#This Row],[FECHA DE DEFUNCIÓN]]-Tabla1[[#This Row],[FECHA_TRASPLANTE]])/30.4375</f>
        <v>13.88911704312115</v>
      </c>
      <c r="BX705" s="3">
        <f ca="1">IF(Tabla1[[#This Row],[FALLECIDO_COD]]=0,TODAY()-Tabla1[[#This Row],[FECHA_TRASPLANTE]],Tabla1[[#This Row],[FECHA DE DEFUNCIÓN]]-Tabla1[[#This Row],[FECHA_TRASPLANTE]])/365.25</f>
        <v>1.1574264202600959</v>
      </c>
    </row>
    <row r="706" spans="1:76" x14ac:dyDescent="0.35">
      <c r="A706" t="s">
        <v>1125</v>
      </c>
      <c r="B706" t="s">
        <v>1125</v>
      </c>
      <c r="C706" t="s">
        <v>2465</v>
      </c>
      <c r="D706" t="s">
        <v>1129</v>
      </c>
      <c r="E706" t="s">
        <v>77</v>
      </c>
      <c r="F706" t="s">
        <v>106</v>
      </c>
      <c r="G706" t="s">
        <v>200</v>
      </c>
      <c r="H706" s="2">
        <v>32314</v>
      </c>
      <c r="I706">
        <v>35.976043805612591</v>
      </c>
      <c r="J706" t="s">
        <v>1928</v>
      </c>
      <c r="K706" t="s">
        <v>2466</v>
      </c>
      <c r="L706" t="s">
        <v>89</v>
      </c>
      <c r="M706" t="s">
        <v>2467</v>
      </c>
      <c r="N706" s="11">
        <v>2900101594</v>
      </c>
      <c r="O706" s="2">
        <v>45454.25</v>
      </c>
      <c r="P706" t="s">
        <v>1669</v>
      </c>
      <c r="Q706" s="2">
        <v>33117.25</v>
      </c>
      <c r="R706" s="3">
        <f>(Tabla1[[#This Row],[FECHA_TRASPLANTE]]-Tabla1[[#This Row],[FECHA_NAC]])/365.25</f>
        <v>33.776865160848736</v>
      </c>
      <c r="S706" t="s">
        <v>200</v>
      </c>
      <c r="T706" s="2">
        <v>42226</v>
      </c>
      <c r="U706" t="s">
        <v>1348</v>
      </c>
      <c r="V706" t="s">
        <v>1824</v>
      </c>
      <c r="W706" t="s">
        <v>146</v>
      </c>
      <c r="X706" t="s">
        <v>261</v>
      </c>
      <c r="Y706" t="s">
        <v>712</v>
      </c>
      <c r="Z706" t="s">
        <v>1036</v>
      </c>
      <c r="AA706">
        <v>8.1</v>
      </c>
      <c r="AD706">
        <v>3</v>
      </c>
      <c r="AF706" t="s">
        <v>375</v>
      </c>
      <c r="AG706" t="s">
        <v>375</v>
      </c>
      <c r="AH706" t="s">
        <v>2468</v>
      </c>
      <c r="AM706" t="s">
        <v>106</v>
      </c>
      <c r="AO706" t="s">
        <v>1334</v>
      </c>
      <c r="AQ706" t="s">
        <v>358</v>
      </c>
      <c r="AR706" t="s">
        <v>772</v>
      </c>
      <c r="AV706" s="2"/>
      <c r="AY706" t="s">
        <v>86</v>
      </c>
      <c r="AZ706" s="2">
        <v>45470</v>
      </c>
      <c r="BA706" t="s">
        <v>1917</v>
      </c>
      <c r="BD706" t="s">
        <v>106</v>
      </c>
      <c r="BH706" t="s">
        <v>106</v>
      </c>
      <c r="BI706" t="s">
        <v>106</v>
      </c>
      <c r="BJ706" t="s">
        <v>1334</v>
      </c>
      <c r="BL706" t="s">
        <v>106</v>
      </c>
      <c r="BM706" t="s">
        <v>1334</v>
      </c>
      <c r="BN706" t="s">
        <v>1334</v>
      </c>
      <c r="BO706">
        <v>603720543</v>
      </c>
      <c r="BP706" t="s">
        <v>81</v>
      </c>
      <c r="BQ706" t="s">
        <v>1849</v>
      </c>
      <c r="BS706" t="s">
        <v>2469</v>
      </c>
      <c r="BT706" s="17">
        <f>Tabla1[[#This Row],[FECHA_TRASPLANTE]]</f>
        <v>45454.25</v>
      </c>
      <c r="BU706">
        <f>IF(Tabla1[[#This Row],[FALLECIDO SI/NO]]="NO",0,1)</f>
        <v>0</v>
      </c>
      <c r="BV706" s="3">
        <f ca="1">IF(Tabla1[[#This Row],[FALLECIDO_COD]]=0,TODAY()-Tabla1[[#This Row],[FECHA_TRASPLANTE]],Tabla1[[#This Row],[FECHA DE DEFUNCIÓN]]-Tabla1[[#This Row],[FECHA_TRASPLANTE]])</f>
        <v>420.75</v>
      </c>
      <c r="BW706" s="3">
        <f ca="1">IF(Tabla1[[#This Row],[FALLECIDO_COD]]=0,TODAY()-Tabla1[[#This Row],[FECHA_TRASPLANTE]],Tabla1[[#This Row],[FECHA DE DEFUNCIÓN]]-Tabla1[[#This Row],[FECHA_TRASPLANTE]])/30.4375</f>
        <v>13.82340862422998</v>
      </c>
      <c r="BX706" s="3">
        <f ca="1">IF(Tabla1[[#This Row],[FALLECIDO_COD]]=0,TODAY()-Tabla1[[#This Row],[FECHA_TRASPLANTE]],Tabla1[[#This Row],[FECHA DE DEFUNCIÓN]]-Tabla1[[#This Row],[FECHA_TRASPLANTE]])/365.25</f>
        <v>1.1519507186858315</v>
      </c>
    </row>
    <row r="707" spans="1:76" hidden="1" x14ac:dyDescent="0.35">
      <c r="A707" t="s">
        <v>376</v>
      </c>
      <c r="B707" t="s">
        <v>376</v>
      </c>
      <c r="C707" t="s">
        <v>1026</v>
      </c>
      <c r="D707" t="s">
        <v>1129</v>
      </c>
      <c r="E707" t="s">
        <v>77</v>
      </c>
      <c r="N707" s="11">
        <v>305820648</v>
      </c>
      <c r="R707" s="1">
        <f>(Tabla1[[#This Row],[FECHA_TRASPLANTE]]-Tabla1[[#This Row],[FECHA_NAC]])/365.25</f>
        <v>0</v>
      </c>
      <c r="AV707" s="2"/>
      <c r="BT707" s="2">
        <f>Tabla1[[#This Row],[FECHA_TRASPLANTE]]</f>
        <v>0</v>
      </c>
      <c r="BV707" s="3">
        <f ca="1">IF(Tabla1[[#This Row],[FALLECIDO_COD]]=0,TODAY()-Tabla1[[#This Row],[FECHA_TRASPLANTE]],Tabla1[[#This Row],[FECHA DE DEFUNCIÓN]]-Tabla1[[#This Row],[FECHA_TRASPLANTE]])</f>
        <v>45875</v>
      </c>
      <c r="BW707" s="3">
        <f ca="1">IF(Tabla1[[#This Row],[FALLECIDO_COD]]=0,TODAY()-Tabla1[[#This Row],[FECHA_TRASPLANTE]],Tabla1[[#This Row],[FECHA DE DEFUNCIÓN]]-Tabla1[[#This Row],[FECHA_TRASPLANTE]])/30.4375</f>
        <v>1507.1868583162218</v>
      </c>
      <c r="BX707" s="3">
        <f ca="1">IF(Tabla1[[#This Row],[FALLECIDO_COD]]=0,TODAY()-Tabla1[[#This Row],[FECHA_TRASPLANTE]],Tabla1[[#This Row],[FECHA DE DEFUNCIÓN]]-Tabla1[[#This Row],[FECHA_TRASPLANTE]])/365.25</f>
        <v>125.59890485968515</v>
      </c>
    </row>
    <row r="708" spans="1:76" x14ac:dyDescent="0.35">
      <c r="A708" t="s">
        <v>376</v>
      </c>
      <c r="B708" t="s">
        <v>376</v>
      </c>
      <c r="C708" t="s">
        <v>2470</v>
      </c>
      <c r="D708" t="s">
        <v>1129</v>
      </c>
      <c r="E708" t="s">
        <v>77</v>
      </c>
      <c r="G708" t="s">
        <v>200</v>
      </c>
      <c r="H708" s="2" t="s">
        <v>1819</v>
      </c>
      <c r="I708">
        <v>26</v>
      </c>
      <c r="J708" t="s">
        <v>1820</v>
      </c>
      <c r="K708" t="s">
        <v>2471</v>
      </c>
      <c r="L708" t="s">
        <v>2472</v>
      </c>
      <c r="M708" t="s">
        <v>79</v>
      </c>
      <c r="N708" s="11">
        <v>605560051</v>
      </c>
      <c r="O708" s="2">
        <v>45319.25</v>
      </c>
      <c r="P708" t="s">
        <v>90</v>
      </c>
      <c r="Q708" s="2">
        <v>42278</v>
      </c>
      <c r="R708" s="3">
        <f>(Tabla1[[#This Row],[FECHA_TRASPLANTE]]-Tabla1[[#This Row],[FECHA_NAC]])/365.25</f>
        <v>8.3264887063655024</v>
      </c>
      <c r="S708" t="s">
        <v>200</v>
      </c>
      <c r="T708">
        <v>44883</v>
      </c>
      <c r="U708" t="s">
        <v>2473</v>
      </c>
      <c r="V708" t="s">
        <v>1838</v>
      </c>
      <c r="W708" t="s">
        <v>82</v>
      </c>
      <c r="X708" t="s">
        <v>83</v>
      </c>
      <c r="Y708" t="s">
        <v>83</v>
      </c>
      <c r="Z708" t="s">
        <v>502</v>
      </c>
      <c r="AD708">
        <v>0</v>
      </c>
      <c r="AF708" t="s">
        <v>816</v>
      </c>
      <c r="AG708" t="s">
        <v>816</v>
      </c>
      <c r="AH708" t="s">
        <v>816</v>
      </c>
      <c r="AI708" t="s">
        <v>816</v>
      </c>
      <c r="AJ708" t="s">
        <v>816</v>
      </c>
      <c r="AK708" t="s">
        <v>816</v>
      </c>
      <c r="AM708" t="s">
        <v>106</v>
      </c>
      <c r="AO708"/>
      <c r="AQ708" t="s">
        <v>358</v>
      </c>
      <c r="AR708" t="s">
        <v>772</v>
      </c>
      <c r="AV708" s="2"/>
      <c r="AY708" t="s">
        <v>86</v>
      </c>
      <c r="AZ708" s="2">
        <v>45434</v>
      </c>
      <c r="BB708">
        <v>1.69</v>
      </c>
      <c r="BO708" t="s">
        <v>1979</v>
      </c>
      <c r="BP708" t="s">
        <v>90</v>
      </c>
      <c r="BQ708" t="s">
        <v>82</v>
      </c>
      <c r="BS708" t="s">
        <v>1888</v>
      </c>
      <c r="BT708" s="17">
        <f>Tabla1[[#This Row],[FECHA_TRASPLANTE]]</f>
        <v>45319.25</v>
      </c>
      <c r="BU708">
        <f>IF(Tabla1[[#This Row],[FALLECIDO SI/NO]]="NO",0,1)</f>
        <v>0</v>
      </c>
      <c r="BV708" s="3">
        <f ca="1">IF(Tabla1[[#This Row],[FALLECIDO_COD]]=0,TODAY()-Tabla1[[#This Row],[FECHA_TRASPLANTE]],Tabla1[[#This Row],[FECHA DE DEFUNCIÓN]]-Tabla1[[#This Row],[FECHA_TRASPLANTE]])</f>
        <v>555.75</v>
      </c>
      <c r="BW708" s="3">
        <f ca="1">IF(Tabla1[[#This Row],[FALLECIDO_COD]]=0,TODAY()-Tabla1[[#This Row],[FECHA_TRASPLANTE]],Tabla1[[#This Row],[FECHA DE DEFUNCIÓN]]-Tabla1[[#This Row],[FECHA_TRASPLANTE]])/30.4375</f>
        <v>18.258726899383984</v>
      </c>
      <c r="BX708" s="3">
        <f ca="1">IF(Tabla1[[#This Row],[FALLECIDO_COD]]=0,TODAY()-Tabla1[[#This Row],[FECHA_TRASPLANTE]],Tabla1[[#This Row],[FECHA DE DEFUNCIÓN]]-Tabla1[[#This Row],[FECHA_TRASPLANTE]])/365.25</f>
        <v>1.5215605749486654</v>
      </c>
    </row>
    <row r="709" spans="1:76" x14ac:dyDescent="0.35">
      <c r="A709" t="s">
        <v>376</v>
      </c>
      <c r="B709" t="s">
        <v>376</v>
      </c>
      <c r="D709" t="s">
        <v>1129</v>
      </c>
      <c r="E709" t="s">
        <v>77</v>
      </c>
      <c r="N709" s="11">
        <v>210390369</v>
      </c>
      <c r="O709" s="2">
        <v>45728</v>
      </c>
      <c r="P709" t="s">
        <v>81</v>
      </c>
      <c r="Q709" s="2">
        <v>43231</v>
      </c>
      <c r="R709" s="1">
        <f>(Tabla1[[#This Row],[FECHA_TRASPLANTE]]-Tabla1[[#This Row],[FECHA_NAC]])/365.25</f>
        <v>6.8364134154688569</v>
      </c>
      <c r="S709" t="s">
        <v>200</v>
      </c>
      <c r="U709" t="s">
        <v>2474</v>
      </c>
      <c r="W709" t="s">
        <v>82</v>
      </c>
      <c r="X709" t="s">
        <v>115</v>
      </c>
      <c r="Y709" t="s">
        <v>197</v>
      </c>
      <c r="Z709" t="s">
        <v>1095</v>
      </c>
      <c r="AM709" t="s">
        <v>106</v>
      </c>
      <c r="AV709" s="2"/>
      <c r="BT709" s="17">
        <f>Tabla1[[#This Row],[FECHA_TRASPLANTE]]</f>
        <v>45728</v>
      </c>
      <c r="BU709">
        <f>IF(Tabla1[[#This Row],[FALLECIDO SI/NO]]="NO",0,1)</f>
        <v>0</v>
      </c>
      <c r="BV709" s="3">
        <f ca="1">IF(Tabla1[[#This Row],[FALLECIDO_COD]]=0,TODAY()-Tabla1[[#This Row],[FECHA_TRASPLANTE]],Tabla1[[#This Row],[FECHA DE DEFUNCIÓN]]-Tabla1[[#This Row],[FECHA_TRASPLANTE]])</f>
        <v>147</v>
      </c>
      <c r="BW709" s="3">
        <f ca="1">IF(Tabla1[[#This Row],[FALLECIDO_COD]]=0,TODAY()-Tabla1[[#This Row],[FECHA_TRASPLANTE]],Tabla1[[#This Row],[FECHA DE DEFUNCIÓN]]-Tabla1[[#This Row],[FECHA_TRASPLANTE]])/30.4375</f>
        <v>4.8295687885010263</v>
      </c>
      <c r="BX709" s="3">
        <f ca="1">IF(Tabla1[[#This Row],[FALLECIDO_COD]]=0,TODAY()-Tabla1[[#This Row],[FECHA_TRASPLANTE]],Tabla1[[#This Row],[FECHA DE DEFUNCIÓN]]-Tabla1[[#This Row],[FECHA_TRASPLANTE]])/365.25</f>
        <v>0.40246406570841892</v>
      </c>
    </row>
  </sheetData>
  <phoneticPr fontId="4" type="noConversion"/>
  <conditionalFormatting sqref="N1:N1048576">
    <cfRule type="duplicateValues" dxfId="5" priority="1"/>
    <cfRule type="duplicateValues" dxfId="4" priority="2"/>
  </conditionalFormatting>
  <conditionalFormatting sqref="N2:N682">
    <cfRule type="duplicateValues" dxfId="3" priority="120"/>
    <cfRule type="duplicateValues" dxfId="2" priority="121"/>
    <cfRule type="duplicateValues" dxfId="1" priority="122"/>
  </conditionalFormatting>
  <conditionalFormatting sqref="Q699:Q703 N2:N698">
    <cfRule type="duplicateValues" dxfId="0" priority="80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01067-26C0-457E-8ABB-B80D8C56D728}">
  <dimension ref="A1"/>
  <sheetViews>
    <sheetView workbookViewId="0"/>
  </sheetViews>
  <sheetFormatPr defaultColWidth="11.453125"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A9D9-2301-45F7-A8CD-67675CC7BA42}">
  <dimension ref="A1"/>
  <sheetViews>
    <sheetView workbookViewId="0"/>
  </sheetViews>
  <sheetFormatPr defaultColWidth="11.4531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AF52AA-A936-49B3-8A29-ACD8D8AD24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CORAZÓN</vt:lpstr>
      <vt:lpstr>PULMÓN</vt:lpstr>
      <vt:lpstr>DINAMICA HI</vt:lpstr>
      <vt:lpstr>HIGADO</vt:lpstr>
      <vt:lpstr>DINAMICA RE</vt:lpstr>
      <vt:lpstr>RIÑON</vt:lpstr>
      <vt:lpstr>MÉDULA ÓSEA</vt:lpstr>
      <vt:lpstr>CÓRNEAS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Esteban Sánchez Siles</dc:creator>
  <cp:keywords/>
  <dc:description/>
  <cp:lastModifiedBy>Roy Wong MC Clure</cp:lastModifiedBy>
  <cp:revision/>
  <dcterms:created xsi:type="dcterms:W3CDTF">2025-05-20T14:23:31Z</dcterms:created>
  <dcterms:modified xsi:type="dcterms:W3CDTF">2025-08-07T03:25:26Z</dcterms:modified>
  <cp:category/>
  <cp:contentStatus/>
</cp:coreProperties>
</file>